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f190fe599b5422/Desktop/"/>
    </mc:Choice>
  </mc:AlternateContent>
  <xr:revisionPtr revIDLastSave="1040" documentId="8_{66EB5740-A042-4C69-99D1-5CB2CC5BF5A6}" xr6:coauthVersionLast="47" xr6:coauthVersionMax="47" xr10:uidLastSave="{5CB15FAA-3871-44EE-81EF-0ED049604274}"/>
  <bookViews>
    <workbookView xWindow="-108" yWindow="-108" windowWidth="23256" windowHeight="12456" activeTab="1" xr2:uid="{0E13093D-51B2-41EB-AC4B-BE9D72C938F9}"/>
  </bookViews>
  <sheets>
    <sheet name="Retail_Data (Raw Data)" sheetId="1" r:id="rId1"/>
    <sheet name="Retail_Data_(Clean Data)" sheetId="3" r:id="rId2"/>
    <sheet name="Data Quality Summary" sheetId="4" r:id="rId3"/>
    <sheet name="KPI" sheetId="11" r:id="rId4"/>
    <sheet name="Category Analysis" sheetId="12" r:id="rId5"/>
    <sheet name="Top 10 Products" sheetId="7" r:id="rId6"/>
    <sheet name="Customer Analysis" sheetId="10" r:id="rId7"/>
    <sheet name="City Analysis" sheetId="8" r:id="rId8"/>
    <sheet name="Payment Method Analysis" sheetId="9" r:id="rId9"/>
    <sheet name="Sales Analysis" sheetId="5" r:id="rId10"/>
    <sheet name="Business Insights" sheetId="13" r:id="rId11"/>
  </sheets>
  <definedNames>
    <definedName name="_xlnm._FilterDatabase" localSheetId="0" hidden="1">'Retail_Data (Raw Data)'!$B$1:$B$1281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1" l="1"/>
  <c r="B7" i="11"/>
  <c r="B4" i="11"/>
  <c r="B3" i="11"/>
  <c r="B7" i="5"/>
  <c r="B6" i="5"/>
  <c r="B4" i="5"/>
  <c r="B3" i="5"/>
  <c r="D4" i="4"/>
  <c r="D14" i="4"/>
  <c r="D13" i="4"/>
  <c r="D12" i="4"/>
  <c r="D11" i="4"/>
  <c r="D10" i="4"/>
  <c r="D9" i="4"/>
  <c r="D8" i="4"/>
  <c r="D7" i="4"/>
  <c r="D6" i="4"/>
  <c r="D5" i="4"/>
  <c r="O1035" i="3"/>
  <c r="M276" i="3"/>
  <c r="M1175" i="3"/>
  <c r="M403" i="3"/>
  <c r="M1055" i="3"/>
  <c r="M373" i="3"/>
  <c r="M771" i="3"/>
  <c r="M286" i="3"/>
  <c r="M34" i="3"/>
  <c r="M550" i="3"/>
  <c r="M218" i="3"/>
  <c r="M953" i="3"/>
  <c r="M892" i="3"/>
  <c r="M72" i="3"/>
  <c r="M1047" i="3"/>
  <c r="M579" i="3"/>
  <c r="M949" i="3"/>
  <c r="M287" i="3"/>
  <c r="M1121" i="3"/>
  <c r="M499" i="3"/>
  <c r="M243" i="3"/>
  <c r="M832" i="3"/>
  <c r="M738" i="3"/>
  <c r="M483" i="3"/>
  <c r="M179" i="3"/>
  <c r="M954" i="3"/>
  <c r="M992" i="3"/>
  <c r="M219" i="3"/>
  <c r="M681" i="3"/>
  <c r="M688" i="3"/>
  <c r="M492" i="3"/>
  <c r="M321" i="3"/>
  <c r="M1140" i="3"/>
  <c r="M25" i="3"/>
  <c r="M356" i="3"/>
  <c r="M951" i="3"/>
  <c r="M123" i="3"/>
  <c r="M776" i="3"/>
  <c r="M18" i="3"/>
  <c r="M777" i="3"/>
  <c r="M435" i="3"/>
  <c r="M912" i="3"/>
  <c r="M270" i="3"/>
  <c r="M959" i="3"/>
  <c r="M252" i="3"/>
  <c r="M253" i="3"/>
  <c r="M1203" i="3"/>
  <c r="M676" i="3"/>
  <c r="M643" i="3"/>
  <c r="M739" i="3"/>
  <c r="M164" i="3"/>
  <c r="M658" i="3"/>
  <c r="M697" i="3"/>
  <c r="M443" i="3"/>
  <c r="M1037" i="3"/>
  <c r="M1028" i="3"/>
  <c r="M1213" i="3"/>
  <c r="M611" i="3"/>
  <c r="M772" i="3"/>
  <c r="M180" i="3"/>
  <c r="M1038" i="3"/>
  <c r="M364" i="3"/>
  <c r="M1008" i="3"/>
  <c r="M1238" i="3"/>
  <c r="M208" i="3"/>
  <c r="M808" i="3"/>
  <c r="M205" i="3"/>
  <c r="M995" i="3"/>
  <c r="M968" i="3"/>
  <c r="M206" i="3"/>
  <c r="M767" i="3"/>
  <c r="M514" i="3"/>
  <c r="M126" i="3"/>
  <c r="M521" i="3"/>
  <c r="M1051" i="3"/>
  <c r="M996" i="3"/>
  <c r="M209" i="3"/>
  <c r="M1243" i="3"/>
  <c r="M723" i="3"/>
  <c r="M14" i="3"/>
  <c r="M188" i="3"/>
  <c r="M8" i="3"/>
  <c r="M347" i="3"/>
  <c r="M1169" i="3"/>
  <c r="M888" i="3"/>
  <c r="M743" i="3"/>
  <c r="M677" i="3"/>
  <c r="M484" i="3"/>
  <c r="M1116" i="3"/>
  <c r="M647" i="3"/>
  <c r="M724" i="3"/>
  <c r="M544" i="3"/>
  <c r="M937" i="3"/>
  <c r="M266" i="3"/>
  <c r="M1194" i="3"/>
  <c r="M893" i="3"/>
  <c r="M710" i="3"/>
  <c r="M267" i="3"/>
  <c r="M873" i="3"/>
  <c r="M804" i="3"/>
  <c r="M720" i="3"/>
  <c r="M582" i="3"/>
  <c r="M665" i="3"/>
  <c r="M913" i="3"/>
  <c r="M143" i="3"/>
  <c r="M849" i="3"/>
  <c r="M329" i="3"/>
  <c r="M150" i="3"/>
  <c r="M1145" i="3"/>
  <c r="M35" i="3"/>
  <c r="M1141" i="3"/>
  <c r="M448" i="3"/>
  <c r="M1162" i="3"/>
  <c r="M457" i="3"/>
  <c r="M1170" i="3"/>
  <c r="M835" i="3"/>
  <c r="M608" i="3"/>
  <c r="M1067" i="3"/>
  <c r="M889" i="3"/>
  <c r="M1204" i="3"/>
  <c r="M308" i="3"/>
  <c r="M135" i="3"/>
  <c r="M1106" i="3"/>
  <c r="M176" i="3"/>
  <c r="M119" i="3"/>
  <c r="M759" i="3"/>
  <c r="M378" i="3"/>
  <c r="M165" i="3"/>
  <c r="M1021" i="3"/>
  <c r="M1220" i="3"/>
  <c r="M181" i="3"/>
  <c r="M478" i="3"/>
  <c r="M338" i="3"/>
  <c r="M1029" i="3"/>
  <c r="M955" i="3"/>
  <c r="M207" i="3"/>
  <c r="M655" i="3"/>
  <c r="M254" i="3"/>
  <c r="M1097" i="3"/>
  <c r="M523" i="3"/>
  <c r="M496" i="3"/>
  <c r="M748" i="3"/>
  <c r="M1040" i="3"/>
  <c r="M899" i="3"/>
  <c r="M376" i="3"/>
  <c r="M374" i="3"/>
  <c r="M773" i="3"/>
  <c r="M537" i="3"/>
  <c r="M925" i="3"/>
  <c r="M659" i="3"/>
  <c r="M230" i="3"/>
  <c r="M583" i="3"/>
  <c r="M881" i="3"/>
  <c r="M900" i="3"/>
  <c r="M1159" i="3"/>
  <c r="M1149" i="3"/>
  <c r="M302" i="3"/>
  <c r="M2" i="3"/>
  <c r="M151" i="3"/>
  <c r="M721" i="3"/>
  <c r="M379" i="3"/>
  <c r="M810" i="3"/>
  <c r="M115" i="3"/>
  <c r="M1221" i="3"/>
  <c r="M533" i="3"/>
  <c r="M36" i="3"/>
  <c r="M586" i="3"/>
  <c r="M127" i="3"/>
  <c r="M194" i="3"/>
  <c r="M30" i="3"/>
  <c r="M1150" i="3"/>
  <c r="M1117" i="3"/>
  <c r="M794" i="3"/>
  <c r="M874" i="3"/>
  <c r="M112" i="3"/>
  <c r="M353" i="3"/>
  <c r="M333" i="3"/>
  <c r="M553" i="3"/>
  <c r="M1199" i="3"/>
  <c r="M167" i="3"/>
  <c r="M1200" i="3"/>
  <c r="M155" i="3"/>
  <c r="M102" i="3"/>
  <c r="M530" i="3"/>
  <c r="M393" i="3"/>
  <c r="M305" i="3"/>
  <c r="M666" i="3"/>
  <c r="M339" i="3"/>
  <c r="M1090" i="3"/>
  <c r="M635" i="3"/>
  <c r="M918" i="3"/>
  <c r="M3" i="3"/>
  <c r="M1063" i="3"/>
  <c r="M942" i="3"/>
  <c r="M464" i="3"/>
  <c r="M4" i="3"/>
  <c r="M465" i="3"/>
  <c r="M380" i="3"/>
  <c r="M522" i="3"/>
  <c r="M80" i="3"/>
  <c r="M630" i="3"/>
  <c r="M805" i="3"/>
  <c r="M524" i="3"/>
  <c r="M1251" i="3"/>
  <c r="M855" i="3"/>
  <c r="M1107" i="3"/>
  <c r="M86" i="3"/>
  <c r="M244" i="3"/>
  <c r="M62" i="3"/>
  <c r="M138" i="3"/>
  <c r="M929" i="3"/>
  <c r="M19" i="3"/>
  <c r="M847" i="3"/>
  <c r="M1108" i="3"/>
  <c r="M506" i="3"/>
  <c r="M1056" i="3"/>
  <c r="M15" i="3"/>
  <c r="M309" i="3"/>
  <c r="M158" i="3"/>
  <c r="M281" i="3"/>
  <c r="M974" i="3"/>
  <c r="M838" i="3"/>
  <c r="M1151" i="3"/>
  <c r="M1072" i="3"/>
  <c r="M16" i="3"/>
  <c r="M856" i="3"/>
  <c r="M103" i="3"/>
  <c r="M1123" i="3"/>
  <c r="M1147" i="3"/>
  <c r="M382" i="3"/>
  <c r="M389" i="3"/>
  <c r="M500" i="3"/>
  <c r="M813" i="3"/>
  <c r="M1133" i="3"/>
  <c r="M81" i="3"/>
  <c r="M501" i="3"/>
  <c r="M152" i="3"/>
  <c r="M306" i="3"/>
  <c r="M383" i="3"/>
  <c r="M343" i="3"/>
  <c r="M485" i="3"/>
  <c r="M459" i="3"/>
  <c r="M460" i="3"/>
  <c r="M1013" i="3"/>
  <c r="M765" i="3"/>
  <c r="M644" i="3"/>
  <c r="M159" i="3"/>
  <c r="M195" i="3"/>
  <c r="M727" i="3"/>
  <c r="M839" i="3"/>
  <c r="M359" i="3"/>
  <c r="M693" i="3"/>
  <c r="M894" i="3"/>
  <c r="M134" i="3"/>
  <c r="M1102" i="3"/>
  <c r="M956" i="3"/>
  <c r="M160" i="3"/>
  <c r="M386" i="3"/>
  <c r="M1242" i="3"/>
  <c r="M947" i="3"/>
  <c r="M185" i="3"/>
  <c r="M452" i="3"/>
  <c r="M612" i="3"/>
  <c r="M786" i="3"/>
  <c r="M1082" i="3"/>
  <c r="M63" i="3"/>
  <c r="M312" i="3"/>
  <c r="M67" i="3"/>
  <c r="M368" i="3"/>
  <c r="M493" i="3"/>
  <c r="M174" i="3"/>
  <c r="M649" i="3"/>
  <c r="M439" i="3"/>
  <c r="M751" i="3"/>
  <c r="M430" i="3"/>
  <c r="M315" i="3"/>
  <c r="M766" i="3"/>
  <c r="M113" i="3"/>
  <c r="M255" i="3"/>
  <c r="M425" i="3"/>
  <c r="M316" i="3"/>
  <c r="M415" i="3"/>
  <c r="M210" i="3"/>
  <c r="M914" i="3"/>
  <c r="M969" i="3"/>
  <c r="M1240" i="3"/>
  <c r="M960" i="3"/>
  <c r="M828" i="3"/>
  <c r="M567" i="3"/>
  <c r="M446" i="3"/>
  <c r="M256" i="3"/>
  <c r="M806" i="3"/>
  <c r="M440" i="3"/>
  <c r="M768" i="3"/>
  <c r="M84" i="3"/>
  <c r="M859" i="3"/>
  <c r="M199" i="3"/>
  <c r="M261" i="3"/>
  <c r="M1176" i="3"/>
  <c r="M590" i="3"/>
  <c r="M1032" i="3"/>
  <c r="M1039" i="3"/>
  <c r="M1113" i="3"/>
  <c r="M783" i="3"/>
  <c r="M262" i="3"/>
  <c r="M961" i="3"/>
  <c r="M943" i="3"/>
  <c r="M369" i="3"/>
  <c r="M303" i="3"/>
  <c r="M220" i="3"/>
  <c r="M528" i="3"/>
  <c r="M1059" i="3"/>
  <c r="M104" i="3"/>
  <c r="M728" i="3"/>
  <c r="M40" i="3"/>
  <c r="M105" i="3"/>
  <c r="M620" i="3"/>
  <c r="M509" i="3"/>
  <c r="M1118" i="3"/>
  <c r="M327" i="3"/>
  <c r="M836" i="3"/>
  <c r="M68" i="3"/>
  <c r="M689" i="3"/>
  <c r="M505" i="3"/>
  <c r="M1148" i="3"/>
  <c r="M886" i="3"/>
  <c r="M887" i="3"/>
  <c r="M1182" i="3"/>
  <c r="M731" i="3"/>
  <c r="M577" i="3"/>
  <c r="M436" i="3"/>
  <c r="M1152" i="3"/>
  <c r="M1227" i="3"/>
  <c r="M554" i="3"/>
  <c r="M1239" i="3"/>
  <c r="M1177" i="3"/>
  <c r="M795" i="3"/>
  <c r="M231" i="3"/>
  <c r="M1073" i="3"/>
  <c r="M279" i="3"/>
  <c r="M73" i="3"/>
  <c r="M1134" i="3"/>
  <c r="M686" i="3"/>
  <c r="M1230" i="3"/>
  <c r="M919" i="3"/>
  <c r="M890" i="3"/>
  <c r="M515" i="3"/>
  <c r="M825" i="3"/>
  <c r="M1100" i="3"/>
  <c r="M1214" i="3"/>
  <c r="M1044" i="3"/>
  <c r="M613" i="3"/>
  <c r="M891" i="3"/>
  <c r="M79" i="3"/>
  <c r="M1030" i="3"/>
  <c r="M128" i="3"/>
  <c r="M820" i="3"/>
  <c r="M915" i="3"/>
  <c r="M94" i="3"/>
  <c r="M656" i="3"/>
  <c r="M310" i="3"/>
  <c r="M645" i="3"/>
  <c r="M558" i="3"/>
  <c r="M162" i="3"/>
  <c r="M1171" i="3"/>
  <c r="M1019" i="3"/>
  <c r="M870" i="3"/>
  <c r="M1195" i="3"/>
  <c r="M1101" i="3"/>
  <c r="M788" i="3"/>
  <c r="M139" i="3"/>
  <c r="M1234" i="3"/>
  <c r="M317" i="3"/>
  <c r="M431" i="3"/>
  <c r="M534" i="3"/>
  <c r="M1205" i="3"/>
  <c r="M575" i="3"/>
  <c r="M295" i="3"/>
  <c r="M421" i="3"/>
  <c r="M202" i="3"/>
  <c r="M799" i="3"/>
  <c r="M878" i="3"/>
  <c r="M840" i="3"/>
  <c r="M661" i="3"/>
  <c r="M313" i="3"/>
  <c r="M45" i="3"/>
  <c r="M930" i="3"/>
  <c r="M1076" i="3"/>
  <c r="M344" i="3"/>
  <c r="M238" i="3"/>
  <c r="M381" i="3"/>
  <c r="M740" i="3"/>
  <c r="M334" i="3"/>
  <c r="M12" i="3"/>
  <c r="M56" i="3"/>
  <c r="M1153" i="3"/>
  <c r="M1249" i="3"/>
  <c r="M187" i="3"/>
  <c r="M377" i="3"/>
  <c r="M351" i="3"/>
  <c r="M673" i="3"/>
  <c r="M51" i="3"/>
  <c r="M1000" i="3"/>
  <c r="M449" i="3"/>
  <c r="M749" i="3"/>
  <c r="M814" i="3"/>
  <c r="M871" i="3"/>
  <c r="M694" i="3"/>
  <c r="M17" i="3"/>
  <c r="M744" i="3"/>
  <c r="M729" i="3"/>
  <c r="M882" i="3"/>
  <c r="M621" i="3"/>
  <c r="M9" i="3"/>
  <c r="M450" i="3"/>
  <c r="M1142" i="3"/>
  <c r="M82" i="3"/>
  <c r="M698" i="3"/>
  <c r="M348" i="3"/>
  <c r="M752" i="3"/>
  <c r="M1196" i="3"/>
  <c r="M132" i="3"/>
  <c r="M136" i="3"/>
  <c r="M932" i="3"/>
  <c r="M774" i="3"/>
  <c r="M901" i="3"/>
  <c r="M20" i="3"/>
  <c r="M57" i="3"/>
  <c r="M404" i="3"/>
  <c r="M1189" i="3"/>
  <c r="M322" i="3"/>
  <c r="M1087" i="3"/>
  <c r="M735" i="3"/>
  <c r="M479" i="3"/>
  <c r="M357" i="3"/>
  <c r="M120" i="3"/>
  <c r="M561" i="3"/>
  <c r="M1094" i="3"/>
  <c r="M37" i="3"/>
  <c r="M701" i="3"/>
  <c r="M168" i="3"/>
  <c r="M545" i="3"/>
  <c r="M568" i="3"/>
  <c r="M38" i="3"/>
  <c r="M69" i="3"/>
  <c r="M662" i="3"/>
  <c r="M441" i="3"/>
  <c r="M1033" i="3"/>
  <c r="M1172" i="3"/>
  <c r="M249" i="3"/>
  <c r="M833" i="3"/>
  <c r="M1219" i="3"/>
  <c r="M981" i="3"/>
  <c r="M1020" i="3"/>
  <c r="M405" i="3"/>
  <c r="M987" i="3"/>
  <c r="M850" i="3"/>
  <c r="M507" i="3"/>
  <c r="M730" i="3"/>
  <c r="M591" i="3"/>
  <c r="M304" i="3"/>
  <c r="M1223" i="3"/>
  <c r="M1173" i="3"/>
  <c r="M811" i="3"/>
  <c r="M614" i="3"/>
  <c r="M257" i="3"/>
  <c r="M1009" i="3"/>
  <c r="M555" i="3"/>
  <c r="M232" i="3"/>
  <c r="M21" i="3"/>
  <c r="M997" i="3"/>
  <c r="M1048" i="3"/>
  <c r="M535" i="3"/>
  <c r="M1083" i="3"/>
  <c r="M650" i="3"/>
  <c r="M564" i="3"/>
  <c r="M239" i="3"/>
  <c r="M461" i="3"/>
  <c r="M711" i="3"/>
  <c r="M400" i="3"/>
  <c r="M418" i="3"/>
  <c r="M690" i="3"/>
  <c r="M129" i="3"/>
  <c r="M203" i="3"/>
  <c r="M124" i="3"/>
  <c r="M46" i="3"/>
  <c r="M108" i="3"/>
  <c r="M976" i="3"/>
  <c r="M204" i="3"/>
  <c r="M1091" i="3"/>
  <c r="M755" i="3"/>
  <c r="M622" i="3"/>
  <c r="M516" i="3"/>
  <c r="M525" i="3"/>
  <c r="M1236" i="3"/>
  <c r="M843" i="3"/>
  <c r="M823" i="3"/>
  <c r="M490" i="3"/>
  <c r="M815" i="3"/>
  <c r="M965" i="3"/>
  <c r="M26" i="3"/>
  <c r="M502" i="3"/>
  <c r="M95" i="3"/>
  <c r="M1143" i="3"/>
  <c r="M328" i="3"/>
  <c r="M133" i="3"/>
  <c r="M824" i="3"/>
  <c r="M109" i="3"/>
  <c r="M883" i="3"/>
  <c r="M597" i="3"/>
  <c r="M336" i="3"/>
  <c r="M732" i="3"/>
  <c r="M787" i="3"/>
  <c r="M1163" i="3"/>
  <c r="M1004" i="3"/>
  <c r="M975" i="3"/>
  <c r="M559" i="3"/>
  <c r="M702" i="3"/>
  <c r="M375" i="3"/>
  <c r="M725" i="3"/>
  <c r="M1119" i="3"/>
  <c r="M631" i="3"/>
  <c r="M560" i="3"/>
  <c r="M826" i="3"/>
  <c r="M340" i="3"/>
  <c r="M760" i="3"/>
  <c r="M615" i="3"/>
  <c r="M341" i="3"/>
  <c r="M1146" i="3"/>
  <c r="M10" i="3"/>
  <c r="M213" i="3"/>
  <c r="M895" i="3"/>
  <c r="M695" i="3"/>
  <c r="M432" i="3"/>
  <c r="M633" i="3"/>
  <c r="M982" i="3"/>
  <c r="M1197" i="3"/>
  <c r="M829" i="3"/>
  <c r="M470" i="3"/>
  <c r="M510" i="3"/>
  <c r="M5" i="3"/>
  <c r="M58" i="3"/>
  <c r="M623" i="3"/>
  <c r="M314" i="3"/>
  <c r="M442" i="3"/>
  <c r="M816" i="3"/>
  <c r="M394" i="3"/>
  <c r="M471" i="3"/>
  <c r="M335" i="3"/>
  <c r="M920" i="3"/>
  <c r="M74" i="3"/>
  <c r="M144" i="3"/>
  <c r="M1057" i="3"/>
  <c r="M11" i="3"/>
  <c r="M517" i="3"/>
  <c r="M1098" i="3"/>
  <c r="M453" i="3"/>
  <c r="M1229" i="3"/>
  <c r="M345" i="3"/>
  <c r="M672" i="3"/>
  <c r="M189" i="3"/>
  <c r="M497" i="3"/>
  <c r="M636" i="3"/>
  <c r="M330" i="3"/>
  <c r="M609" i="3"/>
  <c r="M98" i="3"/>
  <c r="M761" i="3"/>
  <c r="M288" i="3"/>
  <c r="M211" i="3"/>
  <c r="M1005" i="3"/>
  <c r="M800" i="3"/>
  <c r="M757" i="3"/>
  <c r="M469" i="3"/>
  <c r="M565" i="3"/>
  <c r="M1023" i="3"/>
  <c r="M790" i="3"/>
  <c r="M1245" i="3"/>
  <c r="M1095" i="3"/>
  <c r="M225" i="3"/>
  <c r="M90" i="3"/>
  <c r="M200" i="3"/>
  <c r="M756" i="3"/>
  <c r="M474" i="3"/>
  <c r="M296" i="3"/>
  <c r="M595" i="3"/>
  <c r="M298" i="3"/>
  <c r="M318" i="3"/>
  <c r="M1136" i="3"/>
  <c r="M1232" i="3"/>
  <c r="M966" i="3"/>
  <c r="M91" i="3"/>
  <c r="M712" i="3"/>
  <c r="M1109" i="3"/>
  <c r="M331" i="3"/>
  <c r="M546" i="3"/>
  <c r="M182" i="3"/>
  <c r="M1122" i="3"/>
  <c r="M869" i="3"/>
  <c r="M998" i="3"/>
  <c r="M1010" i="3"/>
  <c r="M578" i="3"/>
  <c r="M977" i="3"/>
  <c r="M319" i="3"/>
  <c r="M22" i="3"/>
  <c r="M717" i="3"/>
  <c r="M358" i="3"/>
  <c r="M625" i="3"/>
  <c r="M1077" i="3"/>
  <c r="M472" i="3"/>
  <c r="M1024" i="3"/>
  <c r="M592" i="3"/>
  <c r="M1215" i="3"/>
  <c r="M291" i="3"/>
  <c r="M584" i="3"/>
  <c r="M370" i="3"/>
  <c r="M1224" i="3"/>
  <c r="M938" i="3"/>
  <c r="M354" i="3"/>
  <c r="M634" i="3"/>
  <c r="M190" i="3"/>
  <c r="M964" i="3"/>
  <c r="M240" i="3"/>
  <c r="M663" i="3"/>
  <c r="M1183" i="3"/>
  <c r="M916" i="3"/>
  <c r="M52" i="3"/>
  <c r="M491" i="3"/>
  <c r="M769" i="3"/>
  <c r="M196" i="3"/>
  <c r="M1058" i="3"/>
  <c r="M587" i="3"/>
  <c r="M169" i="3"/>
  <c r="M1216" i="3"/>
  <c r="M844" i="3"/>
  <c r="M197" i="3"/>
  <c r="M64" i="3"/>
  <c r="M60" i="3"/>
  <c r="M480" i="3"/>
  <c r="M166" i="3"/>
  <c r="M970" i="3"/>
  <c r="M263" i="3"/>
  <c r="M475" i="3"/>
  <c r="M906" i="3"/>
  <c r="M978" i="3"/>
  <c r="M31" i="3"/>
  <c r="M1246" i="3"/>
  <c r="M226" i="3"/>
  <c r="M75" i="3"/>
  <c r="M23" i="3"/>
  <c r="M678" i="3"/>
  <c r="M606" i="3"/>
  <c r="M907" i="3"/>
  <c r="M626" i="3"/>
  <c r="M395" i="3"/>
  <c r="M1126" i="3"/>
  <c r="M908" i="3"/>
  <c r="M498" i="3"/>
  <c r="M789" i="3"/>
  <c r="M753" i="3"/>
  <c r="M170" i="3"/>
  <c r="M696" i="3"/>
  <c r="M1014" i="3"/>
  <c r="M667" i="3"/>
  <c r="M1154" i="3"/>
  <c r="M1006" i="3"/>
  <c r="M233" i="3"/>
  <c r="M24" i="3"/>
  <c r="M1001" i="3"/>
  <c r="M703" i="3"/>
  <c r="M541" i="3"/>
  <c r="M821" i="3"/>
  <c r="M706" i="3"/>
  <c r="M360" i="3"/>
  <c r="M576" i="3"/>
  <c r="M451" i="3"/>
  <c r="M292" i="3"/>
  <c r="M1244" i="3"/>
  <c r="M476" i="3"/>
  <c r="M682" i="3"/>
  <c r="M53" i="3"/>
  <c r="M944" i="3"/>
  <c r="M616" i="3"/>
  <c r="M807" i="3"/>
  <c r="M1217" i="3"/>
  <c r="M851" i="3"/>
  <c r="M323" i="3"/>
  <c r="M1034" i="3"/>
  <c r="M65" i="3"/>
  <c r="M371" i="3"/>
  <c r="M1127" i="3"/>
  <c r="M258" i="3"/>
  <c r="M945" i="3"/>
  <c r="M349" i="3"/>
  <c r="M59" i="3"/>
  <c r="M860" i="3"/>
  <c r="M668" i="3"/>
  <c r="M227" i="3"/>
  <c r="M271" i="3"/>
  <c r="M466" i="3"/>
  <c r="M651" i="3"/>
  <c r="M245" i="3"/>
  <c r="M758" i="3"/>
  <c r="M617" i="3"/>
  <c r="M246" i="3"/>
  <c r="M148" i="3"/>
  <c r="M299" i="3"/>
  <c r="M588" i="3"/>
  <c r="M566" i="3"/>
  <c r="M54" i="3"/>
  <c r="M426" i="3"/>
  <c r="M542" i="3"/>
  <c r="M214" i="3"/>
  <c r="M879" i="3"/>
  <c r="M372" i="3"/>
  <c r="M215" i="3"/>
  <c r="M48" i="3"/>
  <c r="M1250" i="3"/>
  <c r="M852" i="3"/>
  <c r="M1049" i="3"/>
  <c r="M183" i="3"/>
  <c r="M390" i="3"/>
  <c r="M791" i="3"/>
  <c r="M1015" i="3"/>
  <c r="M454" i="3"/>
  <c r="M830" i="3"/>
  <c r="M1198" i="3"/>
  <c r="M406" i="3"/>
  <c r="M526" i="3"/>
  <c r="M427" i="3"/>
  <c r="M971" i="3"/>
  <c r="M416" i="3"/>
  <c r="M467" i="3"/>
  <c r="M993" i="3"/>
  <c r="M750" i="3"/>
  <c r="M1184" i="3"/>
  <c r="M872" i="3"/>
  <c r="M1206" i="3"/>
  <c r="M116" i="3"/>
  <c r="M494" i="3"/>
  <c r="M1124" i="3"/>
  <c r="M917" i="3"/>
  <c r="M428" i="3"/>
  <c r="M1016" i="3"/>
  <c r="M551" i="3"/>
  <c r="M687" i="3"/>
  <c r="M1192" i="3"/>
  <c r="M409" i="3"/>
  <c r="M652" i="3"/>
  <c r="M921" i="3"/>
  <c r="M175" i="3"/>
  <c r="M736" i="3"/>
  <c r="M1128" i="3"/>
  <c r="M365" i="3"/>
  <c r="M967" i="3"/>
  <c r="M106" i="3"/>
  <c r="M569" i="3"/>
  <c r="M241" i="3"/>
  <c r="M280" i="3"/>
  <c r="M1233" i="3"/>
  <c r="M171" i="3"/>
  <c r="M247" i="3"/>
  <c r="M527" i="3"/>
  <c r="M366" i="3"/>
  <c r="M1207" i="3"/>
  <c r="M857" i="3"/>
  <c r="M250" i="3"/>
  <c r="M419" i="3"/>
  <c r="M722" i="3"/>
  <c r="M691" i="3"/>
  <c r="M191" i="3"/>
  <c r="M547" i="3"/>
  <c r="M733" i="3"/>
  <c r="M600" i="3"/>
  <c r="M570" i="3"/>
  <c r="M311" i="3"/>
  <c r="M831" i="3"/>
  <c r="M858" i="3"/>
  <c r="M741" i="3"/>
  <c r="M125" i="3"/>
  <c r="M538" i="3"/>
  <c r="M433" i="3"/>
  <c r="M1164" i="3"/>
  <c r="M130" i="3"/>
  <c r="M27" i="3"/>
  <c r="M481" i="3"/>
  <c r="M1068" i="3"/>
  <c r="M718" i="3"/>
  <c r="M589" i="3"/>
  <c r="M284" i="3"/>
  <c r="M549" i="3"/>
  <c r="M355" i="3"/>
  <c r="M1069" i="3"/>
  <c r="M396" i="3"/>
  <c r="M397" i="3"/>
  <c r="M513" i="3"/>
  <c r="M212" i="3"/>
  <c r="M745" i="3"/>
  <c r="M293" i="3"/>
  <c r="M407" i="3"/>
  <c r="M571" i="3"/>
  <c r="M784" i="3"/>
  <c r="M1231" i="3"/>
  <c r="M385" i="3"/>
  <c r="M398" i="3"/>
  <c r="M41" i="3"/>
  <c r="M172" i="3"/>
  <c r="M437" i="3"/>
  <c r="M455" i="3"/>
  <c r="M543" i="3"/>
  <c r="M719" i="3"/>
  <c r="M866" i="3"/>
  <c r="M884" i="3"/>
  <c r="M1131" i="3"/>
  <c r="M1160" i="3"/>
  <c r="M1017" i="3"/>
  <c r="M593" i="3"/>
  <c r="M13" i="3"/>
  <c r="M1103" i="3"/>
  <c r="M297" i="3"/>
  <c r="M1052" i="3"/>
  <c r="M607" i="3"/>
  <c r="M1208" i="3"/>
  <c r="M709" i="3"/>
  <c r="M163" i="3"/>
  <c r="M933" i="3"/>
  <c r="M324" i="3"/>
  <c r="M654" i="3"/>
  <c r="M234" i="3"/>
  <c r="M529" i="3"/>
  <c r="M495" i="3"/>
  <c r="M909" i="3"/>
  <c r="M76" i="3"/>
  <c r="M99" i="3"/>
  <c r="M1045" i="3"/>
  <c r="M704" i="3"/>
  <c r="M972" i="3"/>
  <c r="M251" i="3"/>
  <c r="M646" i="3"/>
  <c r="M861" i="3"/>
  <c r="M775" i="3"/>
  <c r="M837" i="3"/>
  <c r="M1120" i="3"/>
  <c r="M817" i="3"/>
  <c r="M410" i="3"/>
  <c r="M1178" i="3"/>
  <c r="M562" i="3"/>
  <c r="M411" i="3"/>
  <c r="M1161" i="3"/>
  <c r="M601" i="3"/>
  <c r="M618" i="3"/>
  <c r="M1031" i="3"/>
  <c r="M511" i="3"/>
  <c r="M28" i="3"/>
  <c r="M503" i="3"/>
  <c r="M307" i="3"/>
  <c r="M822" i="3"/>
  <c r="M841" i="3"/>
  <c r="M896" i="3"/>
  <c r="M422" i="3"/>
  <c r="M1078" i="3"/>
  <c r="M683" i="3"/>
  <c r="M156" i="3"/>
  <c r="M983" i="3"/>
  <c r="M1092" i="3"/>
  <c r="M149" i="3"/>
  <c r="M875" i="3"/>
  <c r="M692" i="3"/>
  <c r="M637" i="3"/>
  <c r="M1110" i="3"/>
  <c r="M699" i="3"/>
  <c r="M1060" i="3"/>
  <c r="M282" i="3"/>
  <c r="M1011" i="3"/>
  <c r="M926" i="3"/>
  <c r="M876" i="3"/>
  <c r="M1007" i="3"/>
  <c r="M145" i="3"/>
  <c r="M660" i="3"/>
  <c r="M973" i="3"/>
  <c r="M624" i="3"/>
  <c r="M1165" i="3"/>
  <c r="M853" i="3"/>
  <c r="M716" i="3"/>
  <c r="M610" i="3"/>
  <c r="M1079" i="3"/>
  <c r="M779" i="3"/>
  <c r="M742" i="3"/>
  <c r="M902" i="3"/>
  <c r="M504" i="3"/>
  <c r="M66" i="3"/>
  <c r="M153" i="3"/>
  <c r="M87" i="3"/>
  <c r="M228" i="3"/>
  <c r="M1088" i="3"/>
  <c r="M259" i="3"/>
  <c r="M83" i="3"/>
  <c r="M796" i="3"/>
  <c r="M456" i="3"/>
  <c r="M602" i="3"/>
  <c r="M770" i="3"/>
  <c r="M1166" i="3"/>
  <c r="M957" i="3"/>
  <c r="M988" i="3"/>
  <c r="M1167" i="3"/>
  <c r="M862" i="3"/>
  <c r="M401" i="3"/>
  <c r="M1061" i="3"/>
  <c r="M486" i="3"/>
  <c r="M1157" i="3"/>
  <c r="M140" i="3"/>
  <c r="M603" i="3"/>
  <c r="M707" i="3"/>
  <c r="M627" i="3"/>
  <c r="M268" i="3"/>
  <c r="M754" i="3"/>
  <c r="M412" i="3"/>
  <c r="M1190" i="3"/>
  <c r="M638" i="3"/>
  <c r="M705" i="3"/>
  <c r="M248" i="3"/>
  <c r="M989" i="3"/>
  <c r="M146" i="3"/>
  <c r="M49" i="3"/>
  <c r="M845" i="3"/>
  <c r="M984" i="3"/>
  <c r="M1096" i="3"/>
  <c r="M985" i="3"/>
  <c r="M482" i="3"/>
  <c r="M1080" i="3"/>
  <c r="M842" i="3"/>
  <c r="M863" i="3"/>
  <c r="M877" i="3"/>
  <c r="M384" i="3"/>
  <c r="M1111" i="3"/>
  <c r="M785" i="3"/>
  <c r="M556" i="3"/>
  <c r="M429" i="3"/>
  <c r="M934" i="3"/>
  <c r="M531" i="3"/>
  <c r="M1070" i="3"/>
  <c r="M1168" i="3"/>
  <c r="M468" i="3"/>
  <c r="M402" i="3"/>
  <c r="M834" i="3"/>
  <c r="M320" i="3"/>
  <c r="M1074" i="3"/>
  <c r="M734" i="3"/>
  <c r="M563" i="3"/>
  <c r="M684" i="3"/>
  <c r="M950" i="3"/>
  <c r="M1201" i="3"/>
  <c r="M1018" i="3"/>
  <c r="M922" i="3"/>
  <c r="M93" i="3"/>
  <c r="M994" i="3"/>
  <c r="M1155" i="3"/>
  <c r="M572" i="3"/>
  <c r="M1202" i="3"/>
  <c r="M242" i="3"/>
  <c r="M598" i="3"/>
  <c r="M462" i="3"/>
  <c r="M362" i="3"/>
  <c r="M387" i="3"/>
  <c r="M342" i="3"/>
  <c r="M1237" i="3"/>
  <c r="M161" i="3"/>
  <c r="M447" i="3"/>
  <c r="M1114" i="3"/>
  <c r="M952" i="3"/>
  <c r="M272" i="3"/>
  <c r="M532" i="3"/>
  <c r="M1022" i="3"/>
  <c r="M854" i="3"/>
  <c r="M273" i="3"/>
  <c r="M1186" i="3"/>
  <c r="M346" i="3"/>
  <c r="M903" i="3"/>
  <c r="M1222" i="3"/>
  <c r="M548" i="3"/>
  <c r="M137" i="3"/>
  <c r="M77" i="3"/>
  <c r="M1089" i="3"/>
  <c r="M32" i="3"/>
  <c r="M1050" i="3"/>
  <c r="M1174" i="3"/>
  <c r="M986" i="3"/>
  <c r="M269" i="3"/>
  <c r="M923" i="3"/>
  <c r="M539" i="3"/>
  <c r="M880" i="3"/>
  <c r="M801" i="3"/>
  <c r="M1235" i="3"/>
  <c r="M42" i="3"/>
  <c r="M1225" i="3"/>
  <c r="M423" i="3"/>
  <c r="M1084" i="3"/>
  <c r="M778" i="3"/>
  <c r="M669" i="3"/>
  <c r="M110" i="3"/>
  <c r="M700" i="3"/>
  <c r="M935" i="3"/>
  <c r="M864" i="3"/>
  <c r="M679" i="3"/>
  <c r="M939" i="3"/>
  <c r="M1025" i="3"/>
  <c r="M235" i="3"/>
  <c r="M936" i="3"/>
  <c r="M352" i="3"/>
  <c r="M444" i="3"/>
  <c r="M363" i="3"/>
  <c r="M332" i="3"/>
  <c r="M1012" i="3"/>
  <c r="M264" i="3"/>
  <c r="M812" i="3"/>
  <c r="M818" i="3"/>
  <c r="M927" i="3"/>
  <c r="M236" i="3"/>
  <c r="M962" i="3"/>
  <c r="M6" i="3"/>
  <c r="M674" i="3"/>
  <c r="M512" i="3"/>
  <c r="M221" i="3"/>
  <c r="M391" i="3"/>
  <c r="M223" i="3"/>
  <c r="M979" i="3"/>
  <c r="M100" i="3"/>
  <c r="M1185" i="3"/>
  <c r="M85" i="3"/>
  <c r="M399" i="3"/>
  <c r="M1085" i="3"/>
  <c r="M78" i="3"/>
  <c r="M154" i="3"/>
  <c r="M408" i="3"/>
  <c r="M1137" i="3"/>
  <c r="M1156" i="3"/>
  <c r="M1062" i="3"/>
  <c r="M657" i="3"/>
  <c r="M285" i="3"/>
  <c r="M1041" i="3"/>
  <c r="M7" i="3"/>
  <c r="M39" i="3"/>
  <c r="M325" i="3"/>
  <c r="M1135" i="3"/>
  <c r="M940" i="3"/>
  <c r="M1179" i="3"/>
  <c r="M487" i="3"/>
  <c r="M198" i="3"/>
  <c r="M1138" i="3"/>
  <c r="M941" i="3"/>
  <c r="M737" i="3"/>
  <c r="M1093" i="3"/>
  <c r="M552" i="3"/>
  <c r="M294" i="3"/>
  <c r="M101" i="3"/>
  <c r="M585" i="3"/>
  <c r="M1112" i="3"/>
  <c r="M1139" i="3"/>
  <c r="M1211" i="3"/>
  <c r="M1129" i="3"/>
  <c r="M488" i="3"/>
  <c r="M1115" i="3"/>
  <c r="M1035" i="3"/>
  <c r="M648" i="3"/>
  <c r="M904" i="3"/>
  <c r="M388" i="3"/>
  <c r="M797" i="3"/>
  <c r="M1209" i="3"/>
  <c r="M928" i="3"/>
  <c r="M604" i="3"/>
  <c r="M50" i="3"/>
  <c r="M473" i="3"/>
  <c r="M117" i="3"/>
  <c r="M780" i="3"/>
  <c r="M121" i="3"/>
  <c r="M29" i="3"/>
  <c r="M417" i="3"/>
  <c r="M798" i="3"/>
  <c r="M300" i="3"/>
  <c r="M118" i="3"/>
  <c r="M229" i="3"/>
  <c r="M177" i="3"/>
  <c r="M846" i="3"/>
  <c r="M910" i="3"/>
  <c r="M1053" i="3"/>
  <c r="M114" i="3"/>
  <c r="M924" i="3"/>
  <c r="M931" i="3"/>
  <c r="M1081" i="3"/>
  <c r="M157" i="3"/>
  <c r="M628" i="3"/>
  <c r="M708" i="3"/>
  <c r="M809" i="3"/>
  <c r="M33" i="3"/>
  <c r="M848" i="3"/>
  <c r="M639" i="3"/>
  <c r="M1026" i="3"/>
  <c r="M201" i="3"/>
  <c r="M685" i="3"/>
  <c r="M714" i="3"/>
  <c r="M1191" i="3"/>
  <c r="M746" i="3"/>
  <c r="M726" i="3"/>
  <c r="M596" i="3"/>
  <c r="M392" i="3"/>
  <c r="M265" i="3"/>
  <c r="M96" i="3"/>
  <c r="M675" i="3"/>
  <c r="M222" i="3"/>
  <c r="M1125" i="3"/>
  <c r="M216" i="3"/>
  <c r="M1158" i="3"/>
  <c r="M599" i="3"/>
  <c r="M184" i="3"/>
  <c r="M131" i="3"/>
  <c r="M508" i="3"/>
  <c r="M762" i="3"/>
  <c r="M1248" i="3"/>
  <c r="M1046" i="3"/>
  <c r="M897" i="3"/>
  <c r="M107" i="3"/>
  <c r="M594" i="3"/>
  <c r="M827" i="3"/>
  <c r="M260" i="3"/>
  <c r="M434" i="3"/>
  <c r="M413" i="3"/>
  <c r="M88" i="3"/>
  <c r="M477" i="3"/>
  <c r="M420" i="3"/>
  <c r="M781" i="3"/>
  <c r="M1193" i="3"/>
  <c r="M640" i="3"/>
  <c r="M782" i="3"/>
  <c r="M629" i="3"/>
  <c r="M1212" i="3"/>
  <c r="M763" i="3"/>
  <c r="M361" i="3"/>
  <c r="M536" i="3"/>
  <c r="M463" i="3"/>
  <c r="M1241" i="3"/>
  <c r="M948" i="3"/>
  <c r="M819" i="3"/>
  <c r="M518" i="3"/>
  <c r="M573" i="3"/>
  <c r="M946" i="3"/>
  <c r="M274" i="3"/>
  <c r="M1104" i="3"/>
  <c r="M905" i="3"/>
  <c r="M424" i="3"/>
  <c r="M192" i="3"/>
  <c r="M1132" i="3"/>
  <c r="M619" i="3"/>
  <c r="M1226" i="3"/>
  <c r="M277" i="3"/>
  <c r="M1002" i="3"/>
  <c r="M713" i="3"/>
  <c r="M186" i="3"/>
  <c r="M1042" i="3"/>
  <c r="M337" i="3"/>
  <c r="M278" i="3"/>
  <c r="M664" i="3"/>
  <c r="M1187" i="3"/>
  <c r="M1071" i="3"/>
  <c r="M990" i="3"/>
  <c r="M885" i="3"/>
  <c r="M111" i="3"/>
  <c r="M1064" i="3"/>
  <c r="M1210" i="3"/>
  <c r="M792" i="3"/>
  <c r="M275" i="3"/>
  <c r="M173" i="3"/>
  <c r="M289" i="3"/>
  <c r="M963" i="3"/>
  <c r="M670" i="3"/>
  <c r="M237" i="3"/>
  <c r="M680" i="3"/>
  <c r="M1086" i="3"/>
  <c r="M97" i="3"/>
  <c r="M1218" i="3"/>
  <c r="M178" i="3"/>
  <c r="M1099" i="3"/>
  <c r="M141" i="3"/>
  <c r="M47" i="3"/>
  <c r="M489" i="3"/>
  <c r="M574" i="3"/>
  <c r="M991" i="3"/>
  <c r="M217" i="3"/>
  <c r="M458" i="3"/>
  <c r="M1027" i="3"/>
  <c r="M350" i="3"/>
  <c r="M1144" i="3"/>
  <c r="M445" i="3"/>
  <c r="M224" i="3"/>
  <c r="M43" i="3"/>
  <c r="M71" i="3"/>
  <c r="M1130" i="3"/>
  <c r="M193" i="3"/>
  <c r="M1075" i="3"/>
  <c r="M1228" i="3"/>
  <c r="M999" i="3"/>
  <c r="M301" i="3"/>
  <c r="M641" i="3"/>
  <c r="M580" i="3"/>
  <c r="M290" i="3"/>
  <c r="M911" i="3"/>
  <c r="M367" i="3"/>
  <c r="M283" i="3"/>
  <c r="M867" i="3"/>
  <c r="M1188" i="3"/>
  <c r="M671" i="3"/>
  <c r="M632" i="3"/>
  <c r="M958" i="3"/>
  <c r="M642" i="3"/>
  <c r="M44" i="3"/>
  <c r="M1180" i="3"/>
  <c r="M1247" i="3"/>
  <c r="M557" i="3"/>
  <c r="M653" i="3"/>
  <c r="M1065" i="3"/>
  <c r="M92" i="3"/>
  <c r="M898" i="3"/>
  <c r="M519" i="3"/>
  <c r="M802" i="3"/>
  <c r="M89" i="3"/>
  <c r="M1054" i="3"/>
  <c r="M540" i="3"/>
  <c r="M1181" i="3"/>
  <c r="M980" i="3"/>
  <c r="M520" i="3"/>
  <c r="M55" i="3"/>
  <c r="M1105" i="3"/>
  <c r="M605" i="3"/>
  <c r="M793" i="3"/>
  <c r="M868" i="3"/>
  <c r="M764" i="3"/>
  <c r="M326" i="3"/>
  <c r="M1066" i="3"/>
  <c r="M61" i="3"/>
  <c r="M147" i="3"/>
  <c r="M122" i="3"/>
  <c r="M715" i="3"/>
  <c r="M142" i="3"/>
  <c r="M1043" i="3"/>
  <c r="M865" i="3"/>
  <c r="M747" i="3"/>
  <c r="M1003" i="3"/>
  <c r="M581" i="3"/>
  <c r="M1036" i="3"/>
  <c r="M803" i="3"/>
  <c r="M414" i="3"/>
  <c r="M70" i="3"/>
  <c r="M438" i="3"/>
  <c r="J276" i="3"/>
  <c r="J1175" i="3"/>
  <c r="J403" i="3"/>
  <c r="J1055" i="3"/>
  <c r="J373" i="3"/>
  <c r="J771" i="3"/>
  <c r="J286" i="3"/>
  <c r="J34" i="3"/>
  <c r="J550" i="3"/>
  <c r="J218" i="3"/>
  <c r="J953" i="3"/>
  <c r="J892" i="3"/>
  <c r="J72" i="3"/>
  <c r="J1047" i="3"/>
  <c r="J579" i="3"/>
  <c r="J949" i="3"/>
  <c r="J287" i="3"/>
  <c r="J1121" i="3"/>
  <c r="J499" i="3"/>
  <c r="J243" i="3"/>
  <c r="J832" i="3"/>
  <c r="J738" i="3"/>
  <c r="J483" i="3"/>
  <c r="J179" i="3"/>
  <c r="J954" i="3"/>
  <c r="J992" i="3"/>
  <c r="J219" i="3"/>
  <c r="J681" i="3"/>
  <c r="J688" i="3"/>
  <c r="J492" i="3"/>
  <c r="J321" i="3"/>
  <c r="J1140" i="3"/>
  <c r="J25" i="3"/>
  <c r="J356" i="3"/>
  <c r="J951" i="3"/>
  <c r="J123" i="3"/>
  <c r="J776" i="3"/>
  <c r="J18" i="3"/>
  <c r="J777" i="3"/>
  <c r="J435" i="3"/>
  <c r="J912" i="3"/>
  <c r="J270" i="3"/>
  <c r="J959" i="3"/>
  <c r="J252" i="3"/>
  <c r="J253" i="3"/>
  <c r="J1203" i="3"/>
  <c r="J676" i="3"/>
  <c r="J643" i="3"/>
  <c r="J739" i="3"/>
  <c r="J164" i="3"/>
  <c r="J658" i="3"/>
  <c r="J697" i="3"/>
  <c r="J443" i="3"/>
  <c r="J1037" i="3"/>
  <c r="J1028" i="3"/>
  <c r="J1213" i="3"/>
  <c r="J611" i="3"/>
  <c r="J772" i="3"/>
  <c r="J180" i="3"/>
  <c r="J1038" i="3"/>
  <c r="J364" i="3"/>
  <c r="J1008" i="3"/>
  <c r="J1238" i="3"/>
  <c r="J208" i="3"/>
  <c r="J808" i="3"/>
  <c r="J205" i="3"/>
  <c r="J995" i="3"/>
  <c r="J968" i="3"/>
  <c r="J206" i="3"/>
  <c r="J767" i="3"/>
  <c r="J514" i="3"/>
  <c r="J126" i="3"/>
  <c r="J521" i="3"/>
  <c r="J1051" i="3"/>
  <c r="J996" i="3"/>
  <c r="J209" i="3"/>
  <c r="J1243" i="3"/>
  <c r="J723" i="3"/>
  <c r="J14" i="3"/>
  <c r="J188" i="3"/>
  <c r="J8" i="3"/>
  <c r="J347" i="3"/>
  <c r="J1169" i="3"/>
  <c r="J888" i="3"/>
  <c r="J743" i="3"/>
  <c r="J677" i="3"/>
  <c r="J484" i="3"/>
  <c r="J1116" i="3"/>
  <c r="J647" i="3"/>
  <c r="J724" i="3"/>
  <c r="J544" i="3"/>
  <c r="J937" i="3"/>
  <c r="J266" i="3"/>
  <c r="J1194" i="3"/>
  <c r="J893" i="3"/>
  <c r="J710" i="3"/>
  <c r="J267" i="3"/>
  <c r="J873" i="3"/>
  <c r="J804" i="3"/>
  <c r="J720" i="3"/>
  <c r="J582" i="3"/>
  <c r="J665" i="3"/>
  <c r="J913" i="3"/>
  <c r="J143" i="3"/>
  <c r="J849" i="3"/>
  <c r="J329" i="3"/>
  <c r="J150" i="3"/>
  <c r="J1145" i="3"/>
  <c r="J35" i="3"/>
  <c r="J1141" i="3"/>
  <c r="J448" i="3"/>
  <c r="J1162" i="3"/>
  <c r="J457" i="3"/>
  <c r="J1170" i="3"/>
  <c r="J835" i="3"/>
  <c r="J608" i="3"/>
  <c r="J1067" i="3"/>
  <c r="J889" i="3"/>
  <c r="J1204" i="3"/>
  <c r="J308" i="3"/>
  <c r="J135" i="3"/>
  <c r="J1106" i="3"/>
  <c r="J176" i="3"/>
  <c r="J119" i="3"/>
  <c r="J759" i="3"/>
  <c r="J378" i="3"/>
  <c r="J165" i="3"/>
  <c r="J1021" i="3"/>
  <c r="J1220" i="3"/>
  <c r="J181" i="3"/>
  <c r="J478" i="3"/>
  <c r="J338" i="3"/>
  <c r="J1029" i="3"/>
  <c r="J955" i="3"/>
  <c r="J207" i="3"/>
  <c r="J655" i="3"/>
  <c r="J254" i="3"/>
  <c r="J1097" i="3"/>
  <c r="J523" i="3"/>
  <c r="J496" i="3"/>
  <c r="J748" i="3"/>
  <c r="J1040" i="3"/>
  <c r="J899" i="3"/>
  <c r="J376" i="3"/>
  <c r="J374" i="3"/>
  <c r="J773" i="3"/>
  <c r="J537" i="3"/>
  <c r="J925" i="3"/>
  <c r="J659" i="3"/>
  <c r="J230" i="3"/>
  <c r="J583" i="3"/>
  <c r="J881" i="3"/>
  <c r="J900" i="3"/>
  <c r="J1159" i="3"/>
  <c r="J1149" i="3"/>
  <c r="J302" i="3"/>
  <c r="J2" i="3"/>
  <c r="J151" i="3"/>
  <c r="J721" i="3"/>
  <c r="J379" i="3"/>
  <c r="J810" i="3"/>
  <c r="J115" i="3"/>
  <c r="J1221" i="3"/>
  <c r="J533" i="3"/>
  <c r="J36" i="3"/>
  <c r="J586" i="3"/>
  <c r="J127" i="3"/>
  <c r="J194" i="3"/>
  <c r="J30" i="3"/>
  <c r="J1150" i="3"/>
  <c r="J1117" i="3"/>
  <c r="J794" i="3"/>
  <c r="J874" i="3"/>
  <c r="J112" i="3"/>
  <c r="J353" i="3"/>
  <c r="J333" i="3"/>
  <c r="J553" i="3"/>
  <c r="J1199" i="3"/>
  <c r="J167" i="3"/>
  <c r="J1200" i="3"/>
  <c r="J155" i="3"/>
  <c r="J102" i="3"/>
  <c r="J530" i="3"/>
  <c r="J393" i="3"/>
  <c r="J305" i="3"/>
  <c r="J666" i="3"/>
  <c r="J339" i="3"/>
  <c r="J1090" i="3"/>
  <c r="J635" i="3"/>
  <c r="J918" i="3"/>
  <c r="J3" i="3"/>
  <c r="J1063" i="3"/>
  <c r="J942" i="3"/>
  <c r="J464" i="3"/>
  <c r="J4" i="3"/>
  <c r="J465" i="3"/>
  <c r="J380" i="3"/>
  <c r="J522" i="3"/>
  <c r="J80" i="3"/>
  <c r="J630" i="3"/>
  <c r="J805" i="3"/>
  <c r="J524" i="3"/>
  <c r="J1251" i="3"/>
  <c r="J855" i="3"/>
  <c r="J1107" i="3"/>
  <c r="J86" i="3"/>
  <c r="J244" i="3"/>
  <c r="J62" i="3"/>
  <c r="J138" i="3"/>
  <c r="J929" i="3"/>
  <c r="J19" i="3"/>
  <c r="J847" i="3"/>
  <c r="J1108" i="3"/>
  <c r="J506" i="3"/>
  <c r="J1056" i="3"/>
  <c r="J15" i="3"/>
  <c r="J309" i="3"/>
  <c r="J158" i="3"/>
  <c r="J281" i="3"/>
  <c r="J974" i="3"/>
  <c r="J838" i="3"/>
  <c r="J1151" i="3"/>
  <c r="J1072" i="3"/>
  <c r="J16" i="3"/>
  <c r="J856" i="3"/>
  <c r="J103" i="3"/>
  <c r="J1123" i="3"/>
  <c r="J1147" i="3"/>
  <c r="J382" i="3"/>
  <c r="J389" i="3"/>
  <c r="J500" i="3"/>
  <c r="J813" i="3"/>
  <c r="J1133" i="3"/>
  <c r="J81" i="3"/>
  <c r="J501" i="3"/>
  <c r="J152" i="3"/>
  <c r="J306" i="3"/>
  <c r="J383" i="3"/>
  <c r="J343" i="3"/>
  <c r="J485" i="3"/>
  <c r="J459" i="3"/>
  <c r="J460" i="3"/>
  <c r="J1013" i="3"/>
  <c r="J765" i="3"/>
  <c r="J644" i="3"/>
  <c r="J159" i="3"/>
  <c r="J195" i="3"/>
  <c r="J727" i="3"/>
  <c r="J839" i="3"/>
  <c r="J359" i="3"/>
  <c r="J693" i="3"/>
  <c r="J894" i="3"/>
  <c r="J134" i="3"/>
  <c r="J1102" i="3"/>
  <c r="J956" i="3"/>
  <c r="J160" i="3"/>
  <c r="J386" i="3"/>
  <c r="J1242" i="3"/>
  <c r="J947" i="3"/>
  <c r="J185" i="3"/>
  <c r="J452" i="3"/>
  <c r="J612" i="3"/>
  <c r="J786" i="3"/>
  <c r="J1082" i="3"/>
  <c r="J63" i="3"/>
  <c r="J312" i="3"/>
  <c r="J67" i="3"/>
  <c r="J368" i="3"/>
  <c r="J493" i="3"/>
  <c r="J174" i="3"/>
  <c r="J649" i="3"/>
  <c r="J439" i="3"/>
  <c r="J751" i="3"/>
  <c r="J430" i="3"/>
  <c r="J315" i="3"/>
  <c r="J766" i="3"/>
  <c r="J113" i="3"/>
  <c r="J255" i="3"/>
  <c r="J425" i="3"/>
  <c r="J316" i="3"/>
  <c r="J415" i="3"/>
  <c r="J210" i="3"/>
  <c r="J914" i="3"/>
  <c r="J969" i="3"/>
  <c r="J1240" i="3"/>
  <c r="J960" i="3"/>
  <c r="J828" i="3"/>
  <c r="J567" i="3"/>
  <c r="J446" i="3"/>
  <c r="J256" i="3"/>
  <c r="J806" i="3"/>
  <c r="J440" i="3"/>
  <c r="J768" i="3"/>
  <c r="J84" i="3"/>
  <c r="J859" i="3"/>
  <c r="J199" i="3"/>
  <c r="J261" i="3"/>
  <c r="J1176" i="3"/>
  <c r="J590" i="3"/>
  <c r="J1032" i="3"/>
  <c r="J1039" i="3"/>
  <c r="J1113" i="3"/>
  <c r="J783" i="3"/>
  <c r="J262" i="3"/>
  <c r="J961" i="3"/>
  <c r="J943" i="3"/>
  <c r="J369" i="3"/>
  <c r="J303" i="3"/>
  <c r="J220" i="3"/>
  <c r="J528" i="3"/>
  <c r="J1059" i="3"/>
  <c r="J104" i="3"/>
  <c r="J728" i="3"/>
  <c r="J40" i="3"/>
  <c r="J105" i="3"/>
  <c r="J620" i="3"/>
  <c r="J509" i="3"/>
  <c r="J1118" i="3"/>
  <c r="J327" i="3"/>
  <c r="J836" i="3"/>
  <c r="J68" i="3"/>
  <c r="J689" i="3"/>
  <c r="J505" i="3"/>
  <c r="J1148" i="3"/>
  <c r="J886" i="3"/>
  <c r="J887" i="3"/>
  <c r="J1182" i="3"/>
  <c r="J731" i="3"/>
  <c r="J577" i="3"/>
  <c r="J436" i="3"/>
  <c r="J1152" i="3"/>
  <c r="J1227" i="3"/>
  <c r="J554" i="3"/>
  <c r="J1239" i="3"/>
  <c r="J1177" i="3"/>
  <c r="J795" i="3"/>
  <c r="J231" i="3"/>
  <c r="J1073" i="3"/>
  <c r="J279" i="3"/>
  <c r="J73" i="3"/>
  <c r="J1134" i="3"/>
  <c r="J686" i="3"/>
  <c r="J1230" i="3"/>
  <c r="J919" i="3"/>
  <c r="J890" i="3"/>
  <c r="J515" i="3"/>
  <c r="J825" i="3"/>
  <c r="J1100" i="3"/>
  <c r="J1214" i="3"/>
  <c r="J1044" i="3"/>
  <c r="J613" i="3"/>
  <c r="J891" i="3"/>
  <c r="J79" i="3"/>
  <c r="J1030" i="3"/>
  <c r="J128" i="3"/>
  <c r="J820" i="3"/>
  <c r="J915" i="3"/>
  <c r="J94" i="3"/>
  <c r="J656" i="3"/>
  <c r="J310" i="3"/>
  <c r="J645" i="3"/>
  <c r="J558" i="3"/>
  <c r="J162" i="3"/>
  <c r="J1171" i="3"/>
  <c r="J1019" i="3"/>
  <c r="J870" i="3"/>
  <c r="J1195" i="3"/>
  <c r="J1101" i="3"/>
  <c r="J788" i="3"/>
  <c r="J139" i="3"/>
  <c r="J1234" i="3"/>
  <c r="J317" i="3"/>
  <c r="J431" i="3"/>
  <c r="J534" i="3"/>
  <c r="J1205" i="3"/>
  <c r="J575" i="3"/>
  <c r="J295" i="3"/>
  <c r="J421" i="3"/>
  <c r="J202" i="3"/>
  <c r="J799" i="3"/>
  <c r="J878" i="3"/>
  <c r="J840" i="3"/>
  <c r="J661" i="3"/>
  <c r="J313" i="3"/>
  <c r="J45" i="3"/>
  <c r="J930" i="3"/>
  <c r="J1076" i="3"/>
  <c r="J344" i="3"/>
  <c r="J238" i="3"/>
  <c r="J381" i="3"/>
  <c r="J740" i="3"/>
  <c r="J334" i="3"/>
  <c r="J12" i="3"/>
  <c r="J56" i="3"/>
  <c r="J1153" i="3"/>
  <c r="J1249" i="3"/>
  <c r="J187" i="3"/>
  <c r="J377" i="3"/>
  <c r="J351" i="3"/>
  <c r="J673" i="3"/>
  <c r="J51" i="3"/>
  <c r="J1000" i="3"/>
  <c r="J449" i="3"/>
  <c r="J749" i="3"/>
  <c r="J814" i="3"/>
  <c r="J871" i="3"/>
  <c r="J694" i="3"/>
  <c r="J17" i="3"/>
  <c r="J744" i="3"/>
  <c r="J729" i="3"/>
  <c r="J882" i="3"/>
  <c r="J621" i="3"/>
  <c r="J9" i="3"/>
  <c r="J450" i="3"/>
  <c r="J1142" i="3"/>
  <c r="J82" i="3"/>
  <c r="J698" i="3"/>
  <c r="J348" i="3"/>
  <c r="J752" i="3"/>
  <c r="J1196" i="3"/>
  <c r="J132" i="3"/>
  <c r="J136" i="3"/>
  <c r="J932" i="3"/>
  <c r="J774" i="3"/>
  <c r="J901" i="3"/>
  <c r="J20" i="3"/>
  <c r="J57" i="3"/>
  <c r="J404" i="3"/>
  <c r="J1189" i="3"/>
  <c r="J322" i="3"/>
  <c r="J1087" i="3"/>
  <c r="J735" i="3"/>
  <c r="J479" i="3"/>
  <c r="J357" i="3"/>
  <c r="J120" i="3"/>
  <c r="J561" i="3"/>
  <c r="J1094" i="3"/>
  <c r="J37" i="3"/>
  <c r="J701" i="3"/>
  <c r="J168" i="3"/>
  <c r="J545" i="3"/>
  <c r="J568" i="3"/>
  <c r="J38" i="3"/>
  <c r="J69" i="3"/>
  <c r="J662" i="3"/>
  <c r="J441" i="3"/>
  <c r="J1033" i="3"/>
  <c r="J1172" i="3"/>
  <c r="J249" i="3"/>
  <c r="J833" i="3"/>
  <c r="J1219" i="3"/>
  <c r="J981" i="3"/>
  <c r="J1020" i="3"/>
  <c r="J405" i="3"/>
  <c r="J987" i="3"/>
  <c r="J850" i="3"/>
  <c r="J507" i="3"/>
  <c r="J730" i="3"/>
  <c r="J591" i="3"/>
  <c r="J304" i="3"/>
  <c r="J1223" i="3"/>
  <c r="J1173" i="3"/>
  <c r="J811" i="3"/>
  <c r="J614" i="3"/>
  <c r="J257" i="3"/>
  <c r="J1009" i="3"/>
  <c r="J555" i="3"/>
  <c r="J232" i="3"/>
  <c r="J21" i="3"/>
  <c r="J997" i="3"/>
  <c r="J1048" i="3"/>
  <c r="J535" i="3"/>
  <c r="J1083" i="3"/>
  <c r="J650" i="3"/>
  <c r="J564" i="3"/>
  <c r="J239" i="3"/>
  <c r="J461" i="3"/>
  <c r="J711" i="3"/>
  <c r="J400" i="3"/>
  <c r="J418" i="3"/>
  <c r="J690" i="3"/>
  <c r="J129" i="3"/>
  <c r="J203" i="3"/>
  <c r="J124" i="3"/>
  <c r="J46" i="3"/>
  <c r="J108" i="3"/>
  <c r="J976" i="3"/>
  <c r="J204" i="3"/>
  <c r="J1091" i="3"/>
  <c r="J755" i="3"/>
  <c r="J622" i="3"/>
  <c r="J516" i="3"/>
  <c r="J525" i="3"/>
  <c r="J1236" i="3"/>
  <c r="J843" i="3"/>
  <c r="J823" i="3"/>
  <c r="J490" i="3"/>
  <c r="J815" i="3"/>
  <c r="J965" i="3"/>
  <c r="J26" i="3"/>
  <c r="J502" i="3"/>
  <c r="J95" i="3"/>
  <c r="J1143" i="3"/>
  <c r="J328" i="3"/>
  <c r="J133" i="3"/>
  <c r="J824" i="3"/>
  <c r="J109" i="3"/>
  <c r="J883" i="3"/>
  <c r="J597" i="3"/>
  <c r="J336" i="3"/>
  <c r="J732" i="3"/>
  <c r="J787" i="3"/>
  <c r="J1163" i="3"/>
  <c r="J1004" i="3"/>
  <c r="J975" i="3"/>
  <c r="J559" i="3"/>
  <c r="J702" i="3"/>
  <c r="J375" i="3"/>
  <c r="J725" i="3"/>
  <c r="J1119" i="3"/>
  <c r="J631" i="3"/>
  <c r="J560" i="3"/>
  <c r="J826" i="3"/>
  <c r="J340" i="3"/>
  <c r="J760" i="3"/>
  <c r="J615" i="3"/>
  <c r="J341" i="3"/>
  <c r="J1146" i="3"/>
  <c r="J10" i="3"/>
  <c r="J213" i="3"/>
  <c r="J895" i="3"/>
  <c r="J695" i="3"/>
  <c r="J432" i="3"/>
  <c r="J633" i="3"/>
  <c r="J982" i="3"/>
  <c r="J1197" i="3"/>
  <c r="J829" i="3"/>
  <c r="J470" i="3"/>
  <c r="J510" i="3"/>
  <c r="J5" i="3"/>
  <c r="J58" i="3"/>
  <c r="J623" i="3"/>
  <c r="J314" i="3"/>
  <c r="J442" i="3"/>
  <c r="J816" i="3"/>
  <c r="J394" i="3"/>
  <c r="J471" i="3"/>
  <c r="J335" i="3"/>
  <c r="J920" i="3"/>
  <c r="J74" i="3"/>
  <c r="J144" i="3"/>
  <c r="J1057" i="3"/>
  <c r="J11" i="3"/>
  <c r="J517" i="3"/>
  <c r="J1098" i="3"/>
  <c r="J453" i="3"/>
  <c r="J1229" i="3"/>
  <c r="J345" i="3"/>
  <c r="J672" i="3"/>
  <c r="J189" i="3"/>
  <c r="J497" i="3"/>
  <c r="J636" i="3"/>
  <c r="J330" i="3"/>
  <c r="J609" i="3"/>
  <c r="J98" i="3"/>
  <c r="J761" i="3"/>
  <c r="J288" i="3"/>
  <c r="J211" i="3"/>
  <c r="J1005" i="3"/>
  <c r="J800" i="3"/>
  <c r="J757" i="3"/>
  <c r="J469" i="3"/>
  <c r="J565" i="3"/>
  <c r="J1023" i="3"/>
  <c r="J790" i="3"/>
  <c r="J1245" i="3"/>
  <c r="J1095" i="3"/>
  <c r="J225" i="3"/>
  <c r="J90" i="3"/>
  <c r="J200" i="3"/>
  <c r="J756" i="3"/>
  <c r="J474" i="3"/>
  <c r="J296" i="3"/>
  <c r="J595" i="3"/>
  <c r="J298" i="3"/>
  <c r="J318" i="3"/>
  <c r="J1136" i="3"/>
  <c r="J1232" i="3"/>
  <c r="J966" i="3"/>
  <c r="J91" i="3"/>
  <c r="J712" i="3"/>
  <c r="J1109" i="3"/>
  <c r="J331" i="3"/>
  <c r="J546" i="3"/>
  <c r="J182" i="3"/>
  <c r="J1122" i="3"/>
  <c r="J869" i="3"/>
  <c r="J998" i="3"/>
  <c r="J1010" i="3"/>
  <c r="J578" i="3"/>
  <c r="J977" i="3"/>
  <c r="J319" i="3"/>
  <c r="J22" i="3"/>
  <c r="J717" i="3"/>
  <c r="J358" i="3"/>
  <c r="J625" i="3"/>
  <c r="J1077" i="3"/>
  <c r="J472" i="3"/>
  <c r="J1024" i="3"/>
  <c r="J592" i="3"/>
  <c r="J1215" i="3"/>
  <c r="J291" i="3"/>
  <c r="J584" i="3"/>
  <c r="J370" i="3"/>
  <c r="J1224" i="3"/>
  <c r="J938" i="3"/>
  <c r="J354" i="3"/>
  <c r="J634" i="3"/>
  <c r="J190" i="3"/>
  <c r="J964" i="3"/>
  <c r="J240" i="3"/>
  <c r="J663" i="3"/>
  <c r="J1183" i="3"/>
  <c r="J916" i="3"/>
  <c r="J52" i="3"/>
  <c r="J491" i="3"/>
  <c r="J769" i="3"/>
  <c r="J196" i="3"/>
  <c r="J1058" i="3"/>
  <c r="J587" i="3"/>
  <c r="J169" i="3"/>
  <c r="J1216" i="3"/>
  <c r="J844" i="3"/>
  <c r="J197" i="3"/>
  <c r="J64" i="3"/>
  <c r="J60" i="3"/>
  <c r="J480" i="3"/>
  <c r="J166" i="3"/>
  <c r="J970" i="3"/>
  <c r="J263" i="3"/>
  <c r="J475" i="3"/>
  <c r="J906" i="3"/>
  <c r="J978" i="3"/>
  <c r="J31" i="3"/>
  <c r="J1246" i="3"/>
  <c r="J226" i="3"/>
  <c r="J75" i="3"/>
  <c r="J23" i="3"/>
  <c r="J678" i="3"/>
  <c r="J606" i="3"/>
  <c r="J907" i="3"/>
  <c r="J626" i="3"/>
  <c r="J395" i="3"/>
  <c r="J1126" i="3"/>
  <c r="J908" i="3"/>
  <c r="J498" i="3"/>
  <c r="J789" i="3"/>
  <c r="J753" i="3"/>
  <c r="J170" i="3"/>
  <c r="J696" i="3"/>
  <c r="J1014" i="3"/>
  <c r="J667" i="3"/>
  <c r="J1154" i="3"/>
  <c r="J1006" i="3"/>
  <c r="J233" i="3"/>
  <c r="J24" i="3"/>
  <c r="J1001" i="3"/>
  <c r="J703" i="3"/>
  <c r="J541" i="3"/>
  <c r="J821" i="3"/>
  <c r="J706" i="3"/>
  <c r="J360" i="3"/>
  <c r="J576" i="3"/>
  <c r="J451" i="3"/>
  <c r="J292" i="3"/>
  <c r="J1244" i="3"/>
  <c r="J476" i="3"/>
  <c r="J682" i="3"/>
  <c r="J53" i="3"/>
  <c r="J944" i="3"/>
  <c r="J616" i="3"/>
  <c r="J807" i="3"/>
  <c r="J1217" i="3"/>
  <c r="J851" i="3"/>
  <c r="J323" i="3"/>
  <c r="J1034" i="3"/>
  <c r="J65" i="3"/>
  <c r="J371" i="3"/>
  <c r="J1127" i="3"/>
  <c r="J258" i="3"/>
  <c r="J945" i="3"/>
  <c r="J349" i="3"/>
  <c r="J59" i="3"/>
  <c r="J860" i="3"/>
  <c r="J668" i="3"/>
  <c r="J227" i="3"/>
  <c r="J271" i="3"/>
  <c r="J466" i="3"/>
  <c r="J651" i="3"/>
  <c r="J245" i="3"/>
  <c r="J758" i="3"/>
  <c r="J617" i="3"/>
  <c r="J246" i="3"/>
  <c r="J148" i="3"/>
  <c r="J299" i="3"/>
  <c r="J588" i="3"/>
  <c r="J566" i="3"/>
  <c r="J54" i="3"/>
  <c r="J426" i="3"/>
  <c r="J542" i="3"/>
  <c r="J214" i="3"/>
  <c r="J879" i="3"/>
  <c r="J372" i="3"/>
  <c r="J215" i="3"/>
  <c r="J48" i="3"/>
  <c r="J1250" i="3"/>
  <c r="J852" i="3"/>
  <c r="J1049" i="3"/>
  <c r="J183" i="3"/>
  <c r="J390" i="3"/>
  <c r="J791" i="3"/>
  <c r="J1015" i="3"/>
  <c r="J454" i="3"/>
  <c r="J830" i="3"/>
  <c r="J1198" i="3"/>
  <c r="J406" i="3"/>
  <c r="J526" i="3"/>
  <c r="J427" i="3"/>
  <c r="J971" i="3"/>
  <c r="J416" i="3"/>
  <c r="J467" i="3"/>
  <c r="J993" i="3"/>
  <c r="J750" i="3"/>
  <c r="J1184" i="3"/>
  <c r="J872" i="3"/>
  <c r="J1206" i="3"/>
  <c r="J116" i="3"/>
  <c r="J494" i="3"/>
  <c r="J1124" i="3"/>
  <c r="J917" i="3"/>
  <c r="J428" i="3"/>
  <c r="J1016" i="3"/>
  <c r="J551" i="3"/>
  <c r="J687" i="3"/>
  <c r="J1192" i="3"/>
  <c r="J409" i="3"/>
  <c r="J652" i="3"/>
  <c r="J921" i="3"/>
  <c r="J175" i="3"/>
  <c r="J736" i="3"/>
  <c r="J1128" i="3"/>
  <c r="J365" i="3"/>
  <c r="J967" i="3"/>
  <c r="J106" i="3"/>
  <c r="J569" i="3"/>
  <c r="J241" i="3"/>
  <c r="J280" i="3"/>
  <c r="J1233" i="3"/>
  <c r="J171" i="3"/>
  <c r="J247" i="3"/>
  <c r="J527" i="3"/>
  <c r="J366" i="3"/>
  <c r="J1207" i="3"/>
  <c r="J857" i="3"/>
  <c r="J250" i="3"/>
  <c r="J419" i="3"/>
  <c r="J722" i="3"/>
  <c r="J691" i="3"/>
  <c r="J191" i="3"/>
  <c r="J547" i="3"/>
  <c r="J733" i="3"/>
  <c r="J600" i="3"/>
  <c r="J570" i="3"/>
  <c r="J311" i="3"/>
  <c r="J831" i="3"/>
  <c r="J858" i="3"/>
  <c r="J741" i="3"/>
  <c r="J125" i="3"/>
  <c r="J538" i="3"/>
  <c r="J433" i="3"/>
  <c r="J1164" i="3"/>
  <c r="J130" i="3"/>
  <c r="J27" i="3"/>
  <c r="J481" i="3"/>
  <c r="J1068" i="3"/>
  <c r="J718" i="3"/>
  <c r="J589" i="3"/>
  <c r="J284" i="3"/>
  <c r="J549" i="3"/>
  <c r="J355" i="3"/>
  <c r="J1069" i="3"/>
  <c r="J396" i="3"/>
  <c r="J397" i="3"/>
  <c r="J513" i="3"/>
  <c r="J212" i="3"/>
  <c r="J745" i="3"/>
  <c r="J293" i="3"/>
  <c r="J407" i="3"/>
  <c r="J571" i="3"/>
  <c r="J784" i="3"/>
  <c r="J1231" i="3"/>
  <c r="J385" i="3"/>
  <c r="J398" i="3"/>
  <c r="J41" i="3"/>
  <c r="J172" i="3"/>
  <c r="J437" i="3"/>
  <c r="J455" i="3"/>
  <c r="J543" i="3"/>
  <c r="J719" i="3"/>
  <c r="J866" i="3"/>
  <c r="J884" i="3"/>
  <c r="J1131" i="3"/>
  <c r="J1160" i="3"/>
  <c r="J1017" i="3"/>
  <c r="J593" i="3"/>
  <c r="J13" i="3"/>
  <c r="J1103" i="3"/>
  <c r="J297" i="3"/>
  <c r="J1052" i="3"/>
  <c r="J607" i="3"/>
  <c r="J1208" i="3"/>
  <c r="J709" i="3"/>
  <c r="J163" i="3"/>
  <c r="J933" i="3"/>
  <c r="J324" i="3"/>
  <c r="J654" i="3"/>
  <c r="J234" i="3"/>
  <c r="J529" i="3"/>
  <c r="J495" i="3"/>
  <c r="J909" i="3"/>
  <c r="J76" i="3"/>
  <c r="J99" i="3"/>
  <c r="J1045" i="3"/>
  <c r="J704" i="3"/>
  <c r="J972" i="3"/>
  <c r="J251" i="3"/>
  <c r="J646" i="3"/>
  <c r="J861" i="3"/>
  <c r="J775" i="3"/>
  <c r="J837" i="3"/>
  <c r="J1120" i="3"/>
  <c r="J817" i="3"/>
  <c r="J410" i="3"/>
  <c r="J1178" i="3"/>
  <c r="J562" i="3"/>
  <c r="J411" i="3"/>
  <c r="J1161" i="3"/>
  <c r="J601" i="3"/>
  <c r="J618" i="3"/>
  <c r="J1031" i="3"/>
  <c r="J511" i="3"/>
  <c r="J28" i="3"/>
  <c r="J503" i="3"/>
  <c r="J307" i="3"/>
  <c r="J822" i="3"/>
  <c r="J841" i="3"/>
  <c r="J896" i="3"/>
  <c r="J422" i="3"/>
  <c r="J1078" i="3"/>
  <c r="J683" i="3"/>
  <c r="J156" i="3"/>
  <c r="J983" i="3"/>
  <c r="J1092" i="3"/>
  <c r="J149" i="3"/>
  <c r="J875" i="3"/>
  <c r="J692" i="3"/>
  <c r="J637" i="3"/>
  <c r="J1110" i="3"/>
  <c r="J699" i="3"/>
  <c r="J1060" i="3"/>
  <c r="J282" i="3"/>
  <c r="J1011" i="3"/>
  <c r="J926" i="3"/>
  <c r="J876" i="3"/>
  <c r="J1007" i="3"/>
  <c r="J145" i="3"/>
  <c r="J660" i="3"/>
  <c r="J973" i="3"/>
  <c r="J624" i="3"/>
  <c r="J1165" i="3"/>
  <c r="J853" i="3"/>
  <c r="J716" i="3"/>
  <c r="J610" i="3"/>
  <c r="J1079" i="3"/>
  <c r="J779" i="3"/>
  <c r="J742" i="3"/>
  <c r="J902" i="3"/>
  <c r="J504" i="3"/>
  <c r="J66" i="3"/>
  <c r="J153" i="3"/>
  <c r="J87" i="3"/>
  <c r="J228" i="3"/>
  <c r="J1088" i="3"/>
  <c r="J259" i="3"/>
  <c r="J83" i="3"/>
  <c r="J796" i="3"/>
  <c r="J456" i="3"/>
  <c r="J602" i="3"/>
  <c r="J770" i="3"/>
  <c r="J1166" i="3"/>
  <c r="J957" i="3"/>
  <c r="J988" i="3"/>
  <c r="J1167" i="3"/>
  <c r="J862" i="3"/>
  <c r="J401" i="3"/>
  <c r="J1061" i="3"/>
  <c r="J486" i="3"/>
  <c r="J1157" i="3"/>
  <c r="J140" i="3"/>
  <c r="J603" i="3"/>
  <c r="J707" i="3"/>
  <c r="J627" i="3"/>
  <c r="J268" i="3"/>
  <c r="J754" i="3"/>
  <c r="J412" i="3"/>
  <c r="J1190" i="3"/>
  <c r="J638" i="3"/>
  <c r="J705" i="3"/>
  <c r="J248" i="3"/>
  <c r="J989" i="3"/>
  <c r="J146" i="3"/>
  <c r="J49" i="3"/>
  <c r="J845" i="3"/>
  <c r="J984" i="3"/>
  <c r="J1096" i="3"/>
  <c r="J985" i="3"/>
  <c r="J482" i="3"/>
  <c r="J1080" i="3"/>
  <c r="J842" i="3"/>
  <c r="J863" i="3"/>
  <c r="J877" i="3"/>
  <c r="J384" i="3"/>
  <c r="J1111" i="3"/>
  <c r="J785" i="3"/>
  <c r="J556" i="3"/>
  <c r="J429" i="3"/>
  <c r="J934" i="3"/>
  <c r="J531" i="3"/>
  <c r="J1070" i="3"/>
  <c r="J1168" i="3"/>
  <c r="J468" i="3"/>
  <c r="J402" i="3"/>
  <c r="J834" i="3"/>
  <c r="J320" i="3"/>
  <c r="J1074" i="3"/>
  <c r="J734" i="3"/>
  <c r="J563" i="3"/>
  <c r="J684" i="3"/>
  <c r="J950" i="3"/>
  <c r="J1201" i="3"/>
  <c r="J1018" i="3"/>
  <c r="J922" i="3"/>
  <c r="J93" i="3"/>
  <c r="J994" i="3"/>
  <c r="J1155" i="3"/>
  <c r="J572" i="3"/>
  <c r="J1202" i="3"/>
  <c r="J242" i="3"/>
  <c r="J598" i="3"/>
  <c r="J462" i="3"/>
  <c r="J362" i="3"/>
  <c r="J387" i="3"/>
  <c r="J342" i="3"/>
  <c r="J1237" i="3"/>
  <c r="J161" i="3"/>
  <c r="J447" i="3"/>
  <c r="J1114" i="3"/>
  <c r="J952" i="3"/>
  <c r="J272" i="3"/>
  <c r="J532" i="3"/>
  <c r="J1022" i="3"/>
  <c r="J854" i="3"/>
  <c r="J273" i="3"/>
  <c r="J1186" i="3"/>
  <c r="J346" i="3"/>
  <c r="J903" i="3"/>
  <c r="J1222" i="3"/>
  <c r="J548" i="3"/>
  <c r="J137" i="3"/>
  <c r="J77" i="3"/>
  <c r="J1089" i="3"/>
  <c r="J32" i="3"/>
  <c r="J1050" i="3"/>
  <c r="J1174" i="3"/>
  <c r="J986" i="3"/>
  <c r="J269" i="3"/>
  <c r="J923" i="3"/>
  <c r="J539" i="3"/>
  <c r="J880" i="3"/>
  <c r="J801" i="3"/>
  <c r="J1235" i="3"/>
  <c r="J42" i="3"/>
  <c r="J1225" i="3"/>
  <c r="J423" i="3"/>
  <c r="J1084" i="3"/>
  <c r="J778" i="3"/>
  <c r="J669" i="3"/>
  <c r="J110" i="3"/>
  <c r="J700" i="3"/>
  <c r="J935" i="3"/>
  <c r="J864" i="3"/>
  <c r="J679" i="3"/>
  <c r="J939" i="3"/>
  <c r="J1025" i="3"/>
  <c r="J235" i="3"/>
  <c r="J936" i="3"/>
  <c r="J352" i="3"/>
  <c r="J444" i="3"/>
  <c r="J363" i="3"/>
  <c r="J332" i="3"/>
  <c r="J1012" i="3"/>
  <c r="J264" i="3"/>
  <c r="J812" i="3"/>
  <c r="J818" i="3"/>
  <c r="J927" i="3"/>
  <c r="J236" i="3"/>
  <c r="J962" i="3"/>
  <c r="J6" i="3"/>
  <c r="J674" i="3"/>
  <c r="J512" i="3"/>
  <c r="J221" i="3"/>
  <c r="J391" i="3"/>
  <c r="J223" i="3"/>
  <c r="J979" i="3"/>
  <c r="J100" i="3"/>
  <c r="J1185" i="3"/>
  <c r="J85" i="3"/>
  <c r="J399" i="3"/>
  <c r="J1085" i="3"/>
  <c r="J78" i="3"/>
  <c r="J154" i="3"/>
  <c r="J408" i="3"/>
  <c r="J1137" i="3"/>
  <c r="J1156" i="3"/>
  <c r="J1062" i="3"/>
  <c r="J657" i="3"/>
  <c r="J285" i="3"/>
  <c r="J1041" i="3"/>
  <c r="J7" i="3"/>
  <c r="J39" i="3"/>
  <c r="J325" i="3"/>
  <c r="J1135" i="3"/>
  <c r="J940" i="3"/>
  <c r="J1179" i="3"/>
  <c r="J487" i="3"/>
  <c r="J198" i="3"/>
  <c r="J1138" i="3"/>
  <c r="J941" i="3"/>
  <c r="J737" i="3"/>
  <c r="J1093" i="3"/>
  <c r="J552" i="3"/>
  <c r="J294" i="3"/>
  <c r="J101" i="3"/>
  <c r="J585" i="3"/>
  <c r="J1112" i="3"/>
  <c r="J1139" i="3"/>
  <c r="J1211" i="3"/>
  <c r="J1129" i="3"/>
  <c r="J488" i="3"/>
  <c r="J1115" i="3"/>
  <c r="J1035" i="3"/>
  <c r="J648" i="3"/>
  <c r="J904" i="3"/>
  <c r="J388" i="3"/>
  <c r="J797" i="3"/>
  <c r="J1209" i="3"/>
  <c r="J928" i="3"/>
  <c r="J604" i="3"/>
  <c r="J50" i="3"/>
  <c r="J473" i="3"/>
  <c r="J117" i="3"/>
  <c r="J780" i="3"/>
  <c r="J121" i="3"/>
  <c r="J29" i="3"/>
  <c r="J417" i="3"/>
  <c r="J798" i="3"/>
  <c r="J300" i="3"/>
  <c r="J118" i="3"/>
  <c r="J229" i="3"/>
  <c r="J177" i="3"/>
  <c r="J846" i="3"/>
  <c r="J910" i="3"/>
  <c r="J1053" i="3"/>
  <c r="J114" i="3"/>
  <c r="J924" i="3"/>
  <c r="J931" i="3"/>
  <c r="J1081" i="3"/>
  <c r="J157" i="3"/>
  <c r="J628" i="3"/>
  <c r="J708" i="3"/>
  <c r="J809" i="3"/>
  <c r="J33" i="3"/>
  <c r="J848" i="3"/>
  <c r="J639" i="3"/>
  <c r="J1026" i="3"/>
  <c r="J201" i="3"/>
  <c r="J685" i="3"/>
  <c r="J714" i="3"/>
  <c r="J1191" i="3"/>
  <c r="J746" i="3"/>
  <c r="J726" i="3"/>
  <c r="J596" i="3"/>
  <c r="J392" i="3"/>
  <c r="J265" i="3"/>
  <c r="J96" i="3"/>
  <c r="J675" i="3"/>
  <c r="J222" i="3"/>
  <c r="J1125" i="3"/>
  <c r="J216" i="3"/>
  <c r="J1158" i="3"/>
  <c r="J599" i="3"/>
  <c r="J184" i="3"/>
  <c r="J131" i="3"/>
  <c r="J508" i="3"/>
  <c r="J762" i="3"/>
  <c r="J1248" i="3"/>
  <c r="J1046" i="3"/>
  <c r="J897" i="3"/>
  <c r="J107" i="3"/>
  <c r="J594" i="3"/>
  <c r="J827" i="3"/>
  <c r="J260" i="3"/>
  <c r="J434" i="3"/>
  <c r="J413" i="3"/>
  <c r="J88" i="3"/>
  <c r="J477" i="3"/>
  <c r="J420" i="3"/>
  <c r="J781" i="3"/>
  <c r="J1193" i="3"/>
  <c r="J640" i="3"/>
  <c r="J782" i="3"/>
  <c r="J629" i="3"/>
  <c r="J1212" i="3"/>
  <c r="J763" i="3"/>
  <c r="J361" i="3"/>
  <c r="J536" i="3"/>
  <c r="J463" i="3"/>
  <c r="J1241" i="3"/>
  <c r="J948" i="3"/>
  <c r="J819" i="3"/>
  <c r="J518" i="3"/>
  <c r="J573" i="3"/>
  <c r="J946" i="3"/>
  <c r="J274" i="3"/>
  <c r="J1104" i="3"/>
  <c r="J905" i="3"/>
  <c r="J424" i="3"/>
  <c r="J192" i="3"/>
  <c r="J1132" i="3"/>
  <c r="J619" i="3"/>
  <c r="J1226" i="3"/>
  <c r="J277" i="3"/>
  <c r="J1002" i="3"/>
  <c r="J713" i="3"/>
  <c r="J186" i="3"/>
  <c r="J1042" i="3"/>
  <c r="J337" i="3"/>
  <c r="J278" i="3"/>
  <c r="J664" i="3"/>
  <c r="J1187" i="3"/>
  <c r="J1071" i="3"/>
  <c r="J990" i="3"/>
  <c r="J885" i="3"/>
  <c r="J111" i="3"/>
  <c r="J1064" i="3"/>
  <c r="J1210" i="3"/>
  <c r="J792" i="3"/>
  <c r="J275" i="3"/>
  <c r="J173" i="3"/>
  <c r="J289" i="3"/>
  <c r="J963" i="3"/>
  <c r="J670" i="3"/>
  <c r="J237" i="3"/>
  <c r="J680" i="3"/>
  <c r="J1086" i="3"/>
  <c r="J97" i="3"/>
  <c r="J1218" i="3"/>
  <c r="J178" i="3"/>
  <c r="J1099" i="3"/>
  <c r="J141" i="3"/>
  <c r="J47" i="3"/>
  <c r="J489" i="3"/>
  <c r="J574" i="3"/>
  <c r="J991" i="3"/>
  <c r="J217" i="3"/>
  <c r="J458" i="3"/>
  <c r="J1027" i="3"/>
  <c r="J350" i="3"/>
  <c r="J1144" i="3"/>
  <c r="J445" i="3"/>
  <c r="J224" i="3"/>
  <c r="J43" i="3"/>
  <c r="J71" i="3"/>
  <c r="J1130" i="3"/>
  <c r="J193" i="3"/>
  <c r="J1075" i="3"/>
  <c r="J1228" i="3"/>
  <c r="J999" i="3"/>
  <c r="J301" i="3"/>
  <c r="J641" i="3"/>
  <c r="J580" i="3"/>
  <c r="J290" i="3"/>
  <c r="J911" i="3"/>
  <c r="J367" i="3"/>
  <c r="J283" i="3"/>
  <c r="J867" i="3"/>
  <c r="J1188" i="3"/>
  <c r="J671" i="3"/>
  <c r="J632" i="3"/>
  <c r="J958" i="3"/>
  <c r="J642" i="3"/>
  <c r="J44" i="3"/>
  <c r="J1180" i="3"/>
  <c r="J1247" i="3"/>
  <c r="J557" i="3"/>
  <c r="J653" i="3"/>
  <c r="J1065" i="3"/>
  <c r="J92" i="3"/>
  <c r="J898" i="3"/>
  <c r="J519" i="3"/>
  <c r="J802" i="3"/>
  <c r="J89" i="3"/>
  <c r="J1054" i="3"/>
  <c r="J540" i="3"/>
  <c r="J1181" i="3"/>
  <c r="J980" i="3"/>
  <c r="J520" i="3"/>
  <c r="J55" i="3"/>
  <c r="J1105" i="3"/>
  <c r="J605" i="3"/>
  <c r="J793" i="3"/>
  <c r="J868" i="3"/>
  <c r="J764" i="3"/>
  <c r="J326" i="3"/>
  <c r="J1066" i="3"/>
  <c r="J61" i="3"/>
  <c r="J147" i="3"/>
  <c r="J122" i="3"/>
  <c r="J715" i="3"/>
  <c r="J142" i="3"/>
  <c r="J1043" i="3"/>
  <c r="J865" i="3"/>
  <c r="J747" i="3"/>
  <c r="J1003" i="3"/>
  <c r="J581" i="3"/>
  <c r="J1036" i="3"/>
  <c r="J803" i="3"/>
  <c r="J414" i="3"/>
  <c r="J70" i="3"/>
  <c r="J438" i="3"/>
  <c r="H276" i="3"/>
  <c r="H1175" i="3"/>
  <c r="H403" i="3"/>
  <c r="H1055" i="3"/>
  <c r="H373" i="3"/>
  <c r="H771" i="3"/>
  <c r="H286" i="3"/>
  <c r="H34" i="3"/>
  <c r="H550" i="3"/>
  <c r="H218" i="3"/>
  <c r="H953" i="3"/>
  <c r="H892" i="3"/>
  <c r="H72" i="3"/>
  <c r="H1047" i="3"/>
  <c r="H579" i="3"/>
  <c r="H949" i="3"/>
  <c r="H287" i="3"/>
  <c r="H1121" i="3"/>
  <c r="H499" i="3"/>
  <c r="H243" i="3"/>
  <c r="H832" i="3"/>
  <c r="H738" i="3"/>
  <c r="H483" i="3"/>
  <c r="H179" i="3"/>
  <c r="H954" i="3"/>
  <c r="H992" i="3"/>
  <c r="H219" i="3"/>
  <c r="H681" i="3"/>
  <c r="H688" i="3"/>
  <c r="H492" i="3"/>
  <c r="H321" i="3"/>
  <c r="H1140" i="3"/>
  <c r="H25" i="3"/>
  <c r="H356" i="3"/>
  <c r="H951" i="3"/>
  <c r="H123" i="3"/>
  <c r="H776" i="3"/>
  <c r="H18" i="3"/>
  <c r="H777" i="3"/>
  <c r="H435" i="3"/>
  <c r="H912" i="3"/>
  <c r="H270" i="3"/>
  <c r="H959" i="3"/>
  <c r="H252" i="3"/>
  <c r="H253" i="3"/>
  <c r="H1203" i="3"/>
  <c r="H676" i="3"/>
  <c r="H643" i="3"/>
  <c r="H739" i="3"/>
  <c r="H164" i="3"/>
  <c r="H658" i="3"/>
  <c r="H697" i="3"/>
  <c r="H443" i="3"/>
  <c r="H1037" i="3"/>
  <c r="H1028" i="3"/>
  <c r="H1213" i="3"/>
  <c r="H611" i="3"/>
  <c r="H772" i="3"/>
  <c r="H180" i="3"/>
  <c r="H1038" i="3"/>
  <c r="H364" i="3"/>
  <c r="H1008" i="3"/>
  <c r="H1238" i="3"/>
  <c r="H208" i="3"/>
  <c r="H808" i="3"/>
  <c r="H205" i="3"/>
  <c r="H995" i="3"/>
  <c r="H968" i="3"/>
  <c r="H206" i="3"/>
  <c r="H767" i="3"/>
  <c r="H514" i="3"/>
  <c r="H126" i="3"/>
  <c r="H521" i="3"/>
  <c r="H1051" i="3"/>
  <c r="H996" i="3"/>
  <c r="H209" i="3"/>
  <c r="H1243" i="3"/>
  <c r="H723" i="3"/>
  <c r="H14" i="3"/>
  <c r="H188" i="3"/>
  <c r="H8" i="3"/>
  <c r="H347" i="3"/>
  <c r="H1169" i="3"/>
  <c r="H888" i="3"/>
  <c r="H743" i="3"/>
  <c r="H677" i="3"/>
  <c r="H484" i="3"/>
  <c r="H1116" i="3"/>
  <c r="H647" i="3"/>
  <c r="H724" i="3"/>
  <c r="H544" i="3"/>
  <c r="H937" i="3"/>
  <c r="H266" i="3"/>
  <c r="H1194" i="3"/>
  <c r="H893" i="3"/>
  <c r="H710" i="3"/>
  <c r="H267" i="3"/>
  <c r="H873" i="3"/>
  <c r="H804" i="3"/>
  <c r="H720" i="3"/>
  <c r="H582" i="3"/>
  <c r="H665" i="3"/>
  <c r="H913" i="3"/>
  <c r="H143" i="3"/>
  <c r="H849" i="3"/>
  <c r="H329" i="3"/>
  <c r="H150" i="3"/>
  <c r="H1145" i="3"/>
  <c r="H35" i="3"/>
  <c r="H1141" i="3"/>
  <c r="H448" i="3"/>
  <c r="H1162" i="3"/>
  <c r="H457" i="3"/>
  <c r="H1170" i="3"/>
  <c r="H835" i="3"/>
  <c r="H608" i="3"/>
  <c r="H1067" i="3"/>
  <c r="H889" i="3"/>
  <c r="H1204" i="3"/>
  <c r="H308" i="3"/>
  <c r="H135" i="3"/>
  <c r="H1106" i="3"/>
  <c r="H176" i="3"/>
  <c r="H119" i="3"/>
  <c r="H759" i="3"/>
  <c r="H378" i="3"/>
  <c r="H165" i="3"/>
  <c r="H1021" i="3"/>
  <c r="H1220" i="3"/>
  <c r="H181" i="3"/>
  <c r="H478" i="3"/>
  <c r="H338" i="3"/>
  <c r="H1029" i="3"/>
  <c r="H955" i="3"/>
  <c r="H207" i="3"/>
  <c r="H655" i="3"/>
  <c r="H254" i="3"/>
  <c r="H1097" i="3"/>
  <c r="H523" i="3"/>
  <c r="H496" i="3"/>
  <c r="H748" i="3"/>
  <c r="H1040" i="3"/>
  <c r="H899" i="3"/>
  <c r="H376" i="3"/>
  <c r="H374" i="3"/>
  <c r="H773" i="3"/>
  <c r="H537" i="3"/>
  <c r="H925" i="3"/>
  <c r="H659" i="3"/>
  <c r="H230" i="3"/>
  <c r="H583" i="3"/>
  <c r="H881" i="3"/>
  <c r="H900" i="3"/>
  <c r="H1159" i="3"/>
  <c r="H1149" i="3"/>
  <c r="H302" i="3"/>
  <c r="H2" i="3"/>
  <c r="H151" i="3"/>
  <c r="H721" i="3"/>
  <c r="H379" i="3"/>
  <c r="H810" i="3"/>
  <c r="H115" i="3"/>
  <c r="H1221" i="3"/>
  <c r="H533" i="3"/>
  <c r="H36" i="3"/>
  <c r="H586" i="3"/>
  <c r="H127" i="3"/>
  <c r="H194" i="3"/>
  <c r="H30" i="3"/>
  <c r="H1150" i="3"/>
  <c r="H1117" i="3"/>
  <c r="H794" i="3"/>
  <c r="H874" i="3"/>
  <c r="H112" i="3"/>
  <c r="H353" i="3"/>
  <c r="H333" i="3"/>
  <c r="H553" i="3"/>
  <c r="H1199" i="3"/>
  <c r="H167" i="3"/>
  <c r="H1200" i="3"/>
  <c r="H155" i="3"/>
  <c r="H102" i="3"/>
  <c r="H530" i="3"/>
  <c r="H393" i="3"/>
  <c r="H305" i="3"/>
  <c r="H666" i="3"/>
  <c r="H339" i="3"/>
  <c r="H1090" i="3"/>
  <c r="H635" i="3"/>
  <c r="H918" i="3"/>
  <c r="H3" i="3"/>
  <c r="H1063" i="3"/>
  <c r="H942" i="3"/>
  <c r="H464" i="3"/>
  <c r="H4" i="3"/>
  <c r="H465" i="3"/>
  <c r="H380" i="3"/>
  <c r="H522" i="3"/>
  <c r="H80" i="3"/>
  <c r="H630" i="3"/>
  <c r="H805" i="3"/>
  <c r="H524" i="3"/>
  <c r="H1251" i="3"/>
  <c r="H855" i="3"/>
  <c r="H1107" i="3"/>
  <c r="H86" i="3"/>
  <c r="H244" i="3"/>
  <c r="H62" i="3"/>
  <c r="H138" i="3"/>
  <c r="H929" i="3"/>
  <c r="H19" i="3"/>
  <c r="H847" i="3"/>
  <c r="H1108" i="3"/>
  <c r="H506" i="3"/>
  <c r="H1056" i="3"/>
  <c r="H15" i="3"/>
  <c r="H309" i="3"/>
  <c r="H158" i="3"/>
  <c r="H281" i="3"/>
  <c r="H974" i="3"/>
  <c r="H838" i="3"/>
  <c r="H1151" i="3"/>
  <c r="H1072" i="3"/>
  <c r="H16" i="3"/>
  <c r="H856" i="3"/>
  <c r="H103" i="3"/>
  <c r="H1123" i="3"/>
  <c r="H1147" i="3"/>
  <c r="H382" i="3"/>
  <c r="H389" i="3"/>
  <c r="H500" i="3"/>
  <c r="H813" i="3"/>
  <c r="H1133" i="3"/>
  <c r="H81" i="3"/>
  <c r="H501" i="3"/>
  <c r="H152" i="3"/>
  <c r="H306" i="3"/>
  <c r="H383" i="3"/>
  <c r="H343" i="3"/>
  <c r="H485" i="3"/>
  <c r="H459" i="3"/>
  <c r="H460" i="3"/>
  <c r="H1013" i="3"/>
  <c r="H765" i="3"/>
  <c r="H644" i="3"/>
  <c r="H159" i="3"/>
  <c r="H195" i="3"/>
  <c r="H727" i="3"/>
  <c r="H839" i="3"/>
  <c r="H359" i="3"/>
  <c r="H693" i="3"/>
  <c r="H894" i="3"/>
  <c r="H134" i="3"/>
  <c r="H1102" i="3"/>
  <c r="H956" i="3"/>
  <c r="H160" i="3"/>
  <c r="H386" i="3"/>
  <c r="H1242" i="3"/>
  <c r="H947" i="3"/>
  <c r="H185" i="3"/>
  <c r="H452" i="3"/>
  <c r="H612" i="3"/>
  <c r="H786" i="3"/>
  <c r="H1082" i="3"/>
  <c r="H63" i="3"/>
  <c r="H312" i="3"/>
  <c r="H67" i="3"/>
  <c r="H368" i="3"/>
  <c r="H493" i="3"/>
  <c r="H174" i="3"/>
  <c r="H649" i="3"/>
  <c r="H439" i="3"/>
  <c r="H751" i="3"/>
  <c r="H430" i="3"/>
  <c r="H315" i="3"/>
  <c r="H766" i="3"/>
  <c r="H113" i="3"/>
  <c r="H255" i="3"/>
  <c r="H425" i="3"/>
  <c r="H316" i="3"/>
  <c r="H415" i="3"/>
  <c r="H210" i="3"/>
  <c r="H914" i="3"/>
  <c r="H969" i="3"/>
  <c r="H1240" i="3"/>
  <c r="H960" i="3"/>
  <c r="H828" i="3"/>
  <c r="H567" i="3"/>
  <c r="H446" i="3"/>
  <c r="H256" i="3"/>
  <c r="H806" i="3"/>
  <c r="H440" i="3"/>
  <c r="H768" i="3"/>
  <c r="H84" i="3"/>
  <c r="H859" i="3"/>
  <c r="H199" i="3"/>
  <c r="H261" i="3"/>
  <c r="H1176" i="3"/>
  <c r="H590" i="3"/>
  <c r="H1032" i="3"/>
  <c r="H1039" i="3"/>
  <c r="H1113" i="3"/>
  <c r="H783" i="3"/>
  <c r="H262" i="3"/>
  <c r="H961" i="3"/>
  <c r="H943" i="3"/>
  <c r="H369" i="3"/>
  <c r="H303" i="3"/>
  <c r="H220" i="3"/>
  <c r="H528" i="3"/>
  <c r="H1059" i="3"/>
  <c r="H104" i="3"/>
  <c r="H728" i="3"/>
  <c r="H40" i="3"/>
  <c r="H105" i="3"/>
  <c r="H620" i="3"/>
  <c r="H509" i="3"/>
  <c r="H1118" i="3"/>
  <c r="H327" i="3"/>
  <c r="H836" i="3"/>
  <c r="H68" i="3"/>
  <c r="H689" i="3"/>
  <c r="H505" i="3"/>
  <c r="H1148" i="3"/>
  <c r="H886" i="3"/>
  <c r="H887" i="3"/>
  <c r="H1182" i="3"/>
  <c r="H731" i="3"/>
  <c r="H577" i="3"/>
  <c r="H436" i="3"/>
  <c r="H1152" i="3"/>
  <c r="H1227" i="3"/>
  <c r="H554" i="3"/>
  <c r="H1239" i="3"/>
  <c r="H1177" i="3"/>
  <c r="H795" i="3"/>
  <c r="H231" i="3"/>
  <c r="H1073" i="3"/>
  <c r="H279" i="3"/>
  <c r="H73" i="3"/>
  <c r="H1134" i="3"/>
  <c r="H686" i="3"/>
  <c r="H1230" i="3"/>
  <c r="H919" i="3"/>
  <c r="H890" i="3"/>
  <c r="H515" i="3"/>
  <c r="H825" i="3"/>
  <c r="H1100" i="3"/>
  <c r="H1214" i="3"/>
  <c r="H1044" i="3"/>
  <c r="H613" i="3"/>
  <c r="H891" i="3"/>
  <c r="H79" i="3"/>
  <c r="H1030" i="3"/>
  <c r="H128" i="3"/>
  <c r="H820" i="3"/>
  <c r="H915" i="3"/>
  <c r="H94" i="3"/>
  <c r="H656" i="3"/>
  <c r="H310" i="3"/>
  <c r="H645" i="3"/>
  <c r="H558" i="3"/>
  <c r="H162" i="3"/>
  <c r="H1171" i="3"/>
  <c r="H1019" i="3"/>
  <c r="H870" i="3"/>
  <c r="H1195" i="3"/>
  <c r="H1101" i="3"/>
  <c r="H788" i="3"/>
  <c r="H139" i="3"/>
  <c r="H1234" i="3"/>
  <c r="H317" i="3"/>
  <c r="H431" i="3"/>
  <c r="H534" i="3"/>
  <c r="H1205" i="3"/>
  <c r="H575" i="3"/>
  <c r="H295" i="3"/>
  <c r="H421" i="3"/>
  <c r="H202" i="3"/>
  <c r="H799" i="3"/>
  <c r="H878" i="3"/>
  <c r="H840" i="3"/>
  <c r="H661" i="3"/>
  <c r="H313" i="3"/>
  <c r="H45" i="3"/>
  <c r="H930" i="3"/>
  <c r="H1076" i="3"/>
  <c r="H344" i="3"/>
  <c r="H238" i="3"/>
  <c r="H381" i="3"/>
  <c r="H740" i="3"/>
  <c r="H334" i="3"/>
  <c r="H12" i="3"/>
  <c r="H56" i="3"/>
  <c r="H1153" i="3"/>
  <c r="H1249" i="3"/>
  <c r="H187" i="3"/>
  <c r="H377" i="3"/>
  <c r="H351" i="3"/>
  <c r="H673" i="3"/>
  <c r="H51" i="3"/>
  <c r="H1000" i="3"/>
  <c r="H449" i="3"/>
  <c r="H749" i="3"/>
  <c r="H814" i="3"/>
  <c r="H871" i="3"/>
  <c r="H694" i="3"/>
  <c r="H17" i="3"/>
  <c r="H744" i="3"/>
  <c r="H729" i="3"/>
  <c r="H882" i="3"/>
  <c r="H621" i="3"/>
  <c r="H9" i="3"/>
  <c r="H450" i="3"/>
  <c r="H1142" i="3"/>
  <c r="H82" i="3"/>
  <c r="H698" i="3"/>
  <c r="H348" i="3"/>
  <c r="H752" i="3"/>
  <c r="H1196" i="3"/>
  <c r="H132" i="3"/>
  <c r="H136" i="3"/>
  <c r="H932" i="3"/>
  <c r="H774" i="3"/>
  <c r="H901" i="3"/>
  <c r="H20" i="3"/>
  <c r="H57" i="3"/>
  <c r="H404" i="3"/>
  <c r="H1189" i="3"/>
  <c r="H322" i="3"/>
  <c r="H1087" i="3"/>
  <c r="H735" i="3"/>
  <c r="H479" i="3"/>
  <c r="H357" i="3"/>
  <c r="H120" i="3"/>
  <c r="H561" i="3"/>
  <c r="H1094" i="3"/>
  <c r="H37" i="3"/>
  <c r="H701" i="3"/>
  <c r="H168" i="3"/>
  <c r="H545" i="3"/>
  <c r="H568" i="3"/>
  <c r="H38" i="3"/>
  <c r="H69" i="3"/>
  <c r="H662" i="3"/>
  <c r="H441" i="3"/>
  <c r="H1033" i="3"/>
  <c r="H1172" i="3"/>
  <c r="H249" i="3"/>
  <c r="H833" i="3"/>
  <c r="H1219" i="3"/>
  <c r="H981" i="3"/>
  <c r="H1020" i="3"/>
  <c r="H405" i="3"/>
  <c r="H987" i="3"/>
  <c r="H850" i="3"/>
  <c r="H507" i="3"/>
  <c r="H730" i="3"/>
  <c r="H591" i="3"/>
  <c r="H304" i="3"/>
  <c r="H1223" i="3"/>
  <c r="H1173" i="3"/>
  <c r="H811" i="3"/>
  <c r="H614" i="3"/>
  <c r="H257" i="3"/>
  <c r="H1009" i="3"/>
  <c r="H555" i="3"/>
  <c r="H232" i="3"/>
  <c r="H21" i="3"/>
  <c r="H997" i="3"/>
  <c r="H1048" i="3"/>
  <c r="H535" i="3"/>
  <c r="H1083" i="3"/>
  <c r="H650" i="3"/>
  <c r="H564" i="3"/>
  <c r="H239" i="3"/>
  <c r="H461" i="3"/>
  <c r="H711" i="3"/>
  <c r="H400" i="3"/>
  <c r="H418" i="3"/>
  <c r="H690" i="3"/>
  <c r="H129" i="3"/>
  <c r="H203" i="3"/>
  <c r="H124" i="3"/>
  <c r="H46" i="3"/>
  <c r="H108" i="3"/>
  <c r="H976" i="3"/>
  <c r="H204" i="3"/>
  <c r="H1091" i="3"/>
  <c r="H755" i="3"/>
  <c r="H622" i="3"/>
  <c r="H516" i="3"/>
  <c r="H525" i="3"/>
  <c r="H1236" i="3"/>
  <c r="H843" i="3"/>
  <c r="H823" i="3"/>
  <c r="H490" i="3"/>
  <c r="H815" i="3"/>
  <c r="H965" i="3"/>
  <c r="H26" i="3"/>
  <c r="H502" i="3"/>
  <c r="H95" i="3"/>
  <c r="H1143" i="3"/>
  <c r="H328" i="3"/>
  <c r="H133" i="3"/>
  <c r="H824" i="3"/>
  <c r="H109" i="3"/>
  <c r="H883" i="3"/>
  <c r="H597" i="3"/>
  <c r="H336" i="3"/>
  <c r="H732" i="3"/>
  <c r="H787" i="3"/>
  <c r="H1163" i="3"/>
  <c r="H1004" i="3"/>
  <c r="H975" i="3"/>
  <c r="H559" i="3"/>
  <c r="H702" i="3"/>
  <c r="H375" i="3"/>
  <c r="H725" i="3"/>
  <c r="H1119" i="3"/>
  <c r="H631" i="3"/>
  <c r="H560" i="3"/>
  <c r="H826" i="3"/>
  <c r="H340" i="3"/>
  <c r="H760" i="3"/>
  <c r="H615" i="3"/>
  <c r="H341" i="3"/>
  <c r="H1146" i="3"/>
  <c r="H10" i="3"/>
  <c r="H213" i="3"/>
  <c r="H895" i="3"/>
  <c r="H695" i="3"/>
  <c r="H432" i="3"/>
  <c r="H633" i="3"/>
  <c r="H982" i="3"/>
  <c r="H1197" i="3"/>
  <c r="H829" i="3"/>
  <c r="H470" i="3"/>
  <c r="H510" i="3"/>
  <c r="H5" i="3"/>
  <c r="H58" i="3"/>
  <c r="H623" i="3"/>
  <c r="H314" i="3"/>
  <c r="H442" i="3"/>
  <c r="H816" i="3"/>
  <c r="H394" i="3"/>
  <c r="H471" i="3"/>
  <c r="H335" i="3"/>
  <c r="H920" i="3"/>
  <c r="H74" i="3"/>
  <c r="H144" i="3"/>
  <c r="H1057" i="3"/>
  <c r="H11" i="3"/>
  <c r="H517" i="3"/>
  <c r="H1098" i="3"/>
  <c r="H453" i="3"/>
  <c r="H1229" i="3"/>
  <c r="H345" i="3"/>
  <c r="H672" i="3"/>
  <c r="H189" i="3"/>
  <c r="H497" i="3"/>
  <c r="H636" i="3"/>
  <c r="H330" i="3"/>
  <c r="H609" i="3"/>
  <c r="H98" i="3"/>
  <c r="H761" i="3"/>
  <c r="H288" i="3"/>
  <c r="H211" i="3"/>
  <c r="H1005" i="3"/>
  <c r="H800" i="3"/>
  <c r="H757" i="3"/>
  <c r="H469" i="3"/>
  <c r="H565" i="3"/>
  <c r="H1023" i="3"/>
  <c r="H790" i="3"/>
  <c r="H1245" i="3"/>
  <c r="H1095" i="3"/>
  <c r="H225" i="3"/>
  <c r="H90" i="3"/>
  <c r="H200" i="3"/>
  <c r="H756" i="3"/>
  <c r="H474" i="3"/>
  <c r="H296" i="3"/>
  <c r="H595" i="3"/>
  <c r="H298" i="3"/>
  <c r="H318" i="3"/>
  <c r="H1136" i="3"/>
  <c r="H1232" i="3"/>
  <c r="H966" i="3"/>
  <c r="H91" i="3"/>
  <c r="H712" i="3"/>
  <c r="H1109" i="3"/>
  <c r="H331" i="3"/>
  <c r="H546" i="3"/>
  <c r="H182" i="3"/>
  <c r="H1122" i="3"/>
  <c r="H869" i="3"/>
  <c r="H998" i="3"/>
  <c r="H1010" i="3"/>
  <c r="H578" i="3"/>
  <c r="H977" i="3"/>
  <c r="H319" i="3"/>
  <c r="H22" i="3"/>
  <c r="H717" i="3"/>
  <c r="H358" i="3"/>
  <c r="H625" i="3"/>
  <c r="H1077" i="3"/>
  <c r="H472" i="3"/>
  <c r="H1024" i="3"/>
  <c r="H592" i="3"/>
  <c r="H1215" i="3"/>
  <c r="H291" i="3"/>
  <c r="H584" i="3"/>
  <c r="H370" i="3"/>
  <c r="H1224" i="3"/>
  <c r="H938" i="3"/>
  <c r="H354" i="3"/>
  <c r="H634" i="3"/>
  <c r="H190" i="3"/>
  <c r="H964" i="3"/>
  <c r="H240" i="3"/>
  <c r="H663" i="3"/>
  <c r="H1183" i="3"/>
  <c r="H916" i="3"/>
  <c r="H52" i="3"/>
  <c r="H491" i="3"/>
  <c r="H769" i="3"/>
  <c r="H196" i="3"/>
  <c r="H1058" i="3"/>
  <c r="H587" i="3"/>
  <c r="H169" i="3"/>
  <c r="H1216" i="3"/>
  <c r="H844" i="3"/>
  <c r="H197" i="3"/>
  <c r="H64" i="3"/>
  <c r="H60" i="3"/>
  <c r="H480" i="3"/>
  <c r="H166" i="3"/>
  <c r="H970" i="3"/>
  <c r="H263" i="3"/>
  <c r="H475" i="3"/>
  <c r="H906" i="3"/>
  <c r="H978" i="3"/>
  <c r="H31" i="3"/>
  <c r="H1246" i="3"/>
  <c r="H226" i="3"/>
  <c r="H75" i="3"/>
  <c r="H23" i="3"/>
  <c r="H678" i="3"/>
  <c r="H606" i="3"/>
  <c r="H907" i="3"/>
  <c r="H626" i="3"/>
  <c r="H395" i="3"/>
  <c r="H1126" i="3"/>
  <c r="H908" i="3"/>
  <c r="H498" i="3"/>
  <c r="H789" i="3"/>
  <c r="H753" i="3"/>
  <c r="H170" i="3"/>
  <c r="H696" i="3"/>
  <c r="H1014" i="3"/>
  <c r="H667" i="3"/>
  <c r="H1154" i="3"/>
  <c r="H1006" i="3"/>
  <c r="H233" i="3"/>
  <c r="H24" i="3"/>
  <c r="H1001" i="3"/>
  <c r="H703" i="3"/>
  <c r="H541" i="3"/>
  <c r="H821" i="3"/>
  <c r="H706" i="3"/>
  <c r="H360" i="3"/>
  <c r="H576" i="3"/>
  <c r="H451" i="3"/>
  <c r="H292" i="3"/>
  <c r="H1244" i="3"/>
  <c r="H476" i="3"/>
  <c r="H682" i="3"/>
  <c r="H53" i="3"/>
  <c r="H944" i="3"/>
  <c r="H616" i="3"/>
  <c r="H807" i="3"/>
  <c r="H1217" i="3"/>
  <c r="H851" i="3"/>
  <c r="H323" i="3"/>
  <c r="H1034" i="3"/>
  <c r="H65" i="3"/>
  <c r="H371" i="3"/>
  <c r="H1127" i="3"/>
  <c r="H258" i="3"/>
  <c r="H945" i="3"/>
  <c r="H349" i="3"/>
  <c r="H59" i="3"/>
  <c r="H860" i="3"/>
  <c r="H668" i="3"/>
  <c r="H227" i="3"/>
  <c r="H271" i="3"/>
  <c r="H466" i="3"/>
  <c r="H651" i="3"/>
  <c r="H245" i="3"/>
  <c r="H758" i="3"/>
  <c r="H617" i="3"/>
  <c r="H246" i="3"/>
  <c r="H148" i="3"/>
  <c r="H299" i="3"/>
  <c r="H588" i="3"/>
  <c r="H566" i="3"/>
  <c r="H54" i="3"/>
  <c r="H426" i="3"/>
  <c r="H542" i="3"/>
  <c r="H214" i="3"/>
  <c r="H879" i="3"/>
  <c r="H372" i="3"/>
  <c r="H215" i="3"/>
  <c r="H48" i="3"/>
  <c r="H1250" i="3"/>
  <c r="H852" i="3"/>
  <c r="H1049" i="3"/>
  <c r="H183" i="3"/>
  <c r="H390" i="3"/>
  <c r="H791" i="3"/>
  <c r="H1015" i="3"/>
  <c r="H454" i="3"/>
  <c r="H830" i="3"/>
  <c r="H1198" i="3"/>
  <c r="H406" i="3"/>
  <c r="H526" i="3"/>
  <c r="H427" i="3"/>
  <c r="H971" i="3"/>
  <c r="H416" i="3"/>
  <c r="H467" i="3"/>
  <c r="H993" i="3"/>
  <c r="H750" i="3"/>
  <c r="H1184" i="3"/>
  <c r="H872" i="3"/>
  <c r="H1206" i="3"/>
  <c r="H116" i="3"/>
  <c r="H494" i="3"/>
  <c r="H1124" i="3"/>
  <c r="H917" i="3"/>
  <c r="H428" i="3"/>
  <c r="H1016" i="3"/>
  <c r="H551" i="3"/>
  <c r="H687" i="3"/>
  <c r="H1192" i="3"/>
  <c r="H409" i="3"/>
  <c r="H652" i="3"/>
  <c r="H921" i="3"/>
  <c r="H175" i="3"/>
  <c r="H736" i="3"/>
  <c r="H1128" i="3"/>
  <c r="H365" i="3"/>
  <c r="H967" i="3"/>
  <c r="H106" i="3"/>
  <c r="H569" i="3"/>
  <c r="H241" i="3"/>
  <c r="H280" i="3"/>
  <c r="H1233" i="3"/>
  <c r="H171" i="3"/>
  <c r="H247" i="3"/>
  <c r="H527" i="3"/>
  <c r="H366" i="3"/>
  <c r="H1207" i="3"/>
  <c r="H857" i="3"/>
  <c r="H250" i="3"/>
  <c r="H419" i="3"/>
  <c r="H722" i="3"/>
  <c r="H691" i="3"/>
  <c r="H191" i="3"/>
  <c r="H547" i="3"/>
  <c r="H733" i="3"/>
  <c r="H600" i="3"/>
  <c r="H570" i="3"/>
  <c r="H311" i="3"/>
  <c r="H831" i="3"/>
  <c r="H858" i="3"/>
  <c r="H741" i="3"/>
  <c r="H125" i="3"/>
  <c r="H538" i="3"/>
  <c r="H433" i="3"/>
  <c r="H1164" i="3"/>
  <c r="H130" i="3"/>
  <c r="H27" i="3"/>
  <c r="H481" i="3"/>
  <c r="H1068" i="3"/>
  <c r="H718" i="3"/>
  <c r="H589" i="3"/>
  <c r="H284" i="3"/>
  <c r="H549" i="3"/>
  <c r="H355" i="3"/>
  <c r="H1069" i="3"/>
  <c r="H396" i="3"/>
  <c r="H397" i="3"/>
  <c r="H513" i="3"/>
  <c r="H212" i="3"/>
  <c r="H745" i="3"/>
  <c r="H293" i="3"/>
  <c r="H407" i="3"/>
  <c r="H571" i="3"/>
  <c r="H784" i="3"/>
  <c r="H1231" i="3"/>
  <c r="H385" i="3"/>
  <c r="H398" i="3"/>
  <c r="H41" i="3"/>
  <c r="H172" i="3"/>
  <c r="H437" i="3"/>
  <c r="H455" i="3"/>
  <c r="H543" i="3"/>
  <c r="H719" i="3"/>
  <c r="H866" i="3"/>
  <c r="H884" i="3"/>
  <c r="H1131" i="3"/>
  <c r="H1160" i="3"/>
  <c r="H1017" i="3"/>
  <c r="H593" i="3"/>
  <c r="H13" i="3"/>
  <c r="H1103" i="3"/>
  <c r="H297" i="3"/>
  <c r="H1052" i="3"/>
  <c r="H607" i="3"/>
  <c r="H1208" i="3"/>
  <c r="H709" i="3"/>
  <c r="H163" i="3"/>
  <c r="H933" i="3"/>
  <c r="H324" i="3"/>
  <c r="H654" i="3"/>
  <c r="H234" i="3"/>
  <c r="H529" i="3"/>
  <c r="H495" i="3"/>
  <c r="H909" i="3"/>
  <c r="H76" i="3"/>
  <c r="H99" i="3"/>
  <c r="H1045" i="3"/>
  <c r="H704" i="3"/>
  <c r="H972" i="3"/>
  <c r="H251" i="3"/>
  <c r="H646" i="3"/>
  <c r="H861" i="3"/>
  <c r="H775" i="3"/>
  <c r="H837" i="3"/>
  <c r="H1120" i="3"/>
  <c r="H817" i="3"/>
  <c r="H410" i="3"/>
  <c r="H1178" i="3"/>
  <c r="H562" i="3"/>
  <c r="H411" i="3"/>
  <c r="H1161" i="3"/>
  <c r="H601" i="3"/>
  <c r="H618" i="3"/>
  <c r="H1031" i="3"/>
  <c r="H511" i="3"/>
  <c r="H28" i="3"/>
  <c r="H503" i="3"/>
  <c r="H307" i="3"/>
  <c r="H822" i="3"/>
  <c r="H841" i="3"/>
  <c r="H896" i="3"/>
  <c r="H422" i="3"/>
  <c r="H1078" i="3"/>
  <c r="H683" i="3"/>
  <c r="H156" i="3"/>
  <c r="H983" i="3"/>
  <c r="H1092" i="3"/>
  <c r="H149" i="3"/>
  <c r="H875" i="3"/>
  <c r="H692" i="3"/>
  <c r="H637" i="3"/>
  <c r="H1110" i="3"/>
  <c r="H699" i="3"/>
  <c r="H1060" i="3"/>
  <c r="H282" i="3"/>
  <c r="H1011" i="3"/>
  <c r="H926" i="3"/>
  <c r="H876" i="3"/>
  <c r="H1007" i="3"/>
  <c r="H145" i="3"/>
  <c r="H660" i="3"/>
  <c r="H973" i="3"/>
  <c r="H624" i="3"/>
  <c r="H1165" i="3"/>
  <c r="H853" i="3"/>
  <c r="H716" i="3"/>
  <c r="H610" i="3"/>
  <c r="H1079" i="3"/>
  <c r="H779" i="3"/>
  <c r="H742" i="3"/>
  <c r="H902" i="3"/>
  <c r="H504" i="3"/>
  <c r="H66" i="3"/>
  <c r="H153" i="3"/>
  <c r="H87" i="3"/>
  <c r="H228" i="3"/>
  <c r="H1088" i="3"/>
  <c r="H259" i="3"/>
  <c r="H83" i="3"/>
  <c r="H796" i="3"/>
  <c r="H456" i="3"/>
  <c r="H602" i="3"/>
  <c r="H770" i="3"/>
  <c r="H1166" i="3"/>
  <c r="H957" i="3"/>
  <c r="H988" i="3"/>
  <c r="H1167" i="3"/>
  <c r="H862" i="3"/>
  <c r="H401" i="3"/>
  <c r="H1061" i="3"/>
  <c r="H486" i="3"/>
  <c r="H1157" i="3"/>
  <c r="H140" i="3"/>
  <c r="H603" i="3"/>
  <c r="H707" i="3"/>
  <c r="H627" i="3"/>
  <c r="H268" i="3"/>
  <c r="H754" i="3"/>
  <c r="H412" i="3"/>
  <c r="H1190" i="3"/>
  <c r="H638" i="3"/>
  <c r="H705" i="3"/>
  <c r="H248" i="3"/>
  <c r="H989" i="3"/>
  <c r="H146" i="3"/>
  <c r="H49" i="3"/>
  <c r="H845" i="3"/>
  <c r="H984" i="3"/>
  <c r="H1096" i="3"/>
  <c r="H985" i="3"/>
  <c r="H482" i="3"/>
  <c r="H1080" i="3"/>
  <c r="H842" i="3"/>
  <c r="H863" i="3"/>
  <c r="H877" i="3"/>
  <c r="H384" i="3"/>
  <c r="H1111" i="3"/>
  <c r="H785" i="3"/>
  <c r="H556" i="3"/>
  <c r="H429" i="3"/>
  <c r="H934" i="3"/>
  <c r="H531" i="3"/>
  <c r="H1070" i="3"/>
  <c r="H1168" i="3"/>
  <c r="H468" i="3"/>
  <c r="H402" i="3"/>
  <c r="H834" i="3"/>
  <c r="H320" i="3"/>
  <c r="H1074" i="3"/>
  <c r="H734" i="3"/>
  <c r="H563" i="3"/>
  <c r="H684" i="3"/>
  <c r="H950" i="3"/>
  <c r="H1201" i="3"/>
  <c r="H1018" i="3"/>
  <c r="H922" i="3"/>
  <c r="H93" i="3"/>
  <c r="H994" i="3"/>
  <c r="H1155" i="3"/>
  <c r="H572" i="3"/>
  <c r="H1202" i="3"/>
  <c r="H242" i="3"/>
  <c r="H598" i="3"/>
  <c r="H462" i="3"/>
  <c r="H362" i="3"/>
  <c r="H387" i="3"/>
  <c r="H342" i="3"/>
  <c r="H1237" i="3"/>
  <c r="H161" i="3"/>
  <c r="H447" i="3"/>
  <c r="H1114" i="3"/>
  <c r="H952" i="3"/>
  <c r="H272" i="3"/>
  <c r="H532" i="3"/>
  <c r="H1022" i="3"/>
  <c r="H854" i="3"/>
  <c r="H273" i="3"/>
  <c r="H1186" i="3"/>
  <c r="H346" i="3"/>
  <c r="H903" i="3"/>
  <c r="H1222" i="3"/>
  <c r="H548" i="3"/>
  <c r="H137" i="3"/>
  <c r="H77" i="3"/>
  <c r="H1089" i="3"/>
  <c r="H32" i="3"/>
  <c r="H1050" i="3"/>
  <c r="H1174" i="3"/>
  <c r="H986" i="3"/>
  <c r="H269" i="3"/>
  <c r="H923" i="3"/>
  <c r="H539" i="3"/>
  <c r="H880" i="3"/>
  <c r="H801" i="3"/>
  <c r="H1235" i="3"/>
  <c r="H42" i="3"/>
  <c r="H1225" i="3"/>
  <c r="H423" i="3"/>
  <c r="H1084" i="3"/>
  <c r="H778" i="3"/>
  <c r="H669" i="3"/>
  <c r="H110" i="3"/>
  <c r="H700" i="3"/>
  <c r="H935" i="3"/>
  <c r="H864" i="3"/>
  <c r="H679" i="3"/>
  <c r="H939" i="3"/>
  <c r="H1025" i="3"/>
  <c r="H235" i="3"/>
  <c r="H936" i="3"/>
  <c r="H352" i="3"/>
  <c r="H444" i="3"/>
  <c r="H363" i="3"/>
  <c r="H332" i="3"/>
  <c r="H1012" i="3"/>
  <c r="H264" i="3"/>
  <c r="H812" i="3"/>
  <c r="H818" i="3"/>
  <c r="H927" i="3"/>
  <c r="H236" i="3"/>
  <c r="H962" i="3"/>
  <c r="H6" i="3"/>
  <c r="H674" i="3"/>
  <c r="H512" i="3"/>
  <c r="H221" i="3"/>
  <c r="H391" i="3"/>
  <c r="H223" i="3"/>
  <c r="H979" i="3"/>
  <c r="H100" i="3"/>
  <c r="H1185" i="3"/>
  <c r="H85" i="3"/>
  <c r="H399" i="3"/>
  <c r="H1085" i="3"/>
  <c r="H78" i="3"/>
  <c r="H154" i="3"/>
  <c r="H408" i="3"/>
  <c r="H1137" i="3"/>
  <c r="H1156" i="3"/>
  <c r="H1062" i="3"/>
  <c r="H657" i="3"/>
  <c r="H285" i="3"/>
  <c r="H1041" i="3"/>
  <c r="H7" i="3"/>
  <c r="H39" i="3"/>
  <c r="H325" i="3"/>
  <c r="H1135" i="3"/>
  <c r="H940" i="3"/>
  <c r="H1179" i="3"/>
  <c r="H487" i="3"/>
  <c r="H198" i="3"/>
  <c r="H1138" i="3"/>
  <c r="H941" i="3"/>
  <c r="H737" i="3"/>
  <c r="H1093" i="3"/>
  <c r="H552" i="3"/>
  <c r="H294" i="3"/>
  <c r="H101" i="3"/>
  <c r="H585" i="3"/>
  <c r="H1112" i="3"/>
  <c r="H1139" i="3"/>
  <c r="H1211" i="3"/>
  <c r="H1129" i="3"/>
  <c r="H488" i="3"/>
  <c r="H1115" i="3"/>
  <c r="H1035" i="3"/>
  <c r="H648" i="3"/>
  <c r="H904" i="3"/>
  <c r="H388" i="3"/>
  <c r="H797" i="3"/>
  <c r="H1209" i="3"/>
  <c r="H928" i="3"/>
  <c r="H604" i="3"/>
  <c r="H50" i="3"/>
  <c r="H473" i="3"/>
  <c r="H117" i="3"/>
  <c r="H780" i="3"/>
  <c r="H121" i="3"/>
  <c r="H29" i="3"/>
  <c r="H417" i="3"/>
  <c r="H798" i="3"/>
  <c r="H300" i="3"/>
  <c r="H118" i="3"/>
  <c r="H229" i="3"/>
  <c r="H177" i="3"/>
  <c r="H846" i="3"/>
  <c r="H910" i="3"/>
  <c r="H1053" i="3"/>
  <c r="H114" i="3"/>
  <c r="H924" i="3"/>
  <c r="H931" i="3"/>
  <c r="H1081" i="3"/>
  <c r="H157" i="3"/>
  <c r="H628" i="3"/>
  <c r="H708" i="3"/>
  <c r="H809" i="3"/>
  <c r="H33" i="3"/>
  <c r="H848" i="3"/>
  <c r="H639" i="3"/>
  <c r="H1026" i="3"/>
  <c r="H201" i="3"/>
  <c r="H685" i="3"/>
  <c r="H714" i="3"/>
  <c r="H1191" i="3"/>
  <c r="H746" i="3"/>
  <c r="H726" i="3"/>
  <c r="H596" i="3"/>
  <c r="H392" i="3"/>
  <c r="H265" i="3"/>
  <c r="H96" i="3"/>
  <c r="H675" i="3"/>
  <c r="H222" i="3"/>
  <c r="H1125" i="3"/>
  <c r="H216" i="3"/>
  <c r="H1158" i="3"/>
  <c r="H599" i="3"/>
  <c r="H184" i="3"/>
  <c r="H131" i="3"/>
  <c r="H508" i="3"/>
  <c r="H762" i="3"/>
  <c r="H1248" i="3"/>
  <c r="H1046" i="3"/>
  <c r="H897" i="3"/>
  <c r="H107" i="3"/>
  <c r="H594" i="3"/>
  <c r="H827" i="3"/>
  <c r="H260" i="3"/>
  <c r="H434" i="3"/>
  <c r="H413" i="3"/>
  <c r="H88" i="3"/>
  <c r="H477" i="3"/>
  <c r="H420" i="3"/>
  <c r="H781" i="3"/>
  <c r="H1193" i="3"/>
  <c r="H640" i="3"/>
  <c r="H782" i="3"/>
  <c r="H629" i="3"/>
  <c r="H1212" i="3"/>
  <c r="H763" i="3"/>
  <c r="H361" i="3"/>
  <c r="H536" i="3"/>
  <c r="H463" i="3"/>
  <c r="H1241" i="3"/>
  <c r="H948" i="3"/>
  <c r="H819" i="3"/>
  <c r="H518" i="3"/>
  <c r="H573" i="3"/>
  <c r="H946" i="3"/>
  <c r="H274" i="3"/>
  <c r="H1104" i="3"/>
  <c r="H905" i="3"/>
  <c r="H424" i="3"/>
  <c r="H192" i="3"/>
  <c r="H1132" i="3"/>
  <c r="H619" i="3"/>
  <c r="H1226" i="3"/>
  <c r="H277" i="3"/>
  <c r="H1002" i="3"/>
  <c r="H713" i="3"/>
  <c r="H186" i="3"/>
  <c r="H1042" i="3"/>
  <c r="H337" i="3"/>
  <c r="H278" i="3"/>
  <c r="H664" i="3"/>
  <c r="H1187" i="3"/>
  <c r="H1071" i="3"/>
  <c r="H990" i="3"/>
  <c r="H885" i="3"/>
  <c r="H111" i="3"/>
  <c r="H1064" i="3"/>
  <c r="H1210" i="3"/>
  <c r="H792" i="3"/>
  <c r="H275" i="3"/>
  <c r="H173" i="3"/>
  <c r="H289" i="3"/>
  <c r="H963" i="3"/>
  <c r="H670" i="3"/>
  <c r="H237" i="3"/>
  <c r="H680" i="3"/>
  <c r="H1086" i="3"/>
  <c r="H97" i="3"/>
  <c r="H1218" i="3"/>
  <c r="H178" i="3"/>
  <c r="H1099" i="3"/>
  <c r="H141" i="3"/>
  <c r="H47" i="3"/>
  <c r="H489" i="3"/>
  <c r="H574" i="3"/>
  <c r="H991" i="3"/>
  <c r="H217" i="3"/>
  <c r="H458" i="3"/>
  <c r="H1027" i="3"/>
  <c r="H350" i="3"/>
  <c r="H1144" i="3"/>
  <c r="H445" i="3"/>
  <c r="H224" i="3"/>
  <c r="H43" i="3"/>
  <c r="H71" i="3"/>
  <c r="H1130" i="3"/>
  <c r="H193" i="3"/>
  <c r="H1075" i="3"/>
  <c r="H1228" i="3"/>
  <c r="H999" i="3"/>
  <c r="H301" i="3"/>
  <c r="H641" i="3"/>
  <c r="H580" i="3"/>
  <c r="H290" i="3"/>
  <c r="H911" i="3"/>
  <c r="H367" i="3"/>
  <c r="H283" i="3"/>
  <c r="H867" i="3"/>
  <c r="H1188" i="3"/>
  <c r="H671" i="3"/>
  <c r="H632" i="3"/>
  <c r="H958" i="3"/>
  <c r="H642" i="3"/>
  <c r="H44" i="3"/>
  <c r="H1180" i="3"/>
  <c r="H1247" i="3"/>
  <c r="H557" i="3"/>
  <c r="H653" i="3"/>
  <c r="H1065" i="3"/>
  <c r="H92" i="3"/>
  <c r="H898" i="3"/>
  <c r="H519" i="3"/>
  <c r="H802" i="3"/>
  <c r="H89" i="3"/>
  <c r="H1054" i="3"/>
  <c r="H540" i="3"/>
  <c r="H1181" i="3"/>
  <c r="H980" i="3"/>
  <c r="H520" i="3"/>
  <c r="H55" i="3"/>
  <c r="H1105" i="3"/>
  <c r="H605" i="3"/>
  <c r="H793" i="3"/>
  <c r="H868" i="3"/>
  <c r="H764" i="3"/>
  <c r="H326" i="3"/>
  <c r="H1066" i="3"/>
  <c r="H61" i="3"/>
  <c r="H147" i="3"/>
  <c r="H122" i="3"/>
  <c r="H715" i="3"/>
  <c r="H142" i="3"/>
  <c r="H1043" i="3"/>
  <c r="H865" i="3"/>
  <c r="H747" i="3"/>
  <c r="H1003" i="3"/>
  <c r="H581" i="3"/>
  <c r="H1036" i="3"/>
  <c r="H803" i="3"/>
  <c r="H414" i="3"/>
  <c r="H70" i="3"/>
  <c r="H438" i="3"/>
  <c r="B9" i="11" l="1"/>
  <c r="B5" i="11"/>
  <c r="B6" i="11" s="1"/>
  <c r="B10" i="5"/>
  <c r="B9" i="5"/>
  <c r="B5" i="5"/>
  <c r="B8" i="5" s="1"/>
</calcChain>
</file>

<file path=xl/sharedStrings.xml><?xml version="1.0" encoding="utf-8"?>
<sst xmlns="http://schemas.openxmlformats.org/spreadsheetml/2006/main" count="15416" uniqueCount="1682">
  <si>
    <t>Transaction_ID</t>
  </si>
  <si>
    <t>Order_Date</t>
  </si>
  <si>
    <t>Customer_Name</t>
  </si>
  <si>
    <t>City</t>
  </si>
  <si>
    <t>Category</t>
  </si>
  <si>
    <t>Product</t>
  </si>
  <si>
    <t>Quantity</t>
  </si>
  <si>
    <t>Sales</t>
  </si>
  <si>
    <t>Cost</t>
  </si>
  <si>
    <t>Payment_Method</t>
  </si>
  <si>
    <t>TXN10785</t>
  </si>
  <si>
    <t>Anjali Sharma</t>
  </si>
  <si>
    <t>Delhi</t>
  </si>
  <si>
    <t>clothing</t>
  </si>
  <si>
    <t>T-Shirt</t>
  </si>
  <si>
    <t>â‚¹3,236.33</t>
  </si>
  <si>
    <t>UPI</t>
  </si>
  <si>
    <t>TXN10505</t>
  </si>
  <si>
    <t>Pooja Gupta</t>
  </si>
  <si>
    <t>Gurugram</t>
  </si>
  <si>
    <t>Clothing</t>
  </si>
  <si>
    <t>Hoodie</t>
  </si>
  <si>
    <t>Credit Card</t>
  </si>
  <si>
    <t>TXN10895</t>
  </si>
  <si>
    <t>Muskan Gupta</t>
  </si>
  <si>
    <t>gurgaon</t>
  </si>
  <si>
    <t>Beauty</t>
  </si>
  <si>
    <t>Face Wash</t>
  </si>
  <si>
    <t>Debit Card</t>
  </si>
  <si>
    <t>TXN11126</t>
  </si>
  <si>
    <t>Rohit Yadav</t>
  </si>
  <si>
    <t>Ghaziabad</t>
  </si>
  <si>
    <t>Books</t>
  </si>
  <si>
    <t>Excel Guide</t>
  </si>
  <si>
    <t>TXN10357</t>
  </si>
  <si>
    <t>Rakesh Verma</t>
  </si>
  <si>
    <t>Electronics</t>
  </si>
  <si>
    <t>Wireless Mouse</t>
  </si>
  <si>
    <t>Net Banking</t>
  </si>
  <si>
    <t>TXN10351</t>
  </si>
  <si>
    <t>Rahul Kumar</t>
  </si>
  <si>
    <t>New Delhi</t>
  </si>
  <si>
    <t>Headphones</t>
  </si>
  <si>
    <t>â‚¹15,436.82</t>
  </si>
  <si>
    <t>TXN10620</t>
  </si>
  <si>
    <t>Arjun Mehtaâ€‹</t>
  </si>
  <si>
    <t>Bluetooth Speaker</t>
  </si>
  <si>
    <t>TXN10713</t>
  </si>
  <si>
    <t>Arjun Mehta</t>
  </si>
  <si>
    <t xml:space="preserve"> Noida</t>
  </si>
  <si>
    <t>TXN10379</t>
  </si>
  <si>
    <t>Deepak Singh</t>
  </si>
  <si>
    <t>Business Book</t>
  </si>
  <si>
    <t>TXN10758</t>
  </si>
  <si>
    <t>Komal Jain</t>
  </si>
  <si>
    <t>TXN11156</t>
  </si>
  <si>
    <t>Shivam Kumar</t>
  </si>
  <si>
    <t>Noida</t>
  </si>
  <si>
    <t>TXN11080</t>
  </si>
  <si>
    <t>Sahil Khan</t>
  </si>
  <si>
    <t xml:space="preserve"> Electronics </t>
  </si>
  <si>
    <t xml:space="preserve"> headphones </t>
  </si>
  <si>
    <t>TXN10454</t>
  </si>
  <si>
    <t>Faridabad</t>
  </si>
  <si>
    <t>TXN10448</t>
  </si>
  <si>
    <t>DELHI</t>
  </si>
  <si>
    <t>TXN10704</t>
  </si>
  <si>
    <t>Priya Singh</t>
  </si>
  <si>
    <t xml:space="preserve"> face wash </t>
  </si>
  <si>
    <t>TXN10798</t>
  </si>
  <si>
    <t>Simran Kaur</t>
  </si>
  <si>
    <t>Cash</t>
  </si>
  <si>
    <t>TXN10161</t>
  </si>
  <si>
    <t>TXN10255</t>
  </si>
  <si>
    <t>Sneha Patel</t>
  </si>
  <si>
    <t>GURUGRAM</t>
  </si>
  <si>
    <t>â‚¹10,051.10</t>
  </si>
  <si>
    <t>TXN11229</t>
  </si>
  <si>
    <t>beauty</t>
  </si>
  <si>
    <t>Lip Balm</t>
  </si>
  <si>
    <t>TXN10258</t>
  </si>
  <si>
    <t xml:space="preserve"> Ghaziabad </t>
  </si>
  <si>
    <t>Home &amp; Kitchen</t>
  </si>
  <si>
    <t>Bedsheet</t>
  </si>
  <si>
    <t>TXN11010</t>
  </si>
  <si>
    <t>Ayesha Khan</t>
  </si>
  <si>
    <t>Jeans</t>
  </si>
  <si>
    <t>TXN10129</t>
  </si>
  <si>
    <t>USB-C Cable</t>
  </si>
  <si>
    <t>TXN10847</t>
  </si>
  <si>
    <t>RAHUL KUMAR</t>
  </si>
  <si>
    <t>Sneakers</t>
  </si>
  <si>
    <t>TXN10120</t>
  </si>
  <si>
    <t>Keyboard</t>
  </si>
  <si>
    <t>TXN10154</t>
  </si>
  <si>
    <t xml:space="preserve">  Deepak Singh  </t>
  </si>
  <si>
    <t xml:space="preserve"> Home &amp; Kitchen </t>
  </si>
  <si>
    <t>Cookware Set</t>
  </si>
  <si>
    <t>TXN10788</t>
  </si>
  <si>
    <t>SQL Book</t>
  </si>
  <si>
    <t>TXN10777</t>
  </si>
  <si>
    <t>Novel</t>
  </si>
  <si>
    <t>TXN10573</t>
  </si>
  <si>
    <t>Shampoo</t>
  </si>
  <si>
    <t>TXN10668</t>
  </si>
  <si>
    <t>Tanya Singh</t>
  </si>
  <si>
    <t>Sunscreen</t>
  </si>
  <si>
    <t>TXN10907</t>
  </si>
  <si>
    <t>Kavita Yadav</t>
  </si>
  <si>
    <t>Coffee Mug</t>
  </si>
  <si>
    <t>TXN10404</t>
  </si>
  <si>
    <t>â‚¹2,175.69</t>
  </si>
  <si>
    <t>TXN10616</t>
  </si>
  <si>
    <t>Power Bank</t>
  </si>
  <si>
    <t>TXN10373</t>
  </si>
  <si>
    <t>Neha Verma</t>
  </si>
  <si>
    <t>TXN10629</t>
  </si>
  <si>
    <t>Amit Sharma</t>
  </si>
  <si>
    <t>TXN10492</t>
  </si>
  <si>
    <t>Nitin Kumar</t>
  </si>
  <si>
    <t>TXN10451</t>
  </si>
  <si>
    <t>Vikas Kumar</t>
  </si>
  <si>
    <t>electronics</t>
  </si>
  <si>
    <t>TXN10768</t>
  </si>
  <si>
    <t>Karan Singh</t>
  </si>
  <si>
    <t>ghaziabad</t>
  </si>
  <si>
    <t>TXN10619</t>
  </si>
  <si>
    <t>delhi</t>
  </si>
  <si>
    <t>TXN10246</t>
  </si>
  <si>
    <t>Riya Gupta</t>
  </si>
  <si>
    <t>TXN11171</t>
  </si>
  <si>
    <t>Perfume</t>
  </si>
  <si>
    <t>TXN10986</t>
  </si>
  <si>
    <t>Nisha Kapoor</t>
  </si>
  <si>
    <t>TXN10058</t>
  </si>
  <si>
    <t>Isha Mehta</t>
  </si>
  <si>
    <t>TXN10225</t>
  </si>
  <si>
    <t>Storage Box</t>
  </si>
  <si>
    <t>TXN10293</t>
  </si>
  <si>
    <t xml:space="preserve">  Simran Kaur  </t>
  </si>
  <si>
    <t>TXN10261</t>
  </si>
  <si>
    <t>Nisha Kapoorâ€‹</t>
  </si>
  <si>
    <t>TXN10391</t>
  </si>
  <si>
    <t xml:space="preserve"> perfume </t>
  </si>
  <si>
    <t>TXN10818</t>
  </si>
  <si>
    <t>DEEPAK SINGH</t>
  </si>
  <si>
    <t>Wireless  Mouse</t>
  </si>
  <si>
    <t>TXN10378</t>
  </si>
  <si>
    <t>TXN10343</t>
  </si>
  <si>
    <t>home &amp; kitchen</t>
  </si>
  <si>
    <t>Water Bottle</t>
  </si>
  <si>
    <t>TXN10648</t>
  </si>
  <si>
    <t>TXN10387</t>
  </si>
  <si>
    <t>TXN10130</t>
  </si>
  <si>
    <t>TXN11204</t>
  </si>
  <si>
    <t>Table Lamp</t>
  </si>
  <si>
    <t>TXN10566</t>
  </si>
  <si>
    <t xml:space="preserve"> kurta </t>
  </si>
  <si>
    <t>TXN10670</t>
  </si>
  <si>
    <t>â‚¹1,924.02</t>
  </si>
  <si>
    <t>TXN10543</t>
  </si>
  <si>
    <t>TXN10397</t>
  </si>
  <si>
    <t>Mohit Sharma</t>
  </si>
  <si>
    <t>Power BI Guide</t>
  </si>
  <si>
    <t>TXN10686</t>
  </si>
  <si>
    <t>TXN10789</t>
  </si>
  <si>
    <t>TXN10155</t>
  </si>
  <si>
    <t>TXN10226</t>
  </si>
  <si>
    <t>TXN10286</t>
  </si>
  <si>
    <t>TXN10064</t>
  </si>
  <si>
    <t>05-27-2025</t>
  </si>
  <si>
    <t>TXN10377</t>
  </si>
  <si>
    <t>TXN11231</t>
  </si>
  <si>
    <t>noida</t>
  </si>
  <si>
    <t>TXN10682</t>
  </si>
  <si>
    <t>Manish Gupta</t>
  </si>
  <si>
    <t>TXN11143</t>
  </si>
  <si>
    <t>TXN10235</t>
  </si>
  <si>
    <t>Karan SinghÂ </t>
  </si>
  <si>
    <t xml:space="preserve"> Books </t>
  </si>
  <si>
    <t>Data Analytics Book</t>
  </si>
  <si>
    <t>TXN10954</t>
  </si>
  <si>
    <t xml:space="preserve"> Beauty </t>
  </si>
  <si>
    <t>TXN10853</t>
  </si>
  <si>
    <t>TXN11160</t>
  </si>
  <si>
    <t>TXN10983</t>
  </si>
  <si>
    <t>TXN10125</t>
  </si>
  <si>
    <t>TXN10260</t>
  </si>
  <si>
    <t>TXN10806</t>
  </si>
  <si>
    <t>â‚¹1,932.30</t>
  </si>
  <si>
    <t>TXN11129</t>
  </si>
  <si>
    <t>Kurta</t>
  </si>
  <si>
    <t>TXN11020</t>
  </si>
  <si>
    <t>09-24-2025</t>
  </si>
  <si>
    <t>TXN10588</t>
  </si>
  <si>
    <t>TANYA SINGH</t>
  </si>
  <si>
    <t>Jacket</t>
  </si>
  <si>
    <t>TXN10560</t>
  </si>
  <si>
    <t>TXN10481</t>
  </si>
  <si>
    <t>TXN11005</t>
  </si>
  <si>
    <t>TXN10087</t>
  </si>
  <si>
    <t>TXN10575</t>
  </si>
  <si>
    <t>TXN10464</t>
  </si>
  <si>
    <t>â‚¹1,206.37</t>
  </si>
  <si>
    <t>TXN11144</t>
  </si>
  <si>
    <t xml:space="preserve"> coffee mug </t>
  </si>
  <si>
    <t>TXN10537</t>
  </si>
  <si>
    <t>TXN10081</t>
  </si>
  <si>
    <t>â‚¹1,841.25</t>
  </si>
  <si>
    <t>TXN11147</t>
  </si>
  <si>
    <t>TXN11127</t>
  </si>
  <si>
    <t>TXN10153</t>
  </si>
  <si>
    <t>TXN11086</t>
  </si>
  <si>
    <t>TXN10043</t>
  </si>
  <si>
    <t>TXN10117</t>
  </si>
  <si>
    <t>NEHA VERMA</t>
  </si>
  <si>
    <t>TXN11132</t>
  </si>
  <si>
    <t>TXN10722</t>
  </si>
  <si>
    <t xml:space="preserve"> usb-c cable </t>
  </si>
  <si>
    <t>TXN11221</t>
  </si>
  <si>
    <t>Varun Sharma</t>
  </si>
  <si>
    <t>TXN10237</t>
  </si>
  <si>
    <t>TXN11065</t>
  </si>
  <si>
    <t>TXN11062</t>
  </si>
  <si>
    <t>TXN10234</t>
  </si>
  <si>
    <t>TXN10960</t>
  </si>
  <si>
    <t>VARUN SHARMAâ€‹</t>
  </si>
  <si>
    <t>TXN11100</t>
  </si>
  <si>
    <t>TXN10771</t>
  </si>
  <si>
    <t>TXN10306</t>
  </si>
  <si>
    <t>TXN11003</t>
  </si>
  <si>
    <t>Harsh Patel</t>
  </si>
  <si>
    <t>TXN10582</t>
  </si>
  <si>
    <t>TXN11162</t>
  </si>
  <si>
    <t xml:space="preserve">  Rakesh Verma  </t>
  </si>
  <si>
    <t>books</t>
  </si>
  <si>
    <t>TXN10263</t>
  </si>
  <si>
    <t>TXN10089</t>
  </si>
  <si>
    <t>â‚¹2,008.71</t>
  </si>
  <si>
    <t>TXN10054</t>
  </si>
  <si>
    <t>TXN11215</t>
  </si>
  <si>
    <t xml:space="preserve"> power bi guide </t>
  </si>
  <si>
    <t>TXN10212</t>
  </si>
  <si>
    <t>TXN10936</t>
  </si>
  <si>
    <t>TXN10173</t>
  </si>
  <si>
    <t>TXN11050</t>
  </si>
  <si>
    <t>SIMRAN KAUR</t>
  </si>
  <si>
    <t>TXN10804</t>
  </si>
  <si>
    <t>TXN10168</t>
  </si>
  <si>
    <t>Nisha KapoorÂ </t>
  </si>
  <si>
    <t>TXN10018</t>
  </si>
  <si>
    <t xml:space="preserve">  Arjun Mehta  </t>
  </si>
  <si>
    <t xml:space="preserve"> jacket </t>
  </si>
  <si>
    <t>TXN10077</t>
  </si>
  <si>
    <t xml:space="preserve">  Shivam Kumar  </t>
  </si>
  <si>
    <t>TXN10301</t>
  </si>
  <si>
    <t>TXN10409</t>
  </si>
  <si>
    <t>Varun SharmaÂ </t>
  </si>
  <si>
    <t>TXN10272</t>
  </si>
  <si>
    <t>Aditya Verma</t>
  </si>
  <si>
    <t>TXN10775</t>
  </si>
  <si>
    <t>TXN10066</t>
  </si>
  <si>
    <t>Excel  Guide</t>
  </si>
  <si>
    <t>TXN10390</t>
  </si>
  <si>
    <t>TXN10003</t>
  </si>
  <si>
    <t>TXN11070</t>
  </si>
  <si>
    <t>TXN10320</t>
  </si>
  <si>
    <t>TXN10108</t>
  </si>
  <si>
    <t>â‚¹2,450.95</t>
  </si>
  <si>
    <t>TXN10848</t>
  </si>
  <si>
    <t>TXN10712</t>
  </si>
  <si>
    <t>TXN11042</t>
  </si>
  <si>
    <t>TXN10743</t>
  </si>
  <si>
    <t>TXN10607</t>
  </si>
  <si>
    <t>TXN10548</t>
  </si>
  <si>
    <t>TXN10809</t>
  </si>
  <si>
    <t>TXN11186</t>
  </si>
  <si>
    <t>TXN10916</t>
  </si>
  <si>
    <t>TXN10861</t>
  </si>
  <si>
    <t>TXN10825</t>
  </si>
  <si>
    <t>â‚¹1,391.90</t>
  </si>
  <si>
    <t>TXN10813</t>
  </si>
  <si>
    <t>MOHIT SHARMA</t>
  </si>
  <si>
    <t>TXN10671</t>
  </si>
  <si>
    <t>TXN10838</t>
  </si>
  <si>
    <t>ANJALI SHARMA</t>
  </si>
  <si>
    <t>TXN10295</t>
  </si>
  <si>
    <t>TXN10638</t>
  </si>
  <si>
    <t>TXN10147</t>
  </si>
  <si>
    <t>TXN10710</t>
  </si>
  <si>
    <t>TXN10891</t>
  </si>
  <si>
    <t>TXN10680</t>
  </si>
  <si>
    <t>TXN10145</t>
  </si>
  <si>
    <t>TXN10839</t>
  </si>
  <si>
    <t>TXN10905</t>
  </si>
  <si>
    <t>TXN10519</t>
  </si>
  <si>
    <t>TXN10526</t>
  </si>
  <si>
    <t>TXN10531</t>
  </si>
  <si>
    <t>TXN10779</t>
  </si>
  <si>
    <t>Sahil KhanÂ </t>
  </si>
  <si>
    <t>TXN11135</t>
  </si>
  <si>
    <t>TXN10370</t>
  </si>
  <si>
    <t>TXN10865</t>
  </si>
  <si>
    <t>TXN10513</t>
  </si>
  <si>
    <t>TXN10202</t>
  </si>
  <si>
    <t>TXN10408</t>
  </si>
  <si>
    <t>TXN11067</t>
  </si>
  <si>
    <t>TXN10927</t>
  </si>
  <si>
    <t>TXN10144</t>
  </si>
  <si>
    <t>TXN10655</t>
  </si>
  <si>
    <t>TXN10200</t>
  </si>
  <si>
    <t xml:space="preserve">  Karan Singh  </t>
  </si>
  <si>
    <t xml:space="preserve"> gurugram </t>
  </si>
  <si>
    <t>TXN10676</t>
  </si>
  <si>
    <t>TXN11183</t>
  </si>
  <si>
    <t>TXN10673</t>
  </si>
  <si>
    <t>TXN10300</t>
  </si>
  <si>
    <t>TXN10943</t>
  </si>
  <si>
    <t>TXN10214</t>
  </si>
  <si>
    <t>TXN11122</t>
  </si>
  <si>
    <t>TXN10579</t>
  </si>
  <si>
    <t xml:space="preserve">  Tanya Singh  </t>
  </si>
  <si>
    <t>TXN10669</t>
  </si>
  <si>
    <t>TXN10909</t>
  </si>
  <si>
    <t>TXN10318</t>
  </si>
  <si>
    <t>Lip  Balm</t>
  </si>
  <si>
    <t>TXN10224</t>
  </si>
  <si>
    <t>RAKESH VERMA</t>
  </si>
  <si>
    <t>TXN10856</t>
  </si>
  <si>
    <t>TXN10654</t>
  </si>
  <si>
    <t>TXN10026</t>
  </si>
  <si>
    <t>TXN10457</t>
  </si>
  <si>
    <t>ROHIT YADAV</t>
  </si>
  <si>
    <t>TXN10302</t>
  </si>
  <si>
    <t xml:space="preserve"> water bottle </t>
  </si>
  <si>
    <t>TXN11044</t>
  </si>
  <si>
    <t>TXN11076</t>
  </si>
  <si>
    <t>TXN11031</t>
  </si>
  <si>
    <t>TXN10603</t>
  </si>
  <si>
    <t>TXN10482</t>
  </si>
  <si>
    <t>TXN10665</t>
  </si>
  <si>
    <t>TXN10384</t>
  </si>
  <si>
    <t>TXN11176</t>
  </si>
  <si>
    <t>TXN10142</t>
  </si>
  <si>
    <t>Ayesha KhanÂ </t>
  </si>
  <si>
    <t>TXN10352</t>
  </si>
  <si>
    <t>TXN10639</t>
  </si>
  <si>
    <t>TXN10479</t>
  </si>
  <si>
    <t>TXN10949</t>
  </si>
  <si>
    <t>TXN11053</t>
  </si>
  <si>
    <t>Moisturizer</t>
  </si>
  <si>
    <t>TXN10102</t>
  </si>
  <si>
    <t>â‚¹1,779.13</t>
  </si>
  <si>
    <t>TXN10308</t>
  </si>
  <si>
    <t xml:space="preserve">  Mohit Sharma  </t>
  </si>
  <si>
    <t xml:space="preserve"> lip balm </t>
  </si>
  <si>
    <t>TXN10254</t>
  </si>
  <si>
    <t>MUSKAN GUPTA</t>
  </si>
  <si>
    <t>TXN10952</t>
  </si>
  <si>
    <t>TXN10501</t>
  </si>
  <si>
    <t>12-31-2025</t>
  </si>
  <si>
    <t>TXN11175</t>
  </si>
  <si>
    <t>TXN10178</t>
  </si>
  <si>
    <t>TXN11224</t>
  </si>
  <si>
    <t>TXN11187</t>
  </si>
  <si>
    <t>TXN10663</t>
  </si>
  <si>
    <t>TXN10172</t>
  </si>
  <si>
    <t>TXN10267</t>
  </si>
  <si>
    <t>TXN10612</t>
  </si>
  <si>
    <t>â‚¹407.45</t>
  </si>
  <si>
    <t>TXN10647</t>
  </si>
  <si>
    <t>TXN10535</t>
  </si>
  <si>
    <t>TXN10836</t>
  </si>
  <si>
    <t>TXN11213</t>
  </si>
  <si>
    <t>TXN10296</t>
  </si>
  <si>
    <t>TXN11088</t>
  </si>
  <si>
    <t>TXN10951</t>
  </si>
  <si>
    <t>NOIDA</t>
  </si>
  <si>
    <t>TXN10708</t>
  </si>
  <si>
    <t>TXN10649</t>
  </si>
  <si>
    <t>TXN10366</t>
  </si>
  <si>
    <t>TXN10475</t>
  </si>
  <si>
    <t xml:space="preserve">  Sneha Patel  </t>
  </si>
  <si>
    <t>TXN11027</t>
  </si>
  <si>
    <t>TXN10523</t>
  </si>
  <si>
    <t>TXN10049</t>
  </si>
  <si>
    <t xml:space="preserve">  Varun Sharma  </t>
  </si>
  <si>
    <t>TXN10860</t>
  </si>
  <si>
    <t>Rakesh VermaÂ </t>
  </si>
  <si>
    <t>TXN11055</t>
  </si>
  <si>
    <t>TXN11083</t>
  </si>
  <si>
    <t>TXN10135</t>
  </si>
  <si>
    <t>TXN10604</t>
  </si>
  <si>
    <t xml:space="preserve"> sql book </t>
  </si>
  <si>
    <t>TXN10215</t>
  </si>
  <si>
    <t>TXN10739</t>
  </si>
  <si>
    <t>TXN11158</t>
  </si>
  <si>
    <t>TXN10677</t>
  </si>
  <si>
    <t>TXN10194</t>
  </si>
  <si>
    <t>TXN11051</t>
  </si>
  <si>
    <t>TXN10871</t>
  </si>
  <si>
    <t>TXN10326</t>
  </si>
  <si>
    <t>TXN10031</t>
  </si>
  <si>
    <t xml:space="preserve">  Isha Mehta  </t>
  </si>
  <si>
    <t>TXN10004</t>
  </si>
  <si>
    <t>TXN10632</t>
  </si>
  <si>
    <t>TXN10955</t>
  </si>
  <si>
    <t>SNEHA PATEL</t>
  </si>
  <si>
    <t>TXN10687</t>
  </si>
  <si>
    <t>TXN10137</t>
  </si>
  <si>
    <t>TXN10567</t>
  </si>
  <si>
    <t>TXN10570</t>
  </si>
  <si>
    <t>TXN10416</t>
  </si>
  <si>
    <t>TXN10880</t>
  </si>
  <si>
    <t xml:space="preserve"> home &amp; kitchen </t>
  </si>
  <si>
    <t>TXN10589</t>
  </si>
  <si>
    <t>TXN10542</t>
  </si>
  <si>
    <t>TXN10386</t>
  </si>
  <si>
    <t>TXN10078</t>
  </si>
  <si>
    <t>TXN10023</t>
  </si>
  <si>
    <t xml:space="preserve"> Clothing </t>
  </si>
  <si>
    <t>TXN11211</t>
  </si>
  <si>
    <t>â‚¹3,465.99</t>
  </si>
  <si>
    <t>TXN10918</t>
  </si>
  <si>
    <t>TXN10521</t>
  </si>
  <si>
    <t>TXN11166</t>
  </si>
  <si>
    <t>TXN10528</t>
  </si>
  <si>
    <t>07-31-2025</t>
  </si>
  <si>
    <t>TXN10999</t>
  </si>
  <si>
    <t>TXN10421</t>
  </si>
  <si>
    <t>TXN10970</t>
  </si>
  <si>
    <t>RAHUL KUMARÂ </t>
  </si>
  <si>
    <t>Cookware  Set</t>
  </si>
  <si>
    <t>TXN10561</t>
  </si>
  <si>
    <t>Aditya VermaÂ </t>
  </si>
  <si>
    <t>TXN10717</t>
  </si>
  <si>
    <t>TXN10017</t>
  </si>
  <si>
    <t>RIYA GUPTA</t>
  </si>
  <si>
    <t>TXN10444</t>
  </si>
  <si>
    <t>TXN10842</t>
  </si>
  <si>
    <t>TXN10863</t>
  </si>
  <si>
    <t>Ayesha Khanâ€‹</t>
  </si>
  <si>
    <t>â‚¹6,208.83</t>
  </si>
  <si>
    <t>TXN10141</t>
  </si>
  <si>
    <t>TXN10288</t>
  </si>
  <si>
    <t>NISHA KAPOORâ€‹</t>
  </si>
  <si>
    <t>TXN10910</t>
  </si>
  <si>
    <t>TXN10401</t>
  </si>
  <si>
    <t>GHAZIABAD</t>
  </si>
  <si>
    <t>TXN10764</t>
  </si>
  <si>
    <t>TXN10208</t>
  </si>
  <si>
    <t>TXN11069</t>
  </si>
  <si>
    <t>TXN11089</t>
  </si>
  <si>
    <t>TXN10859</t>
  </si>
  <si>
    <t>TXN10019</t>
  </si>
  <si>
    <t>TXN10887</t>
  </si>
  <si>
    <t>TXN11037</t>
  </si>
  <si>
    <t>TXN10477</t>
  </si>
  <si>
    <t>TXN10114</t>
  </si>
  <si>
    <t>TXN10705</t>
  </si>
  <si>
    <t>TXN10100</t>
  </si>
  <si>
    <t>TXN10099</t>
  </si>
  <si>
    <t>â‚¹1,677.25</t>
  </si>
  <si>
    <t>TXN10723</t>
  </si>
  <si>
    <t>07-16-2025</t>
  </si>
  <si>
    <t>TXN10435</t>
  </si>
  <si>
    <t>TXN10103</t>
  </si>
  <si>
    <t>Power  BI  Guide</t>
  </si>
  <si>
    <t>TXN10767</t>
  </si>
  <si>
    <t>TXN10270</t>
  </si>
  <si>
    <t>TXN11241</t>
  </si>
  <si>
    <t>TXN10438</t>
  </si>
  <si>
    <t>Manish GuptaÂ </t>
  </si>
  <si>
    <t>TXN10888</t>
  </si>
  <si>
    <t xml:space="preserve"> cookware set </t>
  </si>
  <si>
    <t>TXN10354</t>
  </si>
  <si>
    <t>TXN10431</t>
  </si>
  <si>
    <t>TXN10051</t>
  </si>
  <si>
    <t>TXN11165</t>
  </si>
  <si>
    <t>PRIYA SINGH</t>
  </si>
  <si>
    <t>TXN10132</t>
  </si>
  <si>
    <t>TXN10273</t>
  </si>
  <si>
    <t>TXN10344</t>
  </si>
  <si>
    <t>TXN10726</t>
  </si>
  <si>
    <t>Sahil Khanâ€‹</t>
  </si>
  <si>
    <t>TXN10413</t>
  </si>
  <si>
    <t>TXN10799</t>
  </si>
  <si>
    <t>TXN10679</t>
  </si>
  <si>
    <t xml:space="preserve">  Muskan Gupta  </t>
  </si>
  <si>
    <t>TXN10159</t>
  </si>
  <si>
    <t>TXN10305</t>
  </si>
  <si>
    <t>TXN10866</t>
  </si>
  <si>
    <t>TXN10021</t>
  </si>
  <si>
    <t>TXN10467</t>
  </si>
  <si>
    <t>TXN10380</t>
  </si>
  <si>
    <t>TXN11058</t>
  </si>
  <si>
    <t>TXN10398</t>
  </si>
  <si>
    <t>TXN10339</t>
  </si>
  <si>
    <t>TXN11130</t>
  </si>
  <si>
    <t>NEW DELHI</t>
  </si>
  <si>
    <t>TXN10879</t>
  </si>
  <si>
    <t>TXN10658</t>
  </si>
  <si>
    <t>TXN10613</t>
  </si>
  <si>
    <t>TXN10016</t>
  </si>
  <si>
    <t xml:space="preserve"> New Delhi </t>
  </si>
  <si>
    <t>TXN10361</t>
  </si>
  <si>
    <t>Riya GuptaÂ </t>
  </si>
  <si>
    <t>TXN10587</t>
  </si>
  <si>
    <t>TXN10473</t>
  </si>
  <si>
    <t>TXN10792</t>
  </si>
  <si>
    <t>TXN11112</t>
  </si>
  <si>
    <t xml:space="preserve"> Faridabad</t>
  </si>
  <si>
    <t>TXN10530</t>
  </si>
  <si>
    <t>TXN10024</t>
  </si>
  <si>
    <t>TXN11142</t>
  </si>
  <si>
    <t>TXN10189</t>
  </si>
  <si>
    <t>TXN11068</t>
  </si>
  <si>
    <t>TXN11028</t>
  </si>
  <si>
    <t xml:space="preserve">  Amit Sharma  </t>
  </si>
  <si>
    <t>TXN11196</t>
  </si>
  <si>
    <t>TXN11099</t>
  </si>
  <si>
    <t>TXN10008</t>
  </si>
  <si>
    <t>TXN10617</t>
  </si>
  <si>
    <t>01-22-2025</t>
  </si>
  <si>
    <t>â‚¹1,893.22</t>
  </si>
  <si>
    <t>TXN10922</t>
  </si>
  <si>
    <t>NISHA KAPOOR</t>
  </si>
  <si>
    <t>TXN10841</t>
  </si>
  <si>
    <t>06-28-2025</t>
  </si>
  <si>
    <t>Nitin Kumarâ€‹</t>
  </si>
  <si>
    <t>TXN10216</t>
  </si>
  <si>
    <t>â‚¹1,736.03</t>
  </si>
  <si>
    <t>TXN10110</t>
  </si>
  <si>
    <t>TXN10220</t>
  </si>
  <si>
    <t>TXN11161</t>
  </si>
  <si>
    <t xml:space="preserve"> shampoo </t>
  </si>
  <si>
    <t>TXN10765</t>
  </si>
  <si>
    <t>Muskan Guptaâ€‹</t>
  </si>
  <si>
    <t>TXN10204</t>
  </si>
  <si>
    <t>TXN11072</t>
  </si>
  <si>
    <t>faridabad</t>
  </si>
  <si>
    <t xml:space="preserve"> excel guide </t>
  </si>
  <si>
    <t>TXN10628</t>
  </si>
  <si>
    <t>TXN10028</t>
  </si>
  <si>
    <t>02-20-2025</t>
  </si>
  <si>
    <t>TXN10231</t>
  </si>
  <si>
    <t>TXN10402</t>
  </si>
  <si>
    <t>TXN10053</t>
  </si>
  <si>
    <t>TXN10946</t>
  </si>
  <si>
    <t>â‚¹5,114.32</t>
  </si>
  <si>
    <t>TXN10698</t>
  </si>
  <si>
    <t>TXN11115</t>
  </si>
  <si>
    <t>TXN10075</t>
  </si>
  <si>
    <t>TXN10892</t>
  </si>
  <si>
    <t>â‚¹318.49</t>
  </si>
  <si>
    <t>TXN10797</t>
  </si>
  <si>
    <t>TXN10047</t>
  </si>
  <si>
    <t>Anjali SharmaÂ </t>
  </si>
  <si>
    <t>TXN10197</t>
  </si>
  <si>
    <t>TXN10667</t>
  </si>
  <si>
    <t>TXN10563</t>
  </si>
  <si>
    <t>â‚¹6,924.15</t>
  </si>
  <si>
    <t>TXN10878</t>
  </si>
  <si>
    <t>TXN10127</t>
  </si>
  <si>
    <t>TXN10719</t>
  </si>
  <si>
    <t>TXN11078</t>
  </si>
  <si>
    <t>TXN10065</t>
  </si>
  <si>
    <t>Priya SinghÂ </t>
  </si>
  <si>
    <t>TXN10404-DUP</t>
  </si>
  <si>
    <t>TXN10993</t>
  </si>
  <si>
    <t>TXN10828</t>
  </si>
  <si>
    <t>TXN11009</t>
  </si>
  <si>
    <t>TXN10867</t>
  </si>
  <si>
    <t>TXN10709</t>
  </si>
  <si>
    <t>â‚¹1,628.53</t>
  </si>
  <si>
    <t>TXN10321-DUP</t>
  </si>
  <si>
    <t>TXN10334</t>
  </si>
  <si>
    <t>new delhi</t>
  </si>
  <si>
    <t>TXN10624</t>
  </si>
  <si>
    <t>TXN11079</t>
  </si>
  <si>
    <t>TXN10553</t>
  </si>
  <si>
    <t>03-27-2025</t>
  </si>
  <si>
    <t>Komal JainÂ </t>
  </si>
  <si>
    <t>TXN10406</t>
  </si>
  <si>
    <t>â‚¹650.56</t>
  </si>
  <si>
    <t>TXN10063</t>
  </si>
  <si>
    <t>TXN10219</t>
  </si>
  <si>
    <t>TXN10358</t>
  </si>
  <si>
    <t>TXN10778</t>
  </si>
  <si>
    <t>TXN10815</t>
  </si>
  <si>
    <t>TXN10549</t>
  </si>
  <si>
    <t>TXN10276</t>
  </si>
  <si>
    <t>TXN10811</t>
  </si>
  <si>
    <t xml:space="preserve">FARIDABAD </t>
  </si>
  <si>
    <t>TXN11013</t>
  </si>
  <si>
    <t>TXN10914</t>
  </si>
  <si>
    <t>TXN11011</t>
  </si>
  <si>
    <t>TXN10510</t>
  </si>
  <si>
    <t>Bluetooth  Speaker</t>
  </si>
  <si>
    <t>TXN10872</t>
  </si>
  <si>
    <t>TXN10755</t>
  </si>
  <si>
    <t>TXN10236</t>
  </si>
  <si>
    <t>TXN10770</t>
  </si>
  <si>
    <t>TXN10721</t>
  </si>
  <si>
    <t>TXN10793</t>
  </si>
  <si>
    <t>TXN10850</t>
  </si>
  <si>
    <t>TXN10759</t>
  </si>
  <si>
    <t>TXN10533</t>
  </si>
  <si>
    <t>TXN10101</t>
  </si>
  <si>
    <t>TXN11149</t>
  </si>
  <si>
    <t>TXN10183</t>
  </si>
  <si>
    <t>11-27-2025</t>
  </si>
  <si>
    <t xml:space="preserve">  Nitin Kumar  </t>
  </si>
  <si>
    <t>TXN10333</t>
  </si>
  <si>
    <t>TXN10727</t>
  </si>
  <si>
    <t>TXN11036</t>
  </si>
  <si>
    <t>TXN10904</t>
  </si>
  <si>
    <t>TXN10987</t>
  </si>
  <si>
    <t xml:space="preserve">Delhi </t>
  </si>
  <si>
    <t>TXN10800</t>
  </si>
  <si>
    <t>TXN10259</t>
  </si>
  <si>
    <t>TXN10139</t>
  </si>
  <si>
    <t>TXN10650</t>
  </si>
  <si>
    <t>â‚¹3,183.24</t>
  </si>
  <si>
    <t>TXN10545</t>
  </si>
  <si>
    <t>TXN10962</t>
  </si>
  <si>
    <t>TXN10581</t>
  </si>
  <si>
    <t>SQL  Book</t>
  </si>
  <si>
    <t>TXN10820</t>
  </si>
  <si>
    <t>â‚¹4,948.37</t>
  </si>
  <si>
    <t>TXN10645</t>
  </si>
  <si>
    <t>TXN11167</t>
  </si>
  <si>
    <t>TXN10637</t>
  </si>
  <si>
    <t>TXN10041</t>
  </si>
  <si>
    <t>TXN11131</t>
  </si>
  <si>
    <t>TXN10961</t>
  </si>
  <si>
    <t>TXN10073</t>
  </si>
  <si>
    <t>TXN10496</t>
  </si>
  <si>
    <t>TXN10672</t>
  </si>
  <si>
    <t>TXN10594</t>
  </si>
  <si>
    <t>TXN10085</t>
  </si>
  <si>
    <t>TXN10033</t>
  </si>
  <si>
    <t>TXN10309</t>
  </si>
  <si>
    <t>TXN11048</t>
  </si>
  <si>
    <t>TXN10956</t>
  </si>
  <si>
    <t>Isha Mehtaâ€‹</t>
  </si>
  <si>
    <t xml:space="preserve"> keyboard </t>
  </si>
  <si>
    <t>TXN10611</t>
  </si>
  <si>
    <t>Sneha PatelÂ </t>
  </si>
  <si>
    <t>TXN10577</t>
  </si>
  <si>
    <t>TXN10192</t>
  </si>
  <si>
    <t xml:space="preserve">  PRIYA SINGH  </t>
  </si>
  <si>
    <t>TXN10618</t>
  </si>
  <si>
    <t>TXN11138</t>
  </si>
  <si>
    <t>TXN10787</t>
  </si>
  <si>
    <t>TXN10369</t>
  </si>
  <si>
    <t>TXN10278</t>
  </si>
  <si>
    <t>TXN10572</t>
  </si>
  <si>
    <t>TXN10035</t>
  </si>
  <si>
    <t>TXN11022</t>
  </si>
  <si>
    <t xml:space="preserve"> bluetooth speaker </t>
  </si>
  <si>
    <t>â‚¹1,836.89</t>
  </si>
  <si>
    <t>TXN10071</t>
  </si>
  <si>
    <t>TXN10646</t>
  </si>
  <si>
    <t>TXN10746</t>
  </si>
  <si>
    <t>TXN11057</t>
  </si>
  <si>
    <t>TXN10969</t>
  </si>
  <si>
    <t>TXN11164</t>
  </si>
  <si>
    <t>TXN11227</t>
  </si>
  <si>
    <t>TXN10571</t>
  </si>
  <si>
    <t>TXN10802</t>
  </si>
  <si>
    <t>TXN10133</t>
  </si>
  <si>
    <t>Kavita YadavÂ </t>
  </si>
  <si>
    <t>TXN10223</t>
  </si>
  <si>
    <t>TXN10911</t>
  </si>
  <si>
    <t>TXN10268</t>
  </si>
  <si>
    <t>TXN11038</t>
  </si>
  <si>
    <t>TXN10082</t>
  </si>
  <si>
    <t xml:space="preserve">  ISHA MEHTA  </t>
  </si>
  <si>
    <t>TXN10696</t>
  </si>
  <si>
    <t>TXN11174</t>
  </si>
  <si>
    <t>TXN10116</t>
  </si>
  <si>
    <t>TXN10429</t>
  </si>
  <si>
    <t>TXN10484</t>
  </si>
  <si>
    <t>TXN10468</t>
  </si>
  <si>
    <t>TXN10958</t>
  </si>
  <si>
    <t>TXN10209</t>
  </si>
  <si>
    <t>TXN10345</t>
  </si>
  <si>
    <t>TXN10330</t>
  </si>
  <si>
    <t xml:space="preserve">  Rahul Kumar  </t>
  </si>
  <si>
    <t>TXN11110</t>
  </si>
  <si>
    <t>TXN10015</t>
  </si>
  <si>
    <t>TXN10503</t>
  </si>
  <si>
    <t>TXN10426</t>
  </si>
  <si>
    <t>TXN10540</t>
  </si>
  <si>
    <t>TXN10597</t>
  </si>
  <si>
    <t>TXN10994</t>
  </si>
  <si>
    <t>TXN11245</t>
  </si>
  <si>
    <t>TXN11054</t>
  </si>
  <si>
    <t>TXN11046</t>
  </si>
  <si>
    <t>TXN10437</t>
  </si>
  <si>
    <t>TXN10737</t>
  </si>
  <si>
    <t>TXN10685</t>
  </si>
  <si>
    <t>TXN10926</t>
  </si>
  <si>
    <t>TXN11223</t>
  </si>
  <si>
    <t>TXN11128</t>
  </si>
  <si>
    <t>TXN10107</t>
  </si>
  <si>
    <t>TXN10897</t>
  </si>
  <si>
    <t>TXN10007</t>
  </si>
  <si>
    <t>TXN10516</t>
  </si>
  <si>
    <t>TXN10881</t>
  </si>
  <si>
    <t>Rohit YadavÂ </t>
  </si>
  <si>
    <t>TXN10368</t>
  </si>
  <si>
    <t>TXN11226</t>
  </si>
  <si>
    <t>TXN11118</t>
  </si>
  <si>
    <t>TXN11091</t>
  </si>
  <si>
    <t>TXN10376</t>
  </si>
  <si>
    <t>TXN11151</t>
  </si>
  <si>
    <t>TXN11179</t>
  </si>
  <si>
    <t>TXN10595</t>
  </si>
  <si>
    <t xml:space="preserve">  Kavita Yadav  </t>
  </si>
  <si>
    <t>TXN10027</t>
  </si>
  <si>
    <t>TXN10814</t>
  </si>
  <si>
    <t>TXN10455</t>
  </si>
  <si>
    <t>TXN11209</t>
  </si>
  <si>
    <t>TXN10520</t>
  </si>
  <si>
    <t>04-16-2025</t>
  </si>
  <si>
    <t>TXN11244</t>
  </si>
  <si>
    <t>TXN10660</t>
  </si>
  <si>
    <t>TXN11214</t>
  </si>
  <si>
    <t>TXN11103</t>
  </si>
  <si>
    <t>TXN10829</t>
  </si>
  <si>
    <t>TXN10078-DUP</t>
  </si>
  <si>
    <t>TXN10486</t>
  </si>
  <si>
    <t>TXN10694</t>
  </si>
  <si>
    <t>TXN10233</t>
  </si>
  <si>
    <t>TXN11188</t>
  </si>
  <si>
    <t>TXN11217</t>
  </si>
  <si>
    <t>TXN11114</t>
  </si>
  <si>
    <t>TXN10029</t>
  </si>
  <si>
    <t>TXN10702</t>
  </si>
  <si>
    <t>Harsh PatelÂ </t>
  </si>
  <si>
    <t>TXN10601</t>
  </si>
  <si>
    <t>TXN10580</t>
  </si>
  <si>
    <t>TXN10547</t>
  </si>
  <si>
    <t>TXN10948</t>
  </si>
  <si>
    <t>TXN10289</t>
  </si>
  <si>
    <t xml:space="preserve">  Anjali Sharma  </t>
  </si>
  <si>
    <t>TXN11169</t>
  </si>
  <si>
    <t>TXN10830</t>
  </si>
  <si>
    <t>Deepak SinghÂ </t>
  </si>
  <si>
    <t>TXN10641</t>
  </si>
  <si>
    <t>TXN10985</t>
  </si>
  <si>
    <t>TXN10284</t>
  </si>
  <si>
    <t>TXN10591</t>
  </si>
  <si>
    <t xml:space="preserve"> t-shirt </t>
  </si>
  <si>
    <t>TXN10079</t>
  </si>
  <si>
    <t>Rahul KumarÂ </t>
  </si>
  <si>
    <t>TXN10502</t>
  </si>
  <si>
    <t>ISHA MEHTA</t>
  </si>
  <si>
    <t>TXN11034</t>
  </si>
  <si>
    <t>TXN10674</t>
  </si>
  <si>
    <t>TXN10939</t>
  </si>
  <si>
    <t>TXN10854</t>
  </si>
  <si>
    <t>TXN10500</t>
  </si>
  <si>
    <t>TXN10801</t>
  </si>
  <si>
    <t xml:space="preserve"> business book </t>
  </si>
  <si>
    <t>TXN10495</t>
  </si>
  <si>
    <t>TXN10038</t>
  </si>
  <si>
    <t>TXN11033</t>
  </si>
  <si>
    <t>TXN10489</t>
  </si>
  <si>
    <t>TXN10989</t>
  </si>
  <si>
    <t>TXN10106</t>
  </si>
  <si>
    <t>TXN10974</t>
  </si>
  <si>
    <t>TXN10683</t>
  </si>
  <si>
    <t>TXN10126</t>
  </si>
  <si>
    <t>TXN10760</t>
  </si>
  <si>
    <t>TXN10385</t>
  </si>
  <si>
    <t>TXN10162</t>
  </si>
  <si>
    <t>TXN10862</t>
  </si>
  <si>
    <t>Varun Sharmaâ€‹</t>
  </si>
  <si>
    <t>TXN10490</t>
  </si>
  <si>
    <t xml:space="preserve">  Aditya Verma  </t>
  </si>
  <si>
    <t>TXN10599</t>
  </si>
  <si>
    <t>TXN10374</t>
  </si>
  <si>
    <t>TXN10442</t>
  </si>
  <si>
    <t>TXN10598</t>
  </si>
  <si>
    <t>TXN10833</t>
  </si>
  <si>
    <t>TXN10794</t>
  </si>
  <si>
    <t xml:space="preserve">  Harsh Patel  </t>
  </si>
  <si>
    <t>TXN10375</t>
  </si>
  <si>
    <t>TXN10626</t>
  </si>
  <si>
    <t>TXN10559</t>
  </si>
  <si>
    <t>TXN10119</t>
  </si>
  <si>
    <t>TXN10931</t>
  </si>
  <si>
    <t>â‚¹890.90</t>
  </si>
  <si>
    <t>TXN11071</t>
  </si>
  <si>
    <t>TXN11014</t>
  </si>
  <si>
    <t>TXN10644</t>
  </si>
  <si>
    <t>TXN10977</t>
  </si>
  <si>
    <t>TXN10971</t>
  </si>
  <si>
    <t>TXN10940</t>
  </si>
  <si>
    <t>02-14-2025</t>
  </si>
  <si>
    <t>TXN10128</t>
  </si>
  <si>
    <t>TXN11189</t>
  </si>
  <si>
    <t>TXN10855</t>
  </si>
  <si>
    <t>TXN10690</t>
  </si>
  <si>
    <t>TXN10400</t>
  </si>
  <si>
    <t xml:space="preserve">  Rohit Yadav  </t>
  </si>
  <si>
    <t>TXN10992</t>
  </si>
  <si>
    <t>TXN11178</t>
  </si>
  <si>
    <t>TXN11023</t>
  </si>
  <si>
    <t>TXN10175</t>
  </si>
  <si>
    <t>TXN10321</t>
  </si>
  <si>
    <t>TXN10525</t>
  </si>
  <si>
    <t>TXN10470</t>
  </si>
  <si>
    <t>TXN10790</t>
  </si>
  <si>
    <t>TXN11203</t>
  </si>
  <si>
    <t>TXN10625</t>
  </si>
  <si>
    <t>TXN10080</t>
  </si>
  <si>
    <t>TXN10534</t>
  </si>
  <si>
    <t>TXN10776</t>
  </si>
  <si>
    <t>TXN10458</t>
  </si>
  <si>
    <t>TXN10291</t>
  </si>
  <si>
    <t>10-24-2025</t>
  </si>
  <si>
    <t>TXN10371</t>
  </si>
  <si>
    <t>TXN11007</t>
  </si>
  <si>
    <t>TXN10478</t>
  </si>
  <si>
    <t>TXN10980</t>
  </si>
  <si>
    <t>TXN11090</t>
  </si>
  <si>
    <t>TXN10896</t>
  </si>
  <si>
    <t>TXN10474</t>
  </si>
  <si>
    <t>TXN10198</t>
  </si>
  <si>
    <t>TXN10186</t>
  </si>
  <si>
    <t>TXN10782</t>
  </si>
  <si>
    <t>TXN10422</t>
  </si>
  <si>
    <t>TXN10452</t>
  </si>
  <si>
    <t>03-18-2025</t>
  </si>
  <si>
    <t>TXN10257</t>
  </si>
  <si>
    <t>TXN10136</t>
  </si>
  <si>
    <t>TXN10807</t>
  </si>
  <si>
    <t>TXN10882</t>
  </si>
  <si>
    <t xml:space="preserve"> moisturizer </t>
  </si>
  <si>
    <t>TXN11096</t>
  </si>
  <si>
    <t>KOMAL JAIN</t>
  </si>
  <si>
    <t>TXN10584</t>
  </si>
  <si>
    <t>â‚¹478.01</t>
  </si>
  <si>
    <t>TXN10873</t>
  </si>
  <si>
    <t>TXN11145</t>
  </si>
  <si>
    <t>TXN11181</t>
  </si>
  <si>
    <t xml:space="preserve">  Nisha Kapoor  </t>
  </si>
  <si>
    <t>â‚¹3,290.10</t>
  </si>
  <si>
    <t>TXN10050</t>
  </si>
  <si>
    <t>TXN10995</t>
  </si>
  <si>
    <t>TXN10772</t>
  </si>
  <si>
    <t>TXN10527</t>
  </si>
  <si>
    <t>TXN10700</t>
  </si>
  <si>
    <t>TXN11008</t>
  </si>
  <si>
    <t>TXN10463</t>
  </si>
  <si>
    <t>TXN10656</t>
  </si>
  <si>
    <t>Pooja GuptaÂ </t>
  </si>
  <si>
    <t>â‚¹4,022.08</t>
  </si>
  <si>
    <t>TXN10707</t>
  </si>
  <si>
    <t>TXN10108-DUP</t>
  </si>
  <si>
    <t>TXN10469</t>
  </si>
  <si>
    <t>TXN10858</t>
  </si>
  <si>
    <t>TXN10034</t>
  </si>
  <si>
    <t>â‚¹3,906.60</t>
  </si>
  <si>
    <t>TXN10417</t>
  </si>
  <si>
    <t>TXN10248</t>
  </si>
  <si>
    <t>TXN10772-DUP</t>
  </si>
  <si>
    <t>TXN11141</t>
  </si>
  <si>
    <t>TXN11134</t>
  </si>
  <si>
    <t>TXN10924</t>
  </si>
  <si>
    <t>TXN10217</t>
  </si>
  <si>
    <t>TXN11249</t>
  </si>
  <si>
    <t>TXN10857</t>
  </si>
  <si>
    <t>TXN10544</t>
  </si>
  <si>
    <t>TXN10494</t>
  </si>
  <si>
    <t>TXN11012</t>
  </si>
  <si>
    <t>â‚¹859.48</t>
  </si>
  <si>
    <t>TXN10465</t>
  </si>
  <si>
    <t>TXN10392</t>
  </si>
  <si>
    <t>â‚¹4,224.51</t>
  </si>
  <si>
    <t>TXN10439</t>
  </si>
  <si>
    <t>TXN10583</t>
  </si>
  <si>
    <t>â‚¹1,355.69</t>
  </si>
  <si>
    <t>TXN10327</t>
  </si>
  <si>
    <t>TXN11197</t>
  </si>
  <si>
    <t>TXN10466</t>
  </si>
  <si>
    <t>TXN10554</t>
  </si>
  <si>
    <t>TXN10062</t>
  </si>
  <si>
    <t>TXN10419</t>
  </si>
  <si>
    <t>TXN10876</t>
  </si>
  <si>
    <t>TXN11238</t>
  </si>
  <si>
    <t>Tanya SinghÂ </t>
  </si>
  <si>
    <t>TXN10539</t>
  </si>
  <si>
    <t>TXN10156</t>
  </si>
  <si>
    <t>TXN11035</t>
  </si>
  <si>
    <t>TXN10715</t>
  </si>
  <si>
    <t>TXN10083</t>
  </si>
  <si>
    <t>TXN10681</t>
  </si>
  <si>
    <t>TXN10367</t>
  </si>
  <si>
    <t>TXN10349</t>
  </si>
  <si>
    <t>â‚¹1,643.97</t>
  </si>
  <si>
    <t>TXN11015</t>
  </si>
  <si>
    <t>TXN11154</t>
  </si>
  <si>
    <t>TXN10167</t>
  </si>
  <si>
    <t>TXN10938</t>
  </si>
  <si>
    <t>TXN10997</t>
  </si>
  <si>
    <t>10-28-2025</t>
  </si>
  <si>
    <t>TXN10205</t>
  </si>
  <si>
    <t>TXN10968</t>
  </si>
  <si>
    <t>TXN10606</t>
  </si>
  <si>
    <t xml:space="preserve">  Manish Gupta  </t>
  </si>
  <si>
    <t>TXN11153</t>
  </si>
  <si>
    <t>TXN10187</t>
  </si>
  <si>
    <t>TXN11234</t>
  </si>
  <si>
    <t>TXN11082</t>
  </si>
  <si>
    <t>TXN10010</t>
  </si>
  <si>
    <t>â‚¹2,866.40</t>
  </si>
  <si>
    <t>TXN10011</t>
  </si>
  <si>
    <t>â‚¹1,535.80</t>
  </si>
  <si>
    <t>TXN11006</t>
  </si>
  <si>
    <t>TXN10919</t>
  </si>
  <si>
    <t>TXN10631</t>
  </si>
  <si>
    <t>TXN10823</t>
  </si>
  <si>
    <t>TXN10556</t>
  </si>
  <si>
    <t>TXN10290</t>
  </si>
  <si>
    <t>TXN10428</t>
  </si>
  <si>
    <t>TXN10562</t>
  </si>
  <si>
    <t>TXN10734</t>
  </si>
  <si>
    <t>TXN11201</t>
  </si>
  <si>
    <t>TXN11170</t>
  </si>
  <si>
    <t>TXN10966</t>
  </si>
  <si>
    <t>TXN10657</t>
  </si>
  <si>
    <t>TXN10781</t>
  </si>
  <si>
    <t>TXN10152</t>
  </si>
  <si>
    <t>TXN10113</t>
  </si>
  <si>
    <t>TXN11205</t>
  </si>
  <si>
    <t>TXN10424</t>
  </si>
  <si>
    <t>TXN11032</t>
  </si>
  <si>
    <t>TXN10131</t>
  </si>
  <si>
    <t>TXN10462</t>
  </si>
  <si>
    <t>TXN11061</t>
  </si>
  <si>
    <t>10-21-2025</t>
  </si>
  <si>
    <t>TXN10001</t>
  </si>
  <si>
    <t>TXN10851</t>
  </si>
  <si>
    <t>â‚¹5,425.30</t>
  </si>
  <si>
    <t>TXN11017</t>
  </si>
  <si>
    <t>TXN10945</t>
  </si>
  <si>
    <t>Aditya Vermaâ€‹</t>
  </si>
  <si>
    <t>TXN10976</t>
  </si>
  <si>
    <t>Mohit SharmaÂ </t>
  </si>
  <si>
    <t>TXN10720</t>
  </si>
  <si>
    <t>TXN10731</t>
  </si>
  <si>
    <t>TXN10978</t>
  </si>
  <si>
    <t>TXN10412</t>
  </si>
  <si>
    <t>TXN10323</t>
  </si>
  <si>
    <t>TXN10002</t>
  </si>
  <si>
    <t xml:space="preserve"> data analytics book </t>
  </si>
  <si>
    <t>TXN10979</t>
  </si>
  <si>
    <t>TXN10436</t>
  </si>
  <si>
    <t>TXN10453</t>
  </si>
  <si>
    <t>TXN10039</t>
  </si>
  <si>
    <t>TXN10184</t>
  </si>
  <si>
    <t>TXN10218</t>
  </si>
  <si>
    <t>TXN10730</t>
  </si>
  <si>
    <t>TXN10307</t>
  </si>
  <si>
    <t>TXN11021</t>
  </si>
  <si>
    <t>TXN10550</t>
  </si>
  <si>
    <t>TXN10314</t>
  </si>
  <si>
    <t>TXN10928</t>
  </si>
  <si>
    <t>â‚¹817.50</t>
  </si>
  <si>
    <t>TXN10701</t>
  </si>
  <si>
    <t>TXN10332</t>
  </si>
  <si>
    <t>TXN10037</t>
  </si>
  <si>
    <t>â‚¹3,597.47</t>
  </si>
  <si>
    <t>TXN10111</t>
  </si>
  <si>
    <t>Muskan GuptaÂ </t>
  </si>
  <si>
    <t>TXN10803</t>
  </si>
  <si>
    <t>TXN10917</t>
  </si>
  <si>
    <t xml:space="preserve">  Sahil Khan  </t>
  </si>
  <si>
    <t>TXN11029</t>
  </si>
  <si>
    <t>TXN10819</t>
  </si>
  <si>
    <t>TXN10991</t>
  </si>
  <si>
    <t>TXN10714</t>
  </si>
  <si>
    <t>TXN10578</t>
  </si>
  <si>
    <t>TXN11052</t>
  </si>
  <si>
    <t>TXN10434</t>
  </si>
  <si>
    <t>TXN10164</t>
  </si>
  <si>
    <t>â‚¹4,702.88</t>
  </si>
  <si>
    <t>TXN10264</t>
  </si>
  <si>
    <t>TXN10232</t>
  </si>
  <si>
    <t>TXN10303</t>
  </si>
  <si>
    <t>12-17-2025</t>
  </si>
  <si>
    <t>TXN10176</t>
  </si>
  <si>
    <t>TXN10822</t>
  </si>
  <si>
    <t>KARAN SINGH</t>
  </si>
  <si>
    <t>TXN10150</t>
  </si>
  <si>
    <t>TXN11225</t>
  </si>
  <si>
    <t>TXN10072</t>
  </si>
  <si>
    <t>TXN10169</t>
  </si>
  <si>
    <t>TXN10456</t>
  </si>
  <si>
    <t>TXN10090</t>
  </si>
  <si>
    <t>TXN10118</t>
  </si>
  <si>
    <t>TXN10488</t>
  </si>
  <si>
    <t>TXN10322</t>
  </si>
  <si>
    <t>TXN11004</t>
  </si>
  <si>
    <t>TXN10460</t>
  </si>
  <si>
    <t>TXN11248</t>
  </si>
  <si>
    <t>TXN10829-DUP</t>
  </si>
  <si>
    <t>TXN10947</t>
  </si>
  <si>
    <t>SHIVAM KUMAR</t>
  </si>
  <si>
    <t>TXN10242</t>
  </si>
  <si>
    <t>TXN10899</t>
  </si>
  <si>
    <t>TXN10703</t>
  </si>
  <si>
    <t>TXN10915</t>
  </si>
  <si>
    <t>TXN10693</t>
  </si>
  <si>
    <t>TXN10271</t>
  </si>
  <si>
    <t>TXN10112</t>
  </si>
  <si>
    <t>TXN10596</t>
  </si>
  <si>
    <t xml:space="preserve">  SNEHA PATEL  </t>
  </si>
  <si>
    <t>TXN10517</t>
  </si>
  <si>
    <t>TXN10227</t>
  </si>
  <si>
    <t>â‚¹1,216.66</t>
  </si>
  <si>
    <t>TXN10497</t>
  </si>
  <si>
    <t>Neha Vermaâ€‹</t>
  </si>
  <si>
    <t>TXN10499</t>
  </si>
  <si>
    <t>TXN10890</t>
  </si>
  <si>
    <t>TXN11081</t>
  </si>
  <si>
    <t>â‚¹8,492.17</t>
  </si>
  <si>
    <t>TXN10196</t>
  </si>
  <si>
    <t>TXN10337</t>
  </si>
  <si>
    <t>TXN10837</t>
  </si>
  <si>
    <t>TXN10933</t>
  </si>
  <si>
    <t>TXN11207</t>
  </si>
  <si>
    <t>TXN10138</t>
  </si>
  <si>
    <t>TXN10877</t>
  </si>
  <si>
    <t>TXN10529</t>
  </si>
  <si>
    <t>POOJA GUPTA</t>
  </si>
  <si>
    <t>TXN10508</t>
  </si>
  <si>
    <t>TXN10944</t>
  </si>
  <si>
    <t>VIKAS KUMAR</t>
  </si>
  <si>
    <t>TXN10394</t>
  </si>
  <si>
    <t>TXN10383</t>
  </si>
  <si>
    <t>TXN10222</t>
  </si>
  <si>
    <t>03-20-2025</t>
  </si>
  <si>
    <t>TXN10757</t>
  </si>
  <si>
    <t>TXN10410</t>
  </si>
  <si>
    <t>TXN10678</t>
  </si>
  <si>
    <t>TXN10786</t>
  </si>
  <si>
    <t>TXN10329</t>
  </si>
  <si>
    <t>TXN10013</t>
  </si>
  <si>
    <t>TXN10959</t>
  </si>
  <si>
    <t>TXN10084</t>
  </si>
  <si>
    <t>TXN10207</t>
  </si>
  <si>
    <t xml:space="preserve">  Ayesha Khan  </t>
  </si>
  <si>
    <t>TXN10104</t>
  </si>
  <si>
    <t>TXN10310</t>
  </si>
  <si>
    <t>TXN10817</t>
  </si>
  <si>
    <t>TXN10735</t>
  </si>
  <si>
    <t>TXN11125</t>
  </si>
  <si>
    <t>TXN10181</t>
  </si>
  <si>
    <t>â‚¹4,246.08</t>
  </si>
  <si>
    <t>TXN11157</t>
  </si>
  <si>
    <t>TXN11199</t>
  </si>
  <si>
    <t>TXN10498</t>
  </si>
  <si>
    <t>TXN10317</t>
  </si>
  <si>
    <t>NITIN KUMAR</t>
  </si>
  <si>
    <t>TXN11040</t>
  </si>
  <si>
    <t>TXN10328</t>
  </si>
  <si>
    <t>TXN10661</t>
  </si>
  <si>
    <t>TXN10347</t>
  </si>
  <si>
    <t>TXN10211</t>
  </si>
  <si>
    <t xml:space="preserve"> electronics </t>
  </si>
  <si>
    <t>â‚¹14,212.61</t>
  </si>
  <si>
    <t>TXN10568</t>
  </si>
  <si>
    <t>TXN10143</t>
  </si>
  <si>
    <t>â‚¹6,917.68</t>
  </si>
  <si>
    <t>TXN10515</t>
  </si>
  <si>
    <t>TXN10363</t>
  </si>
  <si>
    <t>TXN10005</t>
  </si>
  <si>
    <t>TXN10045</t>
  </si>
  <si>
    <t>TXN10282</t>
  </si>
  <si>
    <t>TXN10203</t>
  </si>
  <si>
    <t>TXN10908</t>
  </si>
  <si>
    <t>TXN10359</t>
  </si>
  <si>
    <t>TXN10564</t>
  </si>
  <si>
    <t>TXN10886</t>
  </si>
  <si>
    <t>TXN10372</t>
  </si>
  <si>
    <t>TXN10963</t>
  </si>
  <si>
    <t>â‚¹2,752.99</t>
  </si>
  <si>
    <t>TXN10953</t>
  </si>
  <si>
    <t>TXN11047</t>
  </si>
  <si>
    <t>TXN10238</t>
  </si>
  <si>
    <t>TXN10996</t>
  </si>
  <si>
    <t>Neha VermaÂ </t>
  </si>
  <si>
    <t>TXN10684</t>
  </si>
  <si>
    <t>03-16-2025</t>
  </si>
  <si>
    <t>TXN10274</t>
  </si>
  <si>
    <t>TXN10318-DUP</t>
  </si>
  <si>
    <t>TXN10633</t>
  </si>
  <si>
    <t>TXN10195</t>
  </si>
  <si>
    <t>â‚¹4,587.70</t>
  </si>
  <si>
    <t>TXN10514</t>
  </si>
  <si>
    <t>TXN10615</t>
  </si>
  <si>
    <t>TXN10432</t>
  </si>
  <si>
    <t>TXN10675</t>
  </si>
  <si>
    <t>TXN11085</t>
  </si>
  <si>
    <t>TXN10210</t>
  </si>
  <si>
    <t>TXN10163</t>
  </si>
  <si>
    <t>TXN10636</t>
  </si>
  <si>
    <t>TXN10921</t>
  </si>
  <si>
    <t>TXN10088</t>
  </si>
  <si>
    <t>TXN10346</t>
  </si>
  <si>
    <t>TXN10972</t>
  </si>
  <si>
    <t>TXN10718</t>
  </si>
  <si>
    <t>TXN10191</t>
  </si>
  <si>
    <t>TXN10753</t>
  </si>
  <si>
    <t>TXN10179</t>
  </si>
  <si>
    <t xml:space="preserve">  Riya Gupta  </t>
  </si>
  <si>
    <t>TXN10769</t>
  </si>
  <si>
    <t>TXN10557</t>
  </si>
  <si>
    <t>TXN10913</t>
  </si>
  <si>
    <t>TXN10393</t>
  </si>
  <si>
    <t>TXN10769-DUP</t>
  </si>
  <si>
    <t>TXN11228</t>
  </si>
  <si>
    <t>TXN10889</t>
  </si>
  <si>
    <t>TXN10745</t>
  </si>
  <si>
    <t>TXN10982</t>
  </si>
  <si>
    <t>TXN11218</t>
  </si>
  <si>
    <t>TXN11073</t>
  </si>
  <si>
    <t>TXN10884</t>
  </si>
  <si>
    <t>TXN10512</t>
  </si>
  <si>
    <t>TXN10984</t>
  </si>
  <si>
    <t>TXN10440</t>
  </si>
  <si>
    <t>TXN10729</t>
  </si>
  <si>
    <t xml:space="preserve">  Pooja Gupta  </t>
  </si>
  <si>
    <t>TXN10472</t>
  </si>
  <si>
    <t>TXN10399</t>
  </si>
  <si>
    <t>TXN11192</t>
  </si>
  <si>
    <t>TXN10036</t>
  </si>
  <si>
    <t>TXN10206</t>
  </si>
  <si>
    <t>TXN10609</t>
  </si>
  <si>
    <t>TXN11101</t>
  </si>
  <si>
    <t>â‚¹1,952.44</t>
  </si>
  <si>
    <t>TXN10894</t>
  </si>
  <si>
    <t>TXN10044</t>
  </si>
  <si>
    <t>â‚¹2,417.53</t>
  </si>
  <si>
    <t>TXN10262</t>
  </si>
  <si>
    <t>TXN11030</t>
  </si>
  <si>
    <t>TXN10430</t>
  </si>
  <si>
    <t>TXN10852</t>
  </si>
  <si>
    <t>TXN10229</t>
  </si>
  <si>
    <t>TXN10725</t>
  </si>
  <si>
    <t>TXN10006</t>
  </si>
  <si>
    <t>TXN11243</t>
  </si>
  <si>
    <t>TXN10875</t>
  </si>
  <si>
    <t>TXN10170-DUP</t>
  </si>
  <si>
    <t>TXN11180</t>
  </si>
  <si>
    <t>â‚¹1,110.44</t>
  </si>
  <si>
    <t>TXN10586</t>
  </si>
  <si>
    <t>TXN10728</t>
  </si>
  <si>
    <t>TXN10319</t>
  </si>
  <si>
    <t>TXN10630</t>
  </si>
  <si>
    <t>TXN11173</t>
  </si>
  <si>
    <t>TXN10313</t>
  </si>
  <si>
    <t>TXN10076</t>
  </si>
  <si>
    <t>â‚¹7,682.79</t>
  </si>
  <si>
    <t>TXN10174</t>
  </si>
  <si>
    <t>TXN10095</t>
  </si>
  <si>
    <t>TXN10052</t>
  </si>
  <si>
    <t>TXN10552</t>
  </si>
  <si>
    <t>TXN11133</t>
  </si>
  <si>
    <t>TXN10832</t>
  </si>
  <si>
    <t>TXN10826</t>
  </si>
  <si>
    <t>TXN10420</t>
  </si>
  <si>
    <t>TXN10748</t>
  </si>
  <si>
    <t>TXN10221</t>
  </si>
  <si>
    <t>TXN10509</t>
  </si>
  <si>
    <t>TXN10711</t>
  </si>
  <si>
    <t xml:space="preserve"> wireless mouse </t>
  </si>
  <si>
    <t>TXN11043</t>
  </si>
  <si>
    <t>TXN10608</t>
  </si>
  <si>
    <t>TXN10388</t>
  </si>
  <si>
    <t>TXN10094</t>
  </si>
  <si>
    <t>TXN11247</t>
  </si>
  <si>
    <t>TXN10752</t>
  </si>
  <si>
    <t>TXN10957</t>
  </si>
  <si>
    <t>TXN11111</t>
  </si>
  <si>
    <t>TXN10652</t>
  </si>
  <si>
    <t>TXN10149</t>
  </si>
  <si>
    <t>TXN10754</t>
  </si>
  <si>
    <t>TXN10483</t>
  </si>
  <si>
    <t>TXN10403</t>
  </si>
  <si>
    <t>TXN10250</t>
  </si>
  <si>
    <t>TXN10341</t>
  </si>
  <si>
    <t>TXN10998</t>
  </si>
  <si>
    <t>TXN10201</t>
  </si>
  <si>
    <t>TXN11184</t>
  </si>
  <si>
    <t>TXN10092</t>
  </si>
  <si>
    <t>TXN10733</t>
  </si>
  <si>
    <t>Deepak Singhâ€‹</t>
  </si>
  <si>
    <t>TXN10541</t>
  </si>
  <si>
    <t>TXN10692</t>
  </si>
  <si>
    <t>TXN10585</t>
  </si>
  <si>
    <t>TXN10443</t>
  </si>
  <si>
    <t>TXN10610</t>
  </si>
  <si>
    <t>TXN10281</t>
  </si>
  <si>
    <t>TXN10411</t>
  </si>
  <si>
    <t>TXN10988</t>
  </si>
  <si>
    <t>TXN11146</t>
  </si>
  <si>
    <t>TXN10569</t>
  </si>
  <si>
    <t>TXN10973</t>
  </si>
  <si>
    <t>TXN10695</t>
  </si>
  <si>
    <t>TXN11022-DUP</t>
  </si>
  <si>
    <t>TXN10688</t>
  </si>
  <si>
    <t>TXN10336</t>
  </si>
  <si>
    <t>TXN10643</t>
  </si>
  <si>
    <t xml:space="preserve">  NISHA KAPOOR  </t>
  </si>
  <si>
    <t>TXN10315</t>
  </si>
  <si>
    <t>TXN10783</t>
  </si>
  <si>
    <t xml:space="preserve">  Priya Singh  </t>
  </si>
  <si>
    <t>TXN10981</t>
  </si>
  <si>
    <t>TXN11219</t>
  </si>
  <si>
    <t>TXN11216</t>
  </si>
  <si>
    <t>TXN10507</t>
  </si>
  <si>
    <t>TXN11107</t>
  </si>
  <si>
    <t>TXN10134</t>
  </si>
  <si>
    <t>TXN10093</t>
  </si>
  <si>
    <t>TXN10835</t>
  </si>
  <si>
    <t>TXN10593</t>
  </si>
  <si>
    <t>TXN10539-DUP</t>
  </si>
  <si>
    <t>TXN11098</t>
  </si>
  <si>
    <t>TXN10395</t>
  </si>
  <si>
    <t>TXN11104</t>
  </si>
  <si>
    <t>TXN10279-DUP</t>
  </si>
  <si>
    <t>TXN10576</t>
  </si>
  <si>
    <t>TXN10574</t>
  </si>
  <si>
    <t xml:space="preserve">  Neha Verma  </t>
  </si>
  <si>
    <t>TXN11172</t>
  </si>
  <si>
    <t>TXN10279</t>
  </si>
  <si>
    <t>TXN10736</t>
  </si>
  <si>
    <t>TXN11137</t>
  </si>
  <si>
    <t>TXN11159</t>
  </si>
  <si>
    <t>TXN10280</t>
  </si>
  <si>
    <t>TXN10640</t>
  </si>
  <si>
    <t>TXN10338</t>
  </si>
  <si>
    <t>TXN10228</t>
  </si>
  <si>
    <t>TXN10699</t>
  </si>
  <si>
    <t>TXN10009</t>
  </si>
  <si>
    <t>TXN10086</t>
  </si>
  <si>
    <t>TXN11105</t>
  </si>
  <si>
    <t>TXN11124</t>
  </si>
  <si>
    <t>TXN10069</t>
  </si>
  <si>
    <t>TXN11163</t>
  </si>
  <si>
    <t>TXN10097</t>
  </si>
  <si>
    <t>â‚¹14,371.86</t>
  </si>
  <si>
    <t>TXN10342</t>
  </si>
  <si>
    <t>TXN10122</t>
  </si>
  <si>
    <t>TXN10157</t>
  </si>
  <si>
    <t>TXN11106</t>
  </si>
  <si>
    <t>TXN11018</t>
  </si>
  <si>
    <t>TXN10025</t>
  </si>
  <si>
    <t>TXN10634</t>
  </si>
  <si>
    <t>TXN10471</t>
  </si>
  <si>
    <t>TXN10558</t>
  </si>
  <si>
    <t>TXN10724</t>
  </si>
  <si>
    <t>TXN10294</t>
  </si>
  <si>
    <t>TXN10773</t>
  </si>
  <si>
    <t>TXN10415</t>
  </si>
  <si>
    <t>TXN11233</t>
  </si>
  <si>
    <t>TXN11206</t>
  </si>
  <si>
    <t>TXN10165</t>
  </si>
  <si>
    <t>TXN10121</t>
  </si>
  <si>
    <t>TXN10906</t>
  </si>
  <si>
    <t>TXN10697</t>
  </si>
  <si>
    <t>TXN10283</t>
  </si>
  <si>
    <t>Business  Book</t>
  </si>
  <si>
    <t>TXN10365</t>
  </si>
  <si>
    <t>TXN10747</t>
  </si>
  <si>
    <t>05-14-2025</t>
  </si>
  <si>
    <t>TXN10311</t>
  </si>
  <si>
    <t>TXN10511</t>
  </si>
  <si>
    <t>TXN10180</t>
  </si>
  <si>
    <t>TXN10912</t>
  </si>
  <si>
    <t>TXN10810</t>
  </si>
  <si>
    <t>TXN10821</t>
  </si>
  <si>
    <t>TXN10070</t>
  </si>
  <si>
    <t>TXN10784</t>
  </si>
  <si>
    <t>TXN11109</t>
  </si>
  <si>
    <t>TXN10524</t>
  </si>
  <si>
    <t>TXN11202</t>
  </si>
  <si>
    <t>TXN11066</t>
  </si>
  <si>
    <t>TXN10805</t>
  </si>
  <si>
    <t>TXN10816</t>
  </si>
  <si>
    <t>TXN10124</t>
  </si>
  <si>
    <t>TXN10864</t>
  </si>
  <si>
    <t>TXN10059</t>
  </si>
  <si>
    <t>TXN11190</t>
  </si>
  <si>
    <t>TXN10364</t>
  </si>
  <si>
    <t>TXN10266</t>
  </si>
  <si>
    <t>TXN10834</t>
  </si>
  <si>
    <t>TXN11237</t>
  </si>
  <si>
    <t>TXN10249</t>
  </si>
  <si>
    <t>â‚¹6,312.02</t>
  </si>
  <si>
    <t>TXN10381</t>
  </si>
  <si>
    <t>TXN10605</t>
  </si>
  <si>
    <t>TXN11236</t>
  </si>
  <si>
    <t>TXN11116</t>
  </si>
  <si>
    <t>04-13-2025</t>
  </si>
  <si>
    <t>TXN10551</t>
  </si>
  <si>
    <t>TXN10148</t>
  </si>
  <si>
    <t>TXN10252</t>
  </si>
  <si>
    <t>TXN11019</t>
  </si>
  <si>
    <t>TXN11182</t>
  </si>
  <si>
    <t>TXN10213</t>
  </si>
  <si>
    <t>TXN10441</t>
  </si>
  <si>
    <t>TXN11094</t>
  </si>
  <si>
    <t>TXN10565</t>
  </si>
  <si>
    <t>TXN11001</t>
  </si>
  <si>
    <t>TXN10331</t>
  </si>
  <si>
    <t>TXN10433</t>
  </si>
  <si>
    <t>TXN10277</t>
  </si>
  <si>
    <t>TXN11136</t>
  </si>
  <si>
    <t>TXN10292</t>
  </si>
  <si>
    <t>TXN10902</t>
  </si>
  <si>
    <t>TXN10449</t>
  </si>
  <si>
    <t>TXN11075</t>
  </si>
  <si>
    <t>TXN11232</t>
  </si>
  <si>
    <t>Arjun MehtaÂ </t>
  </si>
  <si>
    <t>â‚¹1,395.98</t>
  </si>
  <si>
    <t>TXN10304</t>
  </si>
  <si>
    <t>TXN11097</t>
  </si>
  <si>
    <t>TXN11191</t>
  </si>
  <si>
    <t>TXN10941</t>
  </si>
  <si>
    <t>TXN10068</t>
  </si>
  <si>
    <t>TXN10020</t>
  </si>
  <si>
    <t>TXN10325</t>
  </si>
  <si>
    <t>SAHIL KHAN</t>
  </si>
  <si>
    <t>TXN10055</t>
  </si>
  <si>
    <t>Shivam Kumarâ€‹</t>
  </si>
  <si>
    <t>TXN10964</t>
  </si>
  <si>
    <t>TXN10932</t>
  </si>
  <si>
    <t xml:space="preserve"> bedsheet </t>
  </si>
  <si>
    <t>TXN11194</t>
  </si>
  <si>
    <t>TXN10151</t>
  </si>
  <si>
    <t>TXN11074</t>
  </si>
  <si>
    <t>TXN10744</t>
  </si>
  <si>
    <t>TXN10750</t>
  </si>
  <si>
    <t>TXN10756</t>
  </si>
  <si>
    <t>â‚¹2,720.01</t>
  </si>
  <si>
    <t>TXN11049</t>
  </si>
  <si>
    <t>Riya Guptaâ€‹</t>
  </si>
  <si>
    <t>TXN10812</t>
  </si>
  <si>
    <t>TXN10662</t>
  </si>
  <si>
    <t>â‚¹1,017.67</t>
  </si>
  <si>
    <t>TXN10256</t>
  </si>
  <si>
    <t>TXN10935</t>
  </si>
  <si>
    <t>TXN10870</t>
  </si>
  <si>
    <t>TXN11177</t>
  </si>
  <si>
    <t>TXN10893</t>
  </si>
  <si>
    <t>â‚¹5,226.01</t>
  </si>
  <si>
    <t>TXN10874</t>
  </si>
  <si>
    <t>TXN10614</t>
  </si>
  <si>
    <t>TXN10389</t>
  </si>
  <si>
    <t>TXN10937</t>
  </si>
  <si>
    <t>TXN10407</t>
  </si>
  <si>
    <t>TXN10795</t>
  </si>
  <si>
    <t>TXN10716</t>
  </si>
  <si>
    <t>TXN11024</t>
  </si>
  <si>
    <t>TXN11056</t>
  </si>
  <si>
    <t>TXN11121</t>
  </si>
  <si>
    <t xml:space="preserve">  Komal Jain  </t>
  </si>
  <si>
    <t>TXN10247</t>
  </si>
  <si>
    <t>TXN10146</t>
  </si>
  <si>
    <t>TXN11198</t>
  </si>
  <si>
    <t>TXN11168</t>
  </si>
  <si>
    <t>TXN10623</t>
  </si>
  <si>
    <t>TXN10461</t>
  </si>
  <si>
    <t>TXN10487</t>
  </si>
  <si>
    <t>TXN11208</t>
  </si>
  <si>
    <t>TXN10091</t>
  </si>
  <si>
    <t>TXN10493</t>
  </si>
  <si>
    <t>TXN10171</t>
  </si>
  <si>
    <t>TXN10057</t>
  </si>
  <si>
    <t>TXN10405</t>
  </si>
  <si>
    <t>TXN10600</t>
  </si>
  <si>
    <t>TXN11016</t>
  </si>
  <si>
    <t>TXN10098</t>
  </si>
  <si>
    <t>â‚¹6,395.52</t>
  </si>
  <si>
    <t>TXN10827</t>
  </si>
  <si>
    <t>TXN10480</t>
  </si>
  <si>
    <t>TXN10324</t>
  </si>
  <si>
    <t>TXN11140</t>
  </si>
  <si>
    <t>â‚¹5,577.37</t>
  </si>
  <si>
    <t>TXN10425</t>
  </si>
  <si>
    <t>TXN10297</t>
  </si>
  <si>
    <t>TXN10738</t>
  </si>
  <si>
    <t>TXN11200</t>
  </si>
  <si>
    <t>TXN10903</t>
  </si>
  <si>
    <t>TXN10602</t>
  </si>
  <si>
    <t>TXN11000</t>
  </si>
  <si>
    <t>TXN10396</t>
  </si>
  <si>
    <t>TXN10427</t>
  </si>
  <si>
    <t>TXN11150</t>
  </si>
  <si>
    <t>TXN11039</t>
  </si>
  <si>
    <t>TXN10253</t>
  </si>
  <si>
    <t xml:space="preserve"> novel </t>
  </si>
  <si>
    <t>TXN10239</t>
  </si>
  <si>
    <t>TXN10845</t>
  </si>
  <si>
    <t>TXN10846</t>
  </si>
  <si>
    <t>TXN10555</t>
  </si>
  <si>
    <t>TXN10546</t>
  </si>
  <si>
    <t>TXN10251</t>
  </si>
  <si>
    <t>TXN10740</t>
  </si>
  <si>
    <t>TXN10965</t>
  </si>
  <si>
    <t>TXN10199</t>
  </si>
  <si>
    <t>TXN10898</t>
  </si>
  <si>
    <t>TXN11117</t>
  </si>
  <si>
    <t>TXN10990</t>
  </si>
  <si>
    <t>TXN11041</t>
  </si>
  <si>
    <t>TXN10244</t>
  </si>
  <si>
    <t>TXN10067</t>
  </si>
  <si>
    <t>TXN11220</t>
  </si>
  <si>
    <t>TXN10934</t>
  </si>
  <si>
    <t>TXN10360</t>
  </si>
  <si>
    <t>TXN10096</t>
  </si>
  <si>
    <t>â‚¹869.90</t>
  </si>
  <si>
    <t>TXN11242</t>
  </si>
  <si>
    <t>TXN10522</t>
  </si>
  <si>
    <t>TXN10975</t>
  </si>
  <si>
    <t>TXN10666</t>
  </si>
  <si>
    <t>TXN10362</t>
  </si>
  <si>
    <t>TXN10485</t>
  </si>
  <si>
    <t>â‚¹3,580.74</t>
  </si>
  <si>
    <t>TXN10312</t>
  </si>
  <si>
    <t>TXN10843</t>
  </si>
  <si>
    <t>TXN10414</t>
  </si>
  <si>
    <t>TXN10032</t>
  </si>
  <si>
    <t>TXN10766</t>
  </si>
  <si>
    <t>MANISH GUPTA</t>
  </si>
  <si>
    <t>â‚¹1,442.30</t>
  </si>
  <si>
    <t>TXN10459</t>
  </si>
  <si>
    <t>â‚¹3,414.11</t>
  </si>
  <si>
    <t>TXN10340</t>
  </si>
  <si>
    <t>TXN10287</t>
  </si>
  <si>
    <t>TXN10950</t>
  </si>
  <si>
    <t>TXN10140</t>
  </si>
  <si>
    <t>TXN10849</t>
  </si>
  <si>
    <t>TXN11026</t>
  </si>
  <si>
    <t>TXN11139</t>
  </si>
  <si>
    <t>TXN10901</t>
  </si>
  <si>
    <t>TXN10732</t>
  </si>
  <si>
    <t>11-17-2025</t>
  </si>
  <si>
    <t>TXN10265</t>
  </si>
  <si>
    <t>TXN10275</t>
  </si>
  <si>
    <t>TXN11095</t>
  </si>
  <si>
    <t>TXN10445</t>
  </si>
  <si>
    <t>TXN10040</t>
  </si>
  <si>
    <t>TXN11123</t>
  </si>
  <si>
    <t>TXN10022</t>
  </si>
  <si>
    <t>â‚¹347.26</t>
  </si>
  <si>
    <t>TXN10706</t>
  </si>
  <si>
    <t>TXN10518</t>
  </si>
  <si>
    <t>TXN10355</t>
  </si>
  <si>
    <t>TXN10298</t>
  </si>
  <si>
    <t>TXN11077</t>
  </si>
  <si>
    <t>TXN10840</t>
  </si>
  <si>
    <t>TXN10925</t>
  </si>
  <si>
    <t>TXN10123</t>
  </si>
  <si>
    <t>TXN11092</t>
  </si>
  <si>
    <t>TXN11152</t>
  </si>
  <si>
    <t>TXN10418</t>
  </si>
  <si>
    <t>TXN10967</t>
  </si>
  <si>
    <t>TXN10158</t>
  </si>
  <si>
    <t>TXN11119</t>
  </si>
  <si>
    <t>TXN11064</t>
  </si>
  <si>
    <t>07-17-2025</t>
  </si>
  <si>
    <t>TXN11155</t>
  </si>
  <si>
    <t>TXN10190</t>
  </si>
  <si>
    <t>TXN10590</t>
  </si>
  <si>
    <t>TXN10761</t>
  </si>
  <si>
    <t>TXN11063</t>
  </si>
  <si>
    <t>TXN10243</t>
  </si>
  <si>
    <t>TXN10885</t>
  </si>
  <si>
    <t>Coffee  Mug</t>
  </si>
  <si>
    <t>TXN10621</t>
  </si>
  <si>
    <t>TXN10651</t>
  </si>
  <si>
    <t>â‚¹2,157.30</t>
  </si>
  <si>
    <t>TXN10504</t>
  </si>
  <si>
    <t>TXN10923</t>
  </si>
  <si>
    <t>TXN10160</t>
  </si>
  <si>
    <t>TXN10883</t>
  </si>
  <si>
    <t>01-15-2025</t>
  </si>
  <si>
    <t>TXN10538</t>
  </si>
  <si>
    <t>TXN10241</t>
  </si>
  <si>
    <t>TXN10014</t>
  </si>
  <si>
    <t>TXN10476</t>
  </si>
  <si>
    <t>TXN11212</t>
  </si>
  <si>
    <t>TXN10929</t>
  </si>
  <si>
    <t>TXN10796</t>
  </si>
  <si>
    <t>ADITYA VERMA</t>
  </si>
  <si>
    <t>TXN10356</t>
  </si>
  <si>
    <t>TXN11059</t>
  </si>
  <si>
    <t>TXN10335</t>
  </si>
  <si>
    <t>TXN10689</t>
  </si>
  <si>
    <t>TXN10185</t>
  </si>
  <si>
    <t>TXN10824</t>
  </si>
  <si>
    <t>TXN11195</t>
  </si>
  <si>
    <t>TXN11002</t>
  </si>
  <si>
    <t>TXN10188</t>
  </si>
  <si>
    <t>TXN10942</t>
  </si>
  <si>
    <t>TXN10285</t>
  </si>
  <si>
    <t>â‚¹318.53</t>
  </si>
  <si>
    <t>TXN10900</t>
  </si>
  <si>
    <t>TXN11250</t>
  </si>
  <si>
    <t>TXN10166</t>
  </si>
  <si>
    <t>Face  Wash</t>
  </si>
  <si>
    <t>TXN10348</t>
  </si>
  <si>
    <t>TXN10299</t>
  </si>
  <si>
    <t>TXN10536</t>
  </si>
  <si>
    <t>TXN10230</t>
  </si>
  <si>
    <t>TXN10042</t>
  </si>
  <si>
    <t>TXN10869</t>
  </si>
  <si>
    <t>TXN10749</t>
  </si>
  <si>
    <t>TXN11230</t>
  </si>
  <si>
    <t>TXN10447</t>
  </si>
  <si>
    <t>TXN10350</t>
  </si>
  <si>
    <t>TXN10046</t>
  </si>
  <si>
    <t>TXN11235</t>
  </si>
  <si>
    <t>TXN10109</t>
  </si>
  <si>
    <t>TXN10030</t>
  </si>
  <si>
    <t>TXN10182</t>
  </si>
  <si>
    <t>Vikas Kumarâ€‹</t>
  </si>
  <si>
    <t>TXN10622</t>
  </si>
  <si>
    <t xml:space="preserve"> sunscreen </t>
  </si>
  <si>
    <t>TXN10635</t>
  </si>
  <si>
    <t>TXN10105</t>
  </si>
  <si>
    <t>TXN10061</t>
  </si>
  <si>
    <t>TXN10659</t>
  </si>
  <si>
    <t>TXN11108</t>
  </si>
  <si>
    <t>TXN10491</t>
  </si>
  <si>
    <t>TXN10316</t>
  </si>
  <si>
    <t>TXN10382</t>
  </si>
  <si>
    <t>TXN10423</t>
  </si>
  <si>
    <t>01-28-2025</t>
  </si>
  <si>
    <t>TXN11239</t>
  </si>
  <si>
    <t>TXN10446</t>
  </si>
  <si>
    <t>TXN10664</t>
  </si>
  <si>
    <t>TXN11025</t>
  </si>
  <si>
    <t>TXN10780</t>
  </si>
  <si>
    <t>TXN10627</t>
  </si>
  <si>
    <t>TXN11113</t>
  </si>
  <si>
    <t>TXN11102</t>
  </si>
  <si>
    <t>TXN10269</t>
  </si>
  <si>
    <t>â‚¹1,250.64</t>
  </si>
  <si>
    <t>TXN10930</t>
  </si>
  <si>
    <t xml:space="preserve"> sneakers </t>
  </si>
  <si>
    <t>TXN11148</t>
  </si>
  <si>
    <t>TXN11120</t>
  </si>
  <si>
    <t>TXN10012</t>
  </si>
  <si>
    <t>TXN10115</t>
  </si>
  <si>
    <t>TXN10844</t>
  </si>
  <si>
    <t>TXN10353</t>
  </si>
  <si>
    <t>TXN10774</t>
  </si>
  <si>
    <t>11-13-2025</t>
  </si>
  <si>
    <t>TXN10691</t>
  </si>
  <si>
    <t>â‚¹16,247.76</t>
  </si>
  <si>
    <t>TXN10791</t>
  </si>
  <si>
    <t>TXN10532</t>
  </si>
  <si>
    <t>â‚¹1,794.95</t>
  </si>
  <si>
    <t>TXN10868</t>
  </si>
  <si>
    <t>TXN10170</t>
  </si>
  <si>
    <t>TXN10240</t>
  </si>
  <si>
    <t>TXN11185</t>
  </si>
  <si>
    <t>TXN10074</t>
  </si>
  <si>
    <t>TXN11087</t>
  </si>
  <si>
    <t>TXN10762</t>
  </si>
  <si>
    <t>TXN10741</t>
  </si>
  <si>
    <t>Isha MehtaÂ </t>
  </si>
  <si>
    <t>TXN10751</t>
  </si>
  <si>
    <t>TXN10742</t>
  </si>
  <si>
    <t>TXN10831</t>
  </si>
  <si>
    <t>TXN10048</t>
  </si>
  <si>
    <t>TXN10763</t>
  </si>
  <si>
    <t>TXN10592</t>
  </si>
  <si>
    <t>TXN10808</t>
  </si>
  <si>
    <t>TXN11084</t>
  </si>
  <si>
    <t>TXN10506</t>
  </si>
  <si>
    <t>TXN11045</t>
  </si>
  <si>
    <t>TXN10653</t>
  </si>
  <si>
    <t xml:space="preserve"> clothing </t>
  </si>
  <si>
    <t>TXN10193</t>
  </si>
  <si>
    <t>TXN11240</t>
  </si>
  <si>
    <t>TXN10245</t>
  </si>
  <si>
    <t>â‚¹1,392.97</t>
  </si>
  <si>
    <t>TXN10060</t>
  </si>
  <si>
    <t>â‚¹3,907.66</t>
  </si>
  <si>
    <t>TXN11246</t>
  </si>
  <si>
    <t>TXN10177</t>
  </si>
  <si>
    <t>TXN10450</t>
  </si>
  <si>
    <t>TXN10056</t>
  </si>
  <si>
    <t>TXN10920</t>
  </si>
  <si>
    <t>TXN11222</t>
  </si>
  <si>
    <t>TXN11093</t>
  </si>
  <si>
    <t>â‚¹4,565.91</t>
  </si>
  <si>
    <t>TXN11193</t>
  </si>
  <si>
    <t>TXN11210</t>
  </si>
  <si>
    <t>TXN11060</t>
  </si>
  <si>
    <t>TXN10642</t>
  </si>
  <si>
    <t>â‚¹1,082.79</t>
  </si>
  <si>
    <t>Quantity Status</t>
  </si>
  <si>
    <t>Usb-C Cable</t>
  </si>
  <si>
    <t>Sql Book</t>
  </si>
  <si>
    <t>Power Bi Guide</t>
  </si>
  <si>
    <t>Unknown</t>
  </si>
  <si>
    <t>Sales Status</t>
  </si>
  <si>
    <t>Total Transactions</t>
  </si>
  <si>
    <t>Missing Customer Name</t>
  </si>
  <si>
    <t>Missing City</t>
  </si>
  <si>
    <t>Missing Sales</t>
  </si>
  <si>
    <t>Negative Sales</t>
  </si>
  <si>
    <t>Negative Quantity</t>
  </si>
  <si>
    <t>Zero Quantity</t>
  </si>
  <si>
    <t>Blank Quantity</t>
  </si>
  <si>
    <t>Missing Payment Method</t>
  </si>
  <si>
    <t>Missing Cost</t>
  </si>
  <si>
    <t>Negative Cost</t>
  </si>
  <si>
    <t>Issue</t>
  </si>
  <si>
    <t>Count</t>
  </si>
  <si>
    <t>Total Sales</t>
  </si>
  <si>
    <t>Total Cost</t>
  </si>
  <si>
    <t>Total Profit</t>
  </si>
  <si>
    <t>Total Quantity</t>
  </si>
  <si>
    <t xml:space="preserve"> Core KPI</t>
  </si>
  <si>
    <t>Profit Margin %</t>
  </si>
  <si>
    <t>Average Order Value (AOV)</t>
  </si>
  <si>
    <t>Average Quantity per Transaction</t>
  </si>
  <si>
    <t>Grand Total</t>
  </si>
  <si>
    <t>Sum of Sales</t>
  </si>
  <si>
    <t>Sum of Cost</t>
  </si>
  <si>
    <t>Sum of Quantity</t>
  </si>
  <si>
    <t>Sum of Profit</t>
  </si>
  <si>
    <t>Top 10 Products</t>
  </si>
  <si>
    <t>Count of Transaction_ID</t>
  </si>
  <si>
    <t>Row Labels</t>
  </si>
  <si>
    <t>Customer Name</t>
  </si>
  <si>
    <t>Percentage</t>
  </si>
  <si>
    <t>KPI</t>
  </si>
  <si>
    <t>Value</t>
  </si>
  <si>
    <t>Profit Margin</t>
  </si>
  <si>
    <t>Insight</t>
  </si>
  <si>
    <t>Finding</t>
  </si>
  <si>
    <t>Business Meaning</t>
  </si>
  <si>
    <t>Category Performance</t>
  </si>
  <si>
    <t>Product Performance</t>
  </si>
  <si>
    <t>Customer Performance</t>
  </si>
  <si>
    <t>City Performance</t>
  </si>
  <si>
    <t>Payment Method</t>
  </si>
  <si>
    <t>Sales &amp; Profit</t>
  </si>
  <si>
    <t>Data Quality</t>
  </si>
  <si>
    <t>Electronics generated ₹24.47 lakh in sales, approximately 49.3% of total sales, and generated ₹6.45 lakh profit, approximately 48.1% of total profit.</t>
  </si>
  <si>
    <t>Electronics is the largest contributor to both sales and profit in the dataset.</t>
  </si>
  <si>
    <t>Wireless Mouse generated the highest sales among the Top 10 products at ₹4.93 lakh, while Headphones generated the highest profit at ₹1.30 lakh.</t>
  </si>
  <si>
    <t>Sales leadership and profit leadership are not always the same, so both revenue and profitability should be considered when evaluating product performance.</t>
  </si>
  <si>
    <t>Neha Verma generated the highest customer sales (₹2.59 lakh) and also the highest customer profit (₹74,212).</t>
  </si>
  <si>
    <t>Neha Verma is the highest-value customer in this dataset based on both sales and profit contribution.</t>
  </si>
  <si>
    <r>
      <t xml:space="preserve">Delhi generated the </t>
    </r>
    <r>
      <rPr>
        <b/>
        <sz val="11"/>
        <color theme="1"/>
        <rFont val="Calibri"/>
        <family val="2"/>
        <scheme val="minor"/>
      </rPr>
      <t>highest profit of ₹4.70 lakh</t>
    </r>
    <r>
      <rPr>
        <sz val="11"/>
        <color theme="1"/>
        <rFont val="Calibri"/>
        <family val="2"/>
        <scheme val="minor"/>
      </rPr>
      <t xml:space="preserve"> and contributed approximately </t>
    </r>
    <r>
      <rPr>
        <b/>
        <sz val="11"/>
        <color theme="1"/>
        <rFont val="Calibri"/>
        <family val="2"/>
        <scheme val="minor"/>
      </rPr>
      <t>34% of total sales</t>
    </r>
    <r>
      <rPr>
        <sz val="11"/>
        <color theme="1"/>
        <rFont val="Calibri"/>
        <family val="2"/>
        <scheme val="minor"/>
      </rPr>
      <t>.</t>
    </r>
  </si>
  <si>
    <t>Delhi is the strongest-performing city in the dataset based on both profit and sales contribution.</t>
  </si>
  <si>
    <r>
      <t xml:space="preserve">Debit Card recorded the </t>
    </r>
    <r>
      <rPr>
        <b/>
        <sz val="11"/>
        <color theme="1"/>
        <rFont val="Calibri"/>
        <family val="2"/>
        <scheme val="minor"/>
      </rPr>
      <t>highest sales of ₹10.60 lakh</t>
    </r>
    <r>
      <rPr>
        <sz val="11"/>
        <color theme="1"/>
        <rFont val="Calibri"/>
        <family val="2"/>
        <scheme val="minor"/>
      </rPr>
      <t xml:space="preserve"> and the </t>
    </r>
    <r>
      <rPr>
        <b/>
        <sz val="11"/>
        <color theme="1"/>
        <rFont val="Calibri"/>
        <family val="2"/>
        <scheme val="minor"/>
      </rPr>
      <t>highest number of transactions (271)</t>
    </r>
    <r>
      <rPr>
        <sz val="11"/>
        <color theme="1"/>
        <rFont val="Calibri"/>
        <family val="2"/>
        <scheme val="minor"/>
      </rPr>
      <t xml:space="preserve"> among the payment methods.</t>
    </r>
  </si>
  <si>
    <t>Debit Card was the most frequently used payment method and generated the highest sales in this dataset.</t>
  </si>
  <si>
    <r>
      <t xml:space="preserve">Total sales were </t>
    </r>
    <r>
      <rPr>
        <b/>
        <sz val="11"/>
        <color theme="1"/>
        <rFont val="Calibri"/>
        <family val="2"/>
        <scheme val="minor"/>
      </rPr>
      <t>₹49.60 lakh</t>
    </r>
    <r>
      <rPr>
        <sz val="11"/>
        <color theme="1"/>
        <rFont val="Calibri"/>
        <family val="2"/>
        <scheme val="minor"/>
      </rPr>
      <t xml:space="preserve">, while total profit was </t>
    </r>
    <r>
      <rPr>
        <b/>
        <sz val="11"/>
        <color theme="1"/>
        <rFont val="Calibri"/>
        <family val="2"/>
        <scheme val="minor"/>
      </rPr>
      <t>₹13.39 lakh</t>
    </r>
    <r>
      <rPr>
        <sz val="11"/>
        <color theme="1"/>
        <rFont val="Calibri"/>
        <family val="2"/>
        <scheme val="minor"/>
      </rPr>
      <t xml:space="preserve">, resulting in an overall profit margin of approximately </t>
    </r>
    <r>
      <rPr>
        <b/>
        <sz val="11"/>
        <color theme="1"/>
        <rFont val="Calibri"/>
        <family val="2"/>
        <scheme val="minor"/>
      </rPr>
      <t>27%</t>
    </r>
    <r>
      <rPr>
        <sz val="11"/>
        <color theme="1"/>
        <rFont val="Calibri"/>
        <family val="2"/>
        <scheme val="minor"/>
      </rPr>
      <t>.</t>
    </r>
  </si>
  <si>
    <r>
      <t xml:space="preserve">The business generated a positive overall profit, with approximately </t>
    </r>
    <r>
      <rPr>
        <b/>
        <sz val="11"/>
        <color theme="1"/>
        <rFont val="Calibri"/>
        <family val="2"/>
        <scheme val="minor"/>
      </rPr>
      <t>27% of total sales retained as profit</t>
    </r>
    <r>
      <rPr>
        <sz val="11"/>
        <color theme="1"/>
        <rFont val="Calibri"/>
        <family val="2"/>
        <scheme val="minor"/>
      </rPr>
      <t xml:space="preserve"> after costs.</t>
    </r>
  </si>
  <si>
    <r>
      <t xml:space="preserve">The dataset contained </t>
    </r>
    <r>
      <rPr>
        <b/>
        <sz val="11"/>
        <color theme="1"/>
        <rFont val="Calibri"/>
        <family val="2"/>
        <scheme val="minor"/>
      </rPr>
      <t>18 missing customer names, 16 missing payment methods, 15 missing cities, and 10 missing sales values</t>
    </r>
    <r>
      <rPr>
        <sz val="11"/>
        <color theme="1"/>
        <rFont val="Calibri"/>
        <family val="2"/>
        <scheme val="minor"/>
      </rPr>
      <t xml:space="preserve">. There were also </t>
    </r>
    <r>
      <rPr>
        <b/>
        <sz val="11"/>
        <color theme="1"/>
        <rFont val="Calibri"/>
        <family val="2"/>
        <scheme val="minor"/>
      </rPr>
      <t>6 negative sales transactions</t>
    </r>
    <r>
      <rPr>
        <sz val="11"/>
        <color theme="1"/>
        <rFont val="Calibri"/>
        <family val="2"/>
        <scheme val="minor"/>
      </rPr>
      <t>.</t>
    </r>
  </si>
  <si>
    <t>Data quality issues can affect reporting accuracy, so missing and unusual values should be identified and handled before analysis.</t>
  </si>
  <si>
    <t>Order Date</t>
  </si>
  <si>
    <t>Payment_Method Status</t>
  </si>
  <si>
    <t>Sum of Sale contribution %</t>
  </si>
  <si>
    <t>Sales contribution %</t>
  </si>
  <si>
    <t>Data Quality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</si>
</sst>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8" formatCode="&quot;₹&quot;\ #,##0.00;[Red]&quot;₹&quot;\ \-#,##0.00"/>
    <numFmt numFmtId="164" formatCode="&quot;₹&quot;\ #,##0"/>
    <numFmt numFmtId="165" formatCode="&quot;₹&quot;\ 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0" xfId="0" applyBorder="1"/>
    <xf numFmtId="10" fontId="0" fillId="0" borderId="10" xfId="42" applyNumberFormat="1" applyFont="1" applyBorder="1"/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42" applyFont="1"/>
    <xf numFmtId="9" fontId="0" fillId="0" borderId="0" xfId="0" applyNumberFormat="1"/>
    <xf numFmtId="2" fontId="0" fillId="0" borderId="10" xfId="0" applyNumberFormat="1" applyBorder="1"/>
    <xf numFmtId="0" fontId="19" fillId="0" borderId="10" xfId="0" applyFont="1" applyBorder="1" applyAlignment="1">
      <alignment vertical="center" wrapText="1"/>
    </xf>
    <xf numFmtId="1" fontId="19" fillId="0" borderId="10" xfId="0" applyNumberFormat="1" applyFont="1" applyBorder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6" fontId="0" fillId="0" borderId="10" xfId="0" applyNumberFormat="1" applyBorder="1" applyAlignment="1">
      <alignment horizontal="right" vertical="center" wrapText="1"/>
    </xf>
    <xf numFmtId="164" fontId="0" fillId="0" borderId="10" xfId="0" applyNumberFormat="1" applyBorder="1" applyAlignment="1">
      <alignment horizontal="right" vertical="center" wrapText="1"/>
    </xf>
    <xf numFmtId="9" fontId="0" fillId="0" borderId="10" xfId="42" applyFont="1" applyBorder="1" applyAlignment="1">
      <alignment horizontal="right" vertical="center" wrapText="1"/>
    </xf>
    <xf numFmtId="3" fontId="0" fillId="0" borderId="10" xfId="0" applyNumberFormat="1" applyBorder="1" applyAlignment="1">
      <alignment horizontal="right" vertical="center" wrapText="1"/>
    </xf>
    <xf numFmtId="8" fontId="0" fillId="0" borderId="10" xfId="0" applyNumberFormat="1" applyBorder="1" applyAlignment="1">
      <alignment horizontal="right" vertical="center" wrapText="1"/>
    </xf>
    <xf numFmtId="0" fontId="0" fillId="0" borderId="11" xfId="0" applyBorder="1" applyAlignment="1">
      <alignment vertical="center"/>
    </xf>
    <xf numFmtId="6" fontId="0" fillId="0" borderId="11" xfId="0" applyNumberFormat="1" applyBorder="1" applyAlignment="1">
      <alignment horizontal="right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6" fillId="0" borderId="14" xfId="0" applyFont="1" applyBorder="1" applyAlignment="1">
      <alignment horizontal="center" vertical="center" wrapText="1"/>
    </xf>
    <xf numFmtId="0" fontId="19" fillId="0" borderId="11" xfId="0" applyFont="1" applyBorder="1" applyAlignment="1">
      <alignment vertical="center" wrapText="1"/>
    </xf>
    <xf numFmtId="0" fontId="0" fillId="0" borderId="0" xfId="0" applyAlignment="1">
      <alignment horizontal="center" vertical="top" wrapText="1"/>
    </xf>
    <xf numFmtId="0" fontId="16" fillId="0" borderId="1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3" formatCode="0%"/>
    </dxf>
    <dxf>
      <numFmt numFmtId="13" formatCode="0%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165" formatCode="&quot;₹&quot;\ #,##0.0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&quot;₹&quot;\ #,##0.0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al" refreshedDate="46286.764570486113" missingItemsLimit="0" createdVersion="8" refreshedVersion="8" minRefreshableVersion="3" recordCount="1250" xr:uid="{7A7B8178-9525-4815-9131-ECF7556765E0}">
  <cacheSource type="worksheet">
    <worksheetSource name="Table2"/>
  </cacheSource>
  <cacheFields count="17">
    <cacheField name="Transaction_ID" numFmtId="0">
      <sharedItems/>
    </cacheField>
    <cacheField name="Column2" numFmtId="14">
      <sharedItems containsSemiMixedTypes="0" containsNonDate="0" containsDate="1" containsString="0" minDate="2025-01-01T00:00:00" maxDate="2026-01-01T00:00:00"/>
    </cacheField>
    <cacheField name="Customer Name" numFmtId="0">
      <sharedItems count="31">
        <s v="Arjun Mehta"/>
        <s v="Karan Singh"/>
        <s v="Aditya Verma"/>
        <s v="Shivam Kumar"/>
        <s v="Rohit Yadav"/>
        <s v="Sneha Patel"/>
        <s v="Rakesh Verma"/>
        <s v="Harsh Patel"/>
        <s v="Komal Jain"/>
        <s v="Simran Kaur"/>
        <s v="Muskan Gupta"/>
        <s v="Rahul Kumar"/>
        <s v="Isha Mehta"/>
        <s v="Kavita Yadav"/>
        <s v="Manish Gupta"/>
        <s v="Neha Verma"/>
        <s v="Amit Sharma"/>
        <s v="Varun Sharma"/>
        <s v="Anjali Sharma"/>
        <s v="Unknown"/>
        <s v="Nisha Kapoor"/>
        <s v="Riya Gupta"/>
        <s v="Nitin Kumar"/>
        <s v="Pooja Gupta"/>
        <s v="Tanya Singh"/>
        <s v="Priya Singh"/>
        <s v="Deepak Singh"/>
        <s v="Mohit Sharma"/>
        <s v="Ayesha Khan"/>
        <s v="Sahil Khan"/>
        <s v="Vikas Kumar"/>
      </sharedItems>
    </cacheField>
    <cacheField name="City2" numFmtId="0">
      <sharedItems count="6">
        <s v="Gurugram"/>
        <s v="Unknown"/>
        <s v="Faridabad"/>
        <s v="Delhi"/>
        <s v="Ghaziabad"/>
        <s v="Noida"/>
      </sharedItems>
    </cacheField>
    <cacheField name="Category2" numFmtId="0">
      <sharedItems count="5">
        <s v="Books"/>
        <s v="Electronics"/>
        <s v="Home &amp; Kitchen"/>
        <s v="Clothing"/>
        <s v="Beauty"/>
      </sharedItems>
    </cacheField>
    <cacheField name="Product2" numFmtId="0">
      <sharedItems count="30">
        <s v="Sql Book"/>
        <s v="Usb-C Cable"/>
        <s v="Excel Guide"/>
        <s v="Cookware Set"/>
        <s v="Bedsheet"/>
        <s v="Sneakers"/>
        <s v="Face Wash"/>
        <s v="Business Book"/>
        <s v="Table Lamp"/>
        <s v="Power Bank"/>
        <s v="Data Analytics Book"/>
        <s v="Power Bi Guide"/>
        <s v="Storage Box"/>
        <s v="Novel"/>
        <s v="Moisturizer"/>
        <s v="Water Bottle"/>
        <s v="Coffee Mug"/>
        <s v="Kurta"/>
        <s v="Lip Balm"/>
        <s v="Hoodie"/>
        <s v="Bluetooth Speaker"/>
        <s v="Jacket"/>
        <s v="Wireless Mouse"/>
        <s v="Sunscreen"/>
        <s v="T-Shirt"/>
        <s v="Jeans"/>
        <s v="Shampoo"/>
        <s v="Headphones"/>
        <s v="Keyboard"/>
        <s v="Perfume"/>
      </sharedItems>
    </cacheField>
    <cacheField name="Quantity" numFmtId="0">
      <sharedItems containsString="0" containsBlank="1" containsNumber="1" containsInteger="1" minValue="-3" maxValue="8"/>
    </cacheField>
    <cacheField name="Quantity Status" numFmtId="0">
      <sharedItems/>
    </cacheField>
    <cacheField name="Sales" numFmtId="0">
      <sharedItems containsString="0" containsBlank="1" containsNumber="1" minValue="-1326.29" maxValue="17993.080000000002"/>
    </cacheField>
    <cacheField name="Sales Status" numFmtId="0">
      <sharedItems/>
    </cacheField>
    <cacheField name="Cost" numFmtId="1">
      <sharedItems containsSemiMixedTypes="0" containsString="0" containsNumber="1" minValue="120.87" maxValue="14473.39"/>
    </cacheField>
    <cacheField name="Payment_Method" numFmtId="0">
      <sharedItems count="6">
        <s v="Debit Card"/>
        <s v="UPI"/>
        <s v="Net Banking"/>
        <s v="Credit Card"/>
        <s v="Cash"/>
        <s v="Unknown"/>
      </sharedItems>
    </cacheField>
    <cacheField name="Payment_Method4" numFmtId="0">
      <sharedItems/>
    </cacheField>
    <cacheField name="Profit" numFmtId="0" formula="Sales-Cost" databaseField="0"/>
    <cacheField name="Profit Margin %" numFmtId="0" formula="Profit/Sales" databaseField="0"/>
    <cacheField name="Sale Contribution %" numFmtId="0" formula="Sales/Sales" databaseField="0"/>
    <cacheField name="Sale contribution % 2" numFmtId="0" formula="Sales/ 4959963.78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0">
  <r>
    <s v="TXN11135"/>
    <d v="2025-01-01T00:00:00"/>
    <x v="0"/>
    <x v="0"/>
    <x v="0"/>
    <x v="0"/>
    <n v="5"/>
    <s v="OK"/>
    <n v="342.34"/>
    <s v="OK"/>
    <n v="248.8"/>
    <x v="0"/>
    <s v="OK"/>
  </r>
  <r>
    <s v="TXN10384"/>
    <d v="2025-01-01T00:00:00"/>
    <x v="1"/>
    <x v="1"/>
    <x v="1"/>
    <x v="1"/>
    <n v="7"/>
    <s v="OK"/>
    <n v="15418"/>
    <s v="OK"/>
    <n v="12179.93"/>
    <x v="1"/>
    <s v="OK"/>
  </r>
  <r>
    <s v="TXN10639"/>
    <d v="2025-01-01T00:00:00"/>
    <x v="1"/>
    <x v="2"/>
    <x v="0"/>
    <x v="2"/>
    <n v="1"/>
    <s v="OK"/>
    <n v="2460.8000000000002"/>
    <s v="OK"/>
    <n v="1837.24"/>
    <x v="2"/>
    <s v="OK"/>
  </r>
  <r>
    <s v="TXN10490"/>
    <d v="2025-01-01T00:00:00"/>
    <x v="2"/>
    <x v="3"/>
    <x v="2"/>
    <x v="3"/>
    <n v="2"/>
    <s v="OK"/>
    <n v="5625.77"/>
    <s v="OK"/>
    <n v="4882.3"/>
    <x v="3"/>
    <s v="OK"/>
  </r>
  <r>
    <s v="TXN10055"/>
    <d v="2025-01-01T00:00:00"/>
    <x v="3"/>
    <x v="0"/>
    <x v="0"/>
    <x v="0"/>
    <n v="5"/>
    <s v="OK"/>
    <n v="859.9"/>
    <s v="OK"/>
    <n v="594.92999999999995"/>
    <x v="2"/>
    <s v="OK"/>
  </r>
  <r>
    <s v="TXN10407"/>
    <d v="2025-01-01T00:00:00"/>
    <x v="4"/>
    <x v="3"/>
    <x v="2"/>
    <x v="4"/>
    <n v="6"/>
    <s v="OK"/>
    <n v="6458.11"/>
    <s v="OK"/>
    <n v="3981.32"/>
    <x v="4"/>
    <s v="OK"/>
  </r>
  <r>
    <s v="TXN11005"/>
    <d v="2025-01-02T00:00:00"/>
    <x v="5"/>
    <x v="3"/>
    <x v="3"/>
    <x v="5"/>
    <n v="8"/>
    <s v="OK"/>
    <n v="523.54"/>
    <s v="OK"/>
    <n v="289.60000000000002"/>
    <x v="4"/>
    <s v="OK"/>
  </r>
  <r>
    <s v="TXN10041"/>
    <d v="2025-01-02T00:00:00"/>
    <x v="6"/>
    <x v="2"/>
    <x v="4"/>
    <x v="6"/>
    <n v="6"/>
    <s v="OK"/>
    <n v="2756.14"/>
    <s v="OK"/>
    <n v="2095.35"/>
    <x v="3"/>
    <s v="OK"/>
  </r>
  <r>
    <s v="TXN11033"/>
    <d v="2025-01-02T00:00:00"/>
    <x v="7"/>
    <x v="3"/>
    <x v="0"/>
    <x v="7"/>
    <n v="4"/>
    <s v="OK"/>
    <n v="1794.41"/>
    <s v="OK"/>
    <n v="1263.19"/>
    <x v="4"/>
    <s v="OK"/>
  </r>
  <r>
    <s v="TXN11014"/>
    <d v="2025-01-02T00:00:00"/>
    <x v="8"/>
    <x v="0"/>
    <x v="2"/>
    <x v="4"/>
    <n v="7"/>
    <s v="OK"/>
    <n v="4630.38"/>
    <s v="OK"/>
    <n v="3987.75"/>
    <x v="1"/>
    <s v="OK"/>
  </r>
  <r>
    <s v="TXN10533"/>
    <d v="2025-01-03T00:00:00"/>
    <x v="1"/>
    <x v="0"/>
    <x v="0"/>
    <x v="7"/>
    <n v="6"/>
    <s v="OK"/>
    <n v="766.2"/>
    <s v="OK"/>
    <n v="477.42"/>
    <x v="0"/>
    <s v="OK"/>
  </r>
  <r>
    <s v="TXN10972"/>
    <d v="2025-01-03T00:00:00"/>
    <x v="9"/>
    <x v="0"/>
    <x v="2"/>
    <x v="8"/>
    <n v="8"/>
    <s v="OK"/>
    <n v="2637.27"/>
    <s v="OK"/>
    <n v="1655.97"/>
    <x v="2"/>
    <s v="OK"/>
  </r>
  <r>
    <s v="TXN10560"/>
    <d v="2025-01-04T00:00:00"/>
    <x v="3"/>
    <x v="4"/>
    <x v="1"/>
    <x v="9"/>
    <n v="7"/>
    <s v="OK"/>
    <n v="12092.74"/>
    <s v="OK"/>
    <n v="9395.61"/>
    <x v="3"/>
    <s v="OK"/>
  </r>
  <r>
    <s v="TXN10296"/>
    <d v="2025-01-04T00:00:00"/>
    <x v="10"/>
    <x v="2"/>
    <x v="0"/>
    <x v="10"/>
    <n v="7"/>
    <s v="OK"/>
    <n v="227.26"/>
    <s v="OK"/>
    <n v="164.7"/>
    <x v="3"/>
    <s v="OK"/>
  </r>
  <r>
    <s v="TXN10523"/>
    <d v="2025-01-04T00:00:00"/>
    <x v="11"/>
    <x v="2"/>
    <x v="1"/>
    <x v="9"/>
    <n v="2"/>
    <s v="OK"/>
    <n v="13826.93"/>
    <s v="OK"/>
    <n v="10276.870000000001"/>
    <x v="1"/>
    <s v="OK"/>
  </r>
  <r>
    <s v="TXN10581"/>
    <d v="2025-01-04T00:00:00"/>
    <x v="12"/>
    <x v="3"/>
    <x v="0"/>
    <x v="0"/>
    <n v="1"/>
    <s v="OK"/>
    <n v="2150.42"/>
    <s v="OK"/>
    <n v="1446.15"/>
    <x v="3"/>
    <s v="OK"/>
  </r>
  <r>
    <s v="TXN10619"/>
    <d v="2025-01-05T00:00:00"/>
    <x v="3"/>
    <x v="3"/>
    <x v="0"/>
    <x v="7"/>
    <n v="0"/>
    <s v="Zero Quantity"/>
    <n v="1536.48"/>
    <s v="OK"/>
    <n v="1195.3"/>
    <x v="2"/>
    <s v="OK"/>
  </r>
  <r>
    <s v="TXN10612"/>
    <d v="2025-01-05T00:00:00"/>
    <x v="0"/>
    <x v="3"/>
    <x v="0"/>
    <x v="11"/>
    <n v="4"/>
    <s v="OK"/>
    <n v="407.45"/>
    <s v="OK"/>
    <n v="226.08"/>
    <x v="4"/>
    <s v="OK"/>
  </r>
  <r>
    <s v="TXN10577"/>
    <d v="2025-01-05T00:00:00"/>
    <x v="2"/>
    <x v="0"/>
    <x v="2"/>
    <x v="3"/>
    <n v="5"/>
    <s v="OK"/>
    <n v="2038.5"/>
    <s v="OK"/>
    <n v="1183.74"/>
    <x v="3"/>
    <s v="OK"/>
  </r>
  <r>
    <s v="TXN11054"/>
    <d v="2025-01-05T00:00:00"/>
    <x v="13"/>
    <x v="3"/>
    <x v="2"/>
    <x v="12"/>
    <n v="5"/>
    <s v="OK"/>
    <n v="2260.1799999999998"/>
    <s v="OK"/>
    <n v="1501.64"/>
    <x v="0"/>
    <s v="OK"/>
  </r>
  <r>
    <s v="TXN11008"/>
    <d v="2025-01-05T00:00:00"/>
    <x v="1"/>
    <x v="2"/>
    <x v="3"/>
    <x v="5"/>
    <n v="2"/>
    <s v="OK"/>
    <n v="3044.81"/>
    <s v="OK"/>
    <n v="2615.38"/>
    <x v="0"/>
    <s v="OK"/>
  </r>
  <r>
    <s v="TXN10606"/>
    <d v="2025-01-05T00:00:00"/>
    <x v="14"/>
    <x v="2"/>
    <x v="0"/>
    <x v="13"/>
    <n v="7"/>
    <s v="OK"/>
    <n v="2035.32"/>
    <s v="OK"/>
    <n v="1520.41"/>
    <x v="1"/>
    <s v="OK"/>
  </r>
  <r>
    <s v="TXN10966"/>
    <d v="2025-01-05T00:00:00"/>
    <x v="13"/>
    <x v="0"/>
    <x v="4"/>
    <x v="14"/>
    <n v="5"/>
    <s v="OK"/>
    <n v="3175.68"/>
    <s v="OK"/>
    <n v="2386.31"/>
    <x v="4"/>
    <s v="OK"/>
  </r>
  <r>
    <s v="TXN10373"/>
    <d v="2025-01-06T00:00:00"/>
    <x v="15"/>
    <x v="3"/>
    <x v="3"/>
    <x v="5"/>
    <n v="3"/>
    <s v="OK"/>
    <n v="3230.27"/>
    <s v="OK"/>
    <n v="2146.23"/>
    <x v="2"/>
    <s v="OK"/>
  </r>
  <r>
    <s v="TXN10486"/>
    <d v="2025-01-06T00:00:00"/>
    <x v="0"/>
    <x v="4"/>
    <x v="2"/>
    <x v="15"/>
    <n v="3"/>
    <s v="OK"/>
    <n v="3736.75"/>
    <s v="OK"/>
    <n v="2633.91"/>
    <x v="0"/>
    <s v="OK"/>
  </r>
  <r>
    <s v="TXN10568"/>
    <d v="2025-01-06T00:00:00"/>
    <x v="16"/>
    <x v="5"/>
    <x v="0"/>
    <x v="2"/>
    <n v="4"/>
    <s v="OK"/>
    <n v="2156.31"/>
    <s v="OK"/>
    <n v="1848.28"/>
    <x v="2"/>
    <s v="OK"/>
  </r>
  <r>
    <s v="TXN11243"/>
    <d v="2025-01-06T00:00:00"/>
    <x v="17"/>
    <x v="5"/>
    <x v="2"/>
    <x v="16"/>
    <n v="7"/>
    <s v="OK"/>
    <n v="5895.69"/>
    <s v="OK"/>
    <n v="4565.43"/>
    <x v="0"/>
    <s v="OK"/>
  </r>
  <r>
    <s v="TXN11150"/>
    <d v="2025-01-06T00:00:00"/>
    <x v="18"/>
    <x v="3"/>
    <x v="0"/>
    <x v="13"/>
    <n v="2"/>
    <s v="OK"/>
    <n v="468.24"/>
    <s v="OK"/>
    <n v="276.39"/>
    <x v="2"/>
    <s v="OK"/>
  </r>
  <r>
    <s v="TXN11183"/>
    <d v="2025-01-07T00:00:00"/>
    <x v="19"/>
    <x v="3"/>
    <x v="3"/>
    <x v="17"/>
    <n v="1"/>
    <s v="OK"/>
    <n v="1057.3599999999999"/>
    <s v="OK"/>
    <n v="753.24"/>
    <x v="1"/>
    <s v="OK"/>
  </r>
  <r>
    <s v="TXN10938"/>
    <d v="2025-01-07T00:00:00"/>
    <x v="11"/>
    <x v="3"/>
    <x v="0"/>
    <x v="10"/>
    <n v="3"/>
    <s v="OK"/>
    <n v="1708.34"/>
    <s v="OK"/>
    <n v="1199"/>
    <x v="0"/>
    <s v="OK"/>
  </r>
  <r>
    <s v="TXN11190"/>
    <d v="2025-01-07T00:00:00"/>
    <x v="0"/>
    <x v="5"/>
    <x v="4"/>
    <x v="18"/>
    <n v="4"/>
    <s v="OK"/>
    <n v="419.13"/>
    <s v="OK"/>
    <n v="345.3"/>
    <x v="0"/>
    <s v="OK"/>
  </r>
  <r>
    <s v="TXN11220"/>
    <d v="2025-01-07T00:00:00"/>
    <x v="15"/>
    <x v="3"/>
    <x v="2"/>
    <x v="16"/>
    <n v="2"/>
    <s v="OK"/>
    <n v="2893.98"/>
    <s v="OK"/>
    <n v="1611.47"/>
    <x v="1"/>
    <s v="OK"/>
  </r>
  <r>
    <s v="TXN10713"/>
    <d v="2025-01-08T00:00:00"/>
    <x v="0"/>
    <x v="5"/>
    <x v="4"/>
    <x v="6"/>
    <n v="2"/>
    <s v="OK"/>
    <n v="921.38"/>
    <s v="OK"/>
    <n v="613.28"/>
    <x v="3"/>
    <s v="OK"/>
  </r>
  <r>
    <s v="TXN10089"/>
    <d v="2025-01-08T00:00:00"/>
    <x v="4"/>
    <x v="0"/>
    <x v="3"/>
    <x v="19"/>
    <n v="3"/>
    <s v="OK"/>
    <n v="2008.71"/>
    <s v="OK"/>
    <n v="1750.63"/>
    <x v="2"/>
    <s v="OK"/>
  </r>
  <r>
    <s v="TXN10144"/>
    <d v="2025-01-08T00:00:00"/>
    <x v="15"/>
    <x v="3"/>
    <x v="1"/>
    <x v="20"/>
    <n v="6"/>
    <s v="OK"/>
    <n v="14408.74"/>
    <s v="OK"/>
    <n v="9056.14"/>
    <x v="3"/>
    <s v="OK"/>
  </r>
  <r>
    <s v="TXN10746"/>
    <d v="2025-01-08T00:00:00"/>
    <x v="8"/>
    <x v="0"/>
    <x v="4"/>
    <x v="14"/>
    <n v="2"/>
    <s v="OK"/>
    <n v="2212.42"/>
    <s v="OK"/>
    <n v="1881.32"/>
    <x v="4"/>
    <s v="OK"/>
  </r>
  <r>
    <s v="TXN10571"/>
    <d v="2025-01-08T00:00:00"/>
    <x v="20"/>
    <x v="4"/>
    <x v="3"/>
    <x v="21"/>
    <n v="2"/>
    <s v="OK"/>
    <n v="5555.48"/>
    <s v="OK"/>
    <n v="4063.09"/>
    <x v="2"/>
    <s v="OK"/>
  </r>
  <r>
    <s v="TXN10795"/>
    <d v="2025-01-08T00:00:00"/>
    <x v="3"/>
    <x v="2"/>
    <x v="0"/>
    <x v="13"/>
    <n v="7"/>
    <s v="OK"/>
    <n v="1893.21"/>
    <s v="OK"/>
    <n v="1195.3599999999999"/>
    <x v="3"/>
    <s v="OK"/>
  </r>
  <r>
    <s v="TXN10879"/>
    <d v="2025-01-10T00:00:00"/>
    <x v="21"/>
    <x v="2"/>
    <x v="2"/>
    <x v="16"/>
    <n v="3"/>
    <s v="OK"/>
    <n v="4207.17"/>
    <s v="OK"/>
    <n v="2609.6"/>
    <x v="0"/>
    <s v="OK"/>
  </r>
  <r>
    <s v="TXN10195"/>
    <d v="2025-01-10T00:00:00"/>
    <x v="9"/>
    <x v="4"/>
    <x v="1"/>
    <x v="22"/>
    <n v="5"/>
    <s v="OK"/>
    <n v="4587.7"/>
    <s v="OK"/>
    <n v="2749.6"/>
    <x v="2"/>
    <s v="OK"/>
  </r>
  <r>
    <s v="TXN10551"/>
    <d v="2025-01-10T00:00:00"/>
    <x v="20"/>
    <x v="4"/>
    <x v="2"/>
    <x v="8"/>
    <n v="5"/>
    <s v="OK"/>
    <n v="6651.88"/>
    <s v="OK"/>
    <n v="4133.9799999999996"/>
    <x v="2"/>
    <s v="OK"/>
  </r>
  <r>
    <s v="TXN10659"/>
    <d v="2025-01-10T00:00:00"/>
    <x v="12"/>
    <x v="0"/>
    <x v="4"/>
    <x v="6"/>
    <n v="5"/>
    <s v="OK"/>
    <n v="3069.08"/>
    <s v="OK"/>
    <n v="2345.7199999999998"/>
    <x v="4"/>
    <s v="OK"/>
  </r>
  <r>
    <s v="TXN10844"/>
    <d v="2025-01-10T00:00:00"/>
    <x v="2"/>
    <x v="3"/>
    <x v="1"/>
    <x v="22"/>
    <n v="8"/>
    <s v="OK"/>
    <n v="13850.41"/>
    <s v="OK"/>
    <n v="7812.05"/>
    <x v="1"/>
    <s v="OK"/>
  </r>
  <r>
    <s v="TXN10872"/>
    <d v="2025-01-11T00:00:00"/>
    <x v="3"/>
    <x v="4"/>
    <x v="0"/>
    <x v="13"/>
    <n v="8"/>
    <s v="OK"/>
    <n v="1552.38"/>
    <s v="OK"/>
    <n v="1358.8"/>
    <x v="0"/>
    <s v="OK"/>
  </r>
  <r>
    <s v="TXN11091"/>
    <d v="2025-01-11T00:00:00"/>
    <x v="3"/>
    <x v="3"/>
    <x v="1"/>
    <x v="20"/>
    <n v="2"/>
    <s v="OK"/>
    <n v="6181.31"/>
    <s v="OK"/>
    <n v="4904.9399999999996"/>
    <x v="4"/>
    <s v="OK"/>
  </r>
  <r>
    <s v="TXN10447"/>
    <d v="2025-01-11T00:00:00"/>
    <x v="18"/>
    <x v="3"/>
    <x v="0"/>
    <x v="0"/>
    <n v="1"/>
    <s v="OK"/>
    <n v="1290.42"/>
    <s v="OK"/>
    <n v="766.08"/>
    <x v="4"/>
    <s v="OK"/>
  </r>
  <r>
    <s v="TXN10232"/>
    <d v="2025-01-12T00:00:00"/>
    <x v="9"/>
    <x v="2"/>
    <x v="4"/>
    <x v="23"/>
    <n v="2"/>
    <s v="OK"/>
    <n v="3322.01"/>
    <s v="OK"/>
    <n v="2381.21"/>
    <x v="4"/>
    <s v="OK"/>
  </r>
  <r>
    <s v="TXN10395"/>
    <d v="2025-01-12T00:00:00"/>
    <x v="3"/>
    <x v="4"/>
    <x v="4"/>
    <x v="6"/>
    <n v="2"/>
    <s v="OK"/>
    <n v="892.69"/>
    <s v="OK"/>
    <n v="681.28"/>
    <x v="4"/>
    <s v="OK"/>
  </r>
  <r>
    <s v="TXN10903"/>
    <d v="2025-01-12T00:00:00"/>
    <x v="22"/>
    <x v="4"/>
    <x v="3"/>
    <x v="24"/>
    <n v="4"/>
    <s v="OK"/>
    <n v="5487.65"/>
    <s v="OK"/>
    <n v="4782.28"/>
    <x v="4"/>
    <s v="OK"/>
  </r>
  <r>
    <s v="TXN10987"/>
    <d v="2025-01-13T00:00:00"/>
    <x v="6"/>
    <x v="3"/>
    <x v="3"/>
    <x v="5"/>
    <n v="5"/>
    <s v="OK"/>
    <n v="3585.74"/>
    <s v="OK"/>
    <n v="2118.63"/>
    <x v="2"/>
    <s v="OK"/>
  </r>
  <r>
    <s v="TXN10327"/>
    <d v="2025-01-13T00:00:00"/>
    <x v="14"/>
    <x v="4"/>
    <x v="3"/>
    <x v="19"/>
    <n v="8"/>
    <s v="OK"/>
    <n v="1075.02"/>
    <s v="OK"/>
    <n v="738.83"/>
    <x v="1"/>
    <s v="OK"/>
  </r>
  <r>
    <s v="TXN11017"/>
    <d v="2025-01-13T00:00:00"/>
    <x v="23"/>
    <x v="0"/>
    <x v="1"/>
    <x v="9"/>
    <n v="4"/>
    <s v="OK"/>
    <n v="17625.43"/>
    <s v="OK"/>
    <n v="12159.09"/>
    <x v="1"/>
    <s v="OK"/>
  </r>
  <r>
    <s v="TXN10991"/>
    <d v="2025-01-13T00:00:00"/>
    <x v="5"/>
    <x v="2"/>
    <x v="3"/>
    <x v="17"/>
    <n v="6"/>
    <s v="OK"/>
    <n v="2601.06"/>
    <s v="OK"/>
    <n v="1508.71"/>
    <x v="1"/>
    <s v="OK"/>
  </r>
  <r>
    <s v="TXN10048"/>
    <d v="2025-01-13T00:00:00"/>
    <x v="1"/>
    <x v="0"/>
    <x v="3"/>
    <x v="25"/>
    <n v="4"/>
    <s v="OK"/>
    <n v="2691.56"/>
    <s v="OK"/>
    <n v="1727.82"/>
    <x v="1"/>
    <s v="OK"/>
  </r>
  <r>
    <s v="TXN10101"/>
    <d v="2025-01-14T00:00:00"/>
    <x v="24"/>
    <x v="0"/>
    <x v="2"/>
    <x v="12"/>
    <n v="2"/>
    <s v="OK"/>
    <n v="1910.9"/>
    <s v="OK"/>
    <n v="1476.21"/>
    <x v="5"/>
    <s v="OK"/>
  </r>
  <r>
    <s v="TXN10192"/>
    <d v="2025-01-14T00:00:00"/>
    <x v="25"/>
    <x v="5"/>
    <x v="0"/>
    <x v="13"/>
    <n v="7"/>
    <s v="OK"/>
    <n v="322.49"/>
    <s v="OK"/>
    <n v="230.79"/>
    <x v="4"/>
    <s v="OK"/>
  </r>
  <r>
    <s v="TXN10599"/>
    <d v="2025-01-14T00:00:00"/>
    <x v="25"/>
    <x v="2"/>
    <x v="2"/>
    <x v="15"/>
    <n v="7"/>
    <s v="OK"/>
    <n v="3858.29"/>
    <s v="OK"/>
    <n v="3390.22"/>
    <x v="1"/>
    <s v="OK"/>
  </r>
  <r>
    <s v="TXN10218"/>
    <d v="2025-01-14T00:00:00"/>
    <x v="23"/>
    <x v="5"/>
    <x v="3"/>
    <x v="17"/>
    <n v="6"/>
    <s v="OK"/>
    <n v="3547.12"/>
    <s v="OK"/>
    <n v="2382.7399999999998"/>
    <x v="2"/>
    <s v="OK"/>
  </r>
  <r>
    <s v="TXN10715"/>
    <d v="2025-01-15T00:00:00"/>
    <x v="26"/>
    <x v="2"/>
    <x v="1"/>
    <x v="20"/>
    <n v="8"/>
    <s v="OK"/>
    <n v="16346.3"/>
    <s v="OK"/>
    <n v="9262.64"/>
    <x v="0"/>
    <s v="OK"/>
  </r>
  <r>
    <s v="TXN10193"/>
    <d v="2025-01-15T00:00:00"/>
    <x v="20"/>
    <x v="3"/>
    <x v="4"/>
    <x v="26"/>
    <n v="6"/>
    <s v="OK"/>
    <n v="3275.18"/>
    <s v="OK"/>
    <n v="2708.34"/>
    <x v="3"/>
    <s v="OK"/>
  </r>
  <r>
    <s v="TXN10663"/>
    <d v="2025-01-16T00:00:00"/>
    <x v="18"/>
    <x v="3"/>
    <x v="4"/>
    <x v="23"/>
    <n v="5"/>
    <s v="OK"/>
    <n v="983.14"/>
    <s v="OK"/>
    <n v="651.61"/>
    <x v="0"/>
    <s v="OK"/>
  </r>
  <r>
    <s v="TXN10444"/>
    <d v="2025-01-16T00:00:00"/>
    <x v="20"/>
    <x v="3"/>
    <x v="1"/>
    <x v="27"/>
    <n v="4"/>
    <s v="OK"/>
    <n v="7269.18"/>
    <s v="OK"/>
    <n v="5423.06"/>
    <x v="4"/>
    <s v="OK"/>
  </r>
  <r>
    <s v="TXN11035"/>
    <d v="2025-01-16T00:00:00"/>
    <x v="1"/>
    <x v="3"/>
    <x v="1"/>
    <x v="1"/>
    <n v="2"/>
    <s v="OK"/>
    <n v="3335.07"/>
    <s v="OK"/>
    <n v="2318.9899999999998"/>
    <x v="2"/>
    <s v="OK"/>
  </r>
  <r>
    <s v="TXN10002"/>
    <d v="2025-01-16T00:00:00"/>
    <x v="25"/>
    <x v="4"/>
    <x v="0"/>
    <x v="10"/>
    <n v="2"/>
    <s v="OK"/>
    <n v="702.87"/>
    <s v="OK"/>
    <n v="503.79"/>
    <x v="1"/>
    <s v="OK"/>
  </r>
  <r>
    <s v="TXN10341"/>
    <d v="2025-01-16T00:00:00"/>
    <x v="27"/>
    <x v="5"/>
    <x v="1"/>
    <x v="9"/>
    <n v="4"/>
    <s v="OK"/>
    <n v="5894.74"/>
    <s v="OK"/>
    <n v="3776.77"/>
    <x v="2"/>
    <s v="OK"/>
  </r>
  <r>
    <s v="TXN10863"/>
    <d v="2025-01-17T00:00:00"/>
    <x v="28"/>
    <x v="4"/>
    <x v="2"/>
    <x v="15"/>
    <n v="7"/>
    <s v="OK"/>
    <n v="6208.83"/>
    <s v="OK"/>
    <n v="3658.95"/>
    <x v="0"/>
    <s v="OK"/>
  </r>
  <r>
    <s v="TXN10792"/>
    <d v="2025-01-17T00:00:00"/>
    <x v="18"/>
    <x v="5"/>
    <x v="4"/>
    <x v="26"/>
    <n v="1"/>
    <s v="OK"/>
    <n v="1161.96"/>
    <s v="OK"/>
    <n v="681.68"/>
    <x v="0"/>
    <s v="OK"/>
  </r>
  <r>
    <s v="TXN10802"/>
    <d v="2025-01-17T00:00:00"/>
    <x v="20"/>
    <x v="3"/>
    <x v="4"/>
    <x v="18"/>
    <n v="5"/>
    <s v="OK"/>
    <n v="1634.18"/>
    <s v="OK"/>
    <n v="1044.29"/>
    <x v="2"/>
    <s v="OK"/>
  </r>
  <r>
    <s v="TXN11060"/>
    <d v="2025-01-17T00:00:00"/>
    <x v="5"/>
    <x v="4"/>
    <x v="1"/>
    <x v="9"/>
    <n v="3"/>
    <s v="OK"/>
    <n v="3528.12"/>
    <s v="OK"/>
    <n v="3049.6"/>
    <x v="3"/>
    <s v="OK"/>
  </r>
  <r>
    <s v="TXN11108"/>
    <d v="2025-01-18T00:00:00"/>
    <x v="24"/>
    <x v="5"/>
    <x v="3"/>
    <x v="17"/>
    <n v="6"/>
    <s v="OK"/>
    <n v="3970.24"/>
    <s v="OK"/>
    <n v="3069.87"/>
    <x v="4"/>
    <s v="OK"/>
  </r>
  <r>
    <s v="TXN10454"/>
    <d v="2025-01-19T00:00:00"/>
    <x v="10"/>
    <x v="2"/>
    <x v="0"/>
    <x v="2"/>
    <n v="4"/>
    <s v="OK"/>
    <n v="989.28"/>
    <s v="OK"/>
    <n v="776.99"/>
    <x v="2"/>
    <s v="OK"/>
  </r>
  <r>
    <s v="TXN10204"/>
    <d v="2025-01-19T00:00:00"/>
    <x v="22"/>
    <x v="4"/>
    <x v="0"/>
    <x v="13"/>
    <n v="4"/>
    <s v="OK"/>
    <n v="858.06"/>
    <s v="OK"/>
    <n v="716.06"/>
    <x v="1"/>
    <s v="OK"/>
  </r>
  <r>
    <s v="TXN10119"/>
    <d v="2025-01-19T00:00:00"/>
    <x v="20"/>
    <x v="0"/>
    <x v="0"/>
    <x v="0"/>
    <n v="2"/>
    <s v="OK"/>
    <n v="739.97"/>
    <s v="OK"/>
    <n v="574.11"/>
    <x v="3"/>
    <s v="OK"/>
  </r>
  <r>
    <s v="TXN10968"/>
    <d v="2025-01-19T00:00:00"/>
    <x v="17"/>
    <x v="5"/>
    <x v="4"/>
    <x v="6"/>
    <n v="6"/>
    <s v="OK"/>
    <n v="1517.48"/>
    <s v="OK"/>
    <n v="1194.6099999999999"/>
    <x v="4"/>
    <s v="OK"/>
  </r>
  <r>
    <s v="TXN10884"/>
    <d v="2025-01-19T00:00:00"/>
    <x v="26"/>
    <x v="2"/>
    <x v="0"/>
    <x v="11"/>
    <m/>
    <s v="Blank"/>
    <n v="566.52"/>
    <s v="OK"/>
    <n v="337.09"/>
    <x v="3"/>
    <s v="OK"/>
  </r>
  <r>
    <s v="TXN10864"/>
    <d v="2025-01-19T00:00:00"/>
    <x v="5"/>
    <x v="2"/>
    <x v="0"/>
    <x v="2"/>
    <n v="1"/>
    <s v="OK"/>
    <n v="606.79999999999995"/>
    <s v="OK"/>
    <n v="465.78"/>
    <x v="3"/>
    <s v="OK"/>
  </r>
  <r>
    <s v="TXN10256"/>
    <d v="2025-01-19T00:00:00"/>
    <x v="10"/>
    <x v="5"/>
    <x v="0"/>
    <x v="7"/>
    <n v="7"/>
    <s v="OK"/>
    <n v="2012.31"/>
    <s v="OK"/>
    <n v="1230.49"/>
    <x v="3"/>
    <s v="OK"/>
  </r>
  <r>
    <s v="TXN10047"/>
    <d v="2025-01-20T00:00:00"/>
    <x v="18"/>
    <x v="5"/>
    <x v="1"/>
    <x v="28"/>
    <n v="8"/>
    <s v="OK"/>
    <n v="4703.62"/>
    <s v="OK"/>
    <n v="3854.49"/>
    <x v="0"/>
    <s v="OK"/>
  </r>
  <r>
    <s v="TXN10102"/>
    <d v="2025-01-21T00:00:00"/>
    <x v="3"/>
    <x v="3"/>
    <x v="4"/>
    <x v="18"/>
    <n v="3"/>
    <s v="OK"/>
    <n v="1779.13"/>
    <s v="OK"/>
    <n v="1361.03"/>
    <x v="3"/>
    <s v="OK"/>
  </r>
  <r>
    <s v="TXN10677"/>
    <d v="2025-01-21T00:00:00"/>
    <x v="21"/>
    <x v="4"/>
    <x v="0"/>
    <x v="11"/>
    <n v="7"/>
    <s v="OK"/>
    <n v="1387.09"/>
    <s v="OK"/>
    <n v="1051.57"/>
    <x v="1"/>
    <s v="OK"/>
  </r>
  <r>
    <s v="TXN10073"/>
    <d v="2025-01-21T00:00:00"/>
    <x v="4"/>
    <x v="3"/>
    <x v="1"/>
    <x v="27"/>
    <n v="1"/>
    <s v="OK"/>
    <n v="17138.36"/>
    <s v="OK"/>
    <n v="10553.61"/>
    <x v="1"/>
    <s v="OK"/>
  </r>
  <r>
    <s v="TXN10541"/>
    <d v="2025-01-21T00:00:00"/>
    <x v="12"/>
    <x v="5"/>
    <x v="0"/>
    <x v="13"/>
    <n v="4"/>
    <s v="OK"/>
    <n v="1951.39"/>
    <s v="OK"/>
    <n v="1222.5"/>
    <x v="3"/>
    <s v="OK"/>
  </r>
  <r>
    <s v="TXN10431"/>
    <d v="2025-01-22T00:00:00"/>
    <x v="29"/>
    <x v="5"/>
    <x v="3"/>
    <x v="25"/>
    <n v="7"/>
    <s v="OK"/>
    <n v="931.03"/>
    <s v="OK"/>
    <n v="721.95"/>
    <x v="4"/>
    <s v="OK"/>
  </r>
  <r>
    <s v="TXN11049"/>
    <d v="2025-01-22T00:00:00"/>
    <x v="21"/>
    <x v="0"/>
    <x v="3"/>
    <x v="21"/>
    <n v="8"/>
    <s v="OK"/>
    <n v="3317.44"/>
    <s v="OK"/>
    <n v="2192.84"/>
    <x v="0"/>
    <s v="OK"/>
  </r>
  <r>
    <s v="TXN11224"/>
    <d v="2025-01-23T00:00:00"/>
    <x v="6"/>
    <x v="4"/>
    <x v="1"/>
    <x v="22"/>
    <n v="2"/>
    <s v="OK"/>
    <n v="10213.379999999999"/>
    <s v="OK"/>
    <n v="5963.05"/>
    <x v="0"/>
    <s v="OK"/>
  </r>
  <r>
    <s v="TXN10201"/>
    <d v="2025-01-23T00:00:00"/>
    <x v="17"/>
    <x v="4"/>
    <x v="4"/>
    <x v="26"/>
    <n v="6"/>
    <s v="OK"/>
    <n v="2024.54"/>
    <s v="OK"/>
    <n v="1657"/>
    <x v="5"/>
    <s v="OK"/>
  </r>
  <r>
    <s v="TXN10518"/>
    <d v="2025-01-23T00:00:00"/>
    <x v="21"/>
    <x v="4"/>
    <x v="0"/>
    <x v="2"/>
    <n v="5"/>
    <s v="OK"/>
    <n v="2266.0500000000002"/>
    <s v="OK"/>
    <n v="1390.29"/>
    <x v="2"/>
    <s v="OK"/>
  </r>
  <r>
    <s v="TXN11087"/>
    <d v="2025-01-23T00:00:00"/>
    <x v="12"/>
    <x v="0"/>
    <x v="2"/>
    <x v="12"/>
    <n v="2"/>
    <s v="OK"/>
    <n v="6244.04"/>
    <s v="OK"/>
    <n v="4281.3"/>
    <x v="2"/>
    <s v="OK"/>
  </r>
  <r>
    <s v="TXN10478"/>
    <d v="2025-01-24T00:00:00"/>
    <x v="2"/>
    <x v="3"/>
    <x v="1"/>
    <x v="22"/>
    <n v="1"/>
    <s v="OK"/>
    <n v="15469.18"/>
    <s v="OK"/>
    <n v="11894.36"/>
    <x v="4"/>
    <s v="OK"/>
  </r>
  <r>
    <s v="TXN10136"/>
    <d v="2025-01-24T00:00:00"/>
    <x v="6"/>
    <x v="2"/>
    <x v="1"/>
    <x v="20"/>
    <n v="1"/>
    <s v="OK"/>
    <n v="6104.63"/>
    <s v="OK"/>
    <n v="4349.95"/>
    <x v="1"/>
    <s v="OK"/>
  </r>
  <r>
    <s v="TXN10868"/>
    <d v="2025-01-24T00:00:00"/>
    <x v="5"/>
    <x v="3"/>
    <x v="1"/>
    <x v="9"/>
    <n v="3"/>
    <s v="OK"/>
    <n v="15211.57"/>
    <s v="OK"/>
    <n v="10117.66"/>
    <x v="2"/>
    <s v="OK"/>
  </r>
  <r>
    <s v="TXN10294"/>
    <d v="2025-01-25T00:00:00"/>
    <x v="21"/>
    <x v="3"/>
    <x v="1"/>
    <x v="27"/>
    <n v="1"/>
    <s v="OK"/>
    <n v="7951.91"/>
    <s v="OK"/>
    <n v="6584.5"/>
    <x v="4"/>
    <s v="OK"/>
  </r>
  <r>
    <s v="TXN10127"/>
    <d v="2025-01-26T00:00:00"/>
    <x v="18"/>
    <x v="3"/>
    <x v="2"/>
    <x v="8"/>
    <n v="8"/>
    <s v="OK"/>
    <n v="5896.74"/>
    <s v="OK"/>
    <n v="5000.25"/>
    <x v="4"/>
    <s v="OK"/>
  </r>
  <r>
    <s v="TXN10233"/>
    <d v="2025-01-26T00:00:00"/>
    <x v="23"/>
    <x v="4"/>
    <x v="4"/>
    <x v="6"/>
    <n v="5"/>
    <s v="OK"/>
    <n v="1858.41"/>
    <s v="OK"/>
    <n v="1563.24"/>
    <x v="0"/>
    <s v="OK"/>
  </r>
  <r>
    <s v="TXN10032"/>
    <d v="2025-01-26T00:00:00"/>
    <x v="16"/>
    <x v="3"/>
    <x v="4"/>
    <x v="6"/>
    <n v="8"/>
    <s v="OK"/>
    <n v="1884.26"/>
    <s v="OK"/>
    <n v="1566.57"/>
    <x v="4"/>
    <s v="OK"/>
  </r>
  <r>
    <s v="TXN10230"/>
    <d v="2025-01-26T00:00:00"/>
    <x v="9"/>
    <x v="5"/>
    <x v="3"/>
    <x v="24"/>
    <n v="5"/>
    <s v="OK"/>
    <n v="5699.62"/>
    <s v="OK"/>
    <n v="4760.17"/>
    <x v="0"/>
    <s v="OK"/>
  </r>
  <r>
    <s v="TXN11023"/>
    <d v="2025-01-27T00:00:00"/>
    <x v="25"/>
    <x v="3"/>
    <x v="1"/>
    <x v="9"/>
    <n v="5"/>
    <s v="OK"/>
    <n v="15433.79"/>
    <s v="OK"/>
    <n v="10534.42"/>
    <x v="2"/>
    <s v="OK"/>
  </r>
  <r>
    <s v="TXN10512"/>
    <d v="2025-01-27T00:00:00"/>
    <x v="16"/>
    <x v="5"/>
    <x v="4"/>
    <x v="18"/>
    <n v="5"/>
    <s v="OK"/>
    <n v="1844.29"/>
    <s v="OK"/>
    <n v="1362.9"/>
    <x v="3"/>
    <s v="OK"/>
  </r>
  <r>
    <s v="TXN10750"/>
    <d v="2025-01-27T00:00:00"/>
    <x v="16"/>
    <x v="3"/>
    <x v="4"/>
    <x v="6"/>
    <n v="3"/>
    <s v="OK"/>
    <n v="1758.05"/>
    <s v="OK"/>
    <n v="1243.22"/>
    <x v="0"/>
    <s v="OK"/>
  </r>
  <r>
    <s v="TXN10091"/>
    <d v="2025-01-27T00:00:00"/>
    <x v="27"/>
    <x v="2"/>
    <x v="4"/>
    <x v="26"/>
    <n v="5"/>
    <s v="OK"/>
    <n v="3308.46"/>
    <s v="OK"/>
    <n v="2341.23"/>
    <x v="1"/>
    <s v="OK"/>
  </r>
  <r>
    <s v="TXN10026"/>
    <d v="2025-01-28T00:00:00"/>
    <x v="2"/>
    <x v="2"/>
    <x v="0"/>
    <x v="11"/>
    <n v="2"/>
    <s v="OK"/>
    <n v="339.41"/>
    <s v="OK"/>
    <n v="268.24"/>
    <x v="1"/>
    <s v="OK"/>
  </r>
  <r>
    <s v="TXN10860"/>
    <d v="2025-01-28T00:00:00"/>
    <x v="6"/>
    <x v="5"/>
    <x v="1"/>
    <x v="22"/>
    <n v="2"/>
    <s v="OK"/>
    <n v="9418.11"/>
    <s v="OK"/>
    <n v="5263.1"/>
    <x v="4"/>
    <s v="OK"/>
  </r>
  <r>
    <s v="TXN10339"/>
    <d v="2025-01-28T00:00:00"/>
    <x v="29"/>
    <x v="0"/>
    <x v="0"/>
    <x v="0"/>
    <n v="6"/>
    <s v="OK"/>
    <n v="2389.2399999999998"/>
    <s v="OK"/>
    <n v="1696.17"/>
    <x v="4"/>
    <s v="OK"/>
  </r>
  <r>
    <s v="TXN10658"/>
    <d v="2025-01-28T00:00:00"/>
    <x v="28"/>
    <x v="3"/>
    <x v="2"/>
    <x v="12"/>
    <n v="8"/>
    <s v="OK"/>
    <n v="4721.3999999999996"/>
    <s v="OK"/>
    <n v="2609.7600000000002"/>
    <x v="0"/>
    <s v="OK"/>
  </r>
  <r>
    <s v="TXN10508"/>
    <d v="2025-01-28T00:00:00"/>
    <x v="20"/>
    <x v="2"/>
    <x v="4"/>
    <x v="18"/>
    <n v="1"/>
    <s v="OK"/>
    <n v="2666.93"/>
    <s v="OK"/>
    <n v="1645.55"/>
    <x v="0"/>
    <s v="OK"/>
  </r>
  <r>
    <s v="TXN11095"/>
    <d v="2025-01-28T00:00:00"/>
    <x v="5"/>
    <x v="5"/>
    <x v="3"/>
    <x v="21"/>
    <n v="4"/>
    <s v="OK"/>
    <n v="4907.9799999999996"/>
    <s v="OK"/>
    <n v="3827.1"/>
    <x v="4"/>
    <s v="OK"/>
  </r>
  <r>
    <s v="TXN10376"/>
    <d v="2025-01-29T00:00:00"/>
    <x v="27"/>
    <x v="2"/>
    <x v="2"/>
    <x v="12"/>
    <n v="8"/>
    <s v="OK"/>
    <n v="-538.55999999999995"/>
    <s v="Negative Sales"/>
    <n v="3673.85"/>
    <x v="4"/>
    <s v="Sales &lt; Cost"/>
  </r>
  <r>
    <s v="TXN10702"/>
    <d v="2025-01-29T00:00:00"/>
    <x v="7"/>
    <x v="0"/>
    <x v="0"/>
    <x v="2"/>
    <n v="5"/>
    <s v="OK"/>
    <n v="1499.37"/>
    <s v="OK"/>
    <n v="1160.22"/>
    <x v="2"/>
    <s v="OK"/>
  </r>
  <r>
    <s v="TXN10441"/>
    <d v="2025-01-29T00:00:00"/>
    <x v="24"/>
    <x v="2"/>
    <x v="2"/>
    <x v="12"/>
    <n v="3"/>
    <s v="OK"/>
    <n v="833.07"/>
    <s v="OK"/>
    <n v="653.26"/>
    <x v="0"/>
    <s v="OK"/>
  </r>
  <r>
    <s v="TXN10824"/>
    <d v="2025-01-29T00:00:00"/>
    <x v="5"/>
    <x v="4"/>
    <x v="2"/>
    <x v="3"/>
    <n v="6"/>
    <s v="OK"/>
    <n v="3023.88"/>
    <s v="OK"/>
    <n v="2377.58"/>
    <x v="0"/>
    <s v="OK"/>
  </r>
  <r>
    <s v="TXN11122"/>
    <d v="2025-01-30T00:00:00"/>
    <x v="12"/>
    <x v="2"/>
    <x v="0"/>
    <x v="0"/>
    <n v="6"/>
    <s v="OK"/>
    <n v="2208.08"/>
    <s v="OK"/>
    <n v="1801.95"/>
    <x v="1"/>
    <s v="OK"/>
  </r>
  <r>
    <s v="TXN10019"/>
    <d v="2025-01-30T00:00:00"/>
    <x v="10"/>
    <x v="0"/>
    <x v="4"/>
    <x v="26"/>
    <n v="4"/>
    <s v="OK"/>
    <n v="3103.53"/>
    <s v="OK"/>
    <n v="2676.77"/>
    <x v="1"/>
    <s v="OK"/>
  </r>
  <r>
    <s v="TXN10965"/>
    <d v="2025-01-30T00:00:00"/>
    <x v="12"/>
    <x v="3"/>
    <x v="3"/>
    <x v="21"/>
    <n v="5"/>
    <s v="OK"/>
    <n v="2806.18"/>
    <s v="OK"/>
    <n v="2363.67"/>
    <x v="2"/>
    <s v="OK"/>
  </r>
  <r>
    <s v="TXN10408"/>
    <d v="2025-01-31T00:00:00"/>
    <x v="5"/>
    <x v="3"/>
    <x v="3"/>
    <x v="19"/>
    <n v="1"/>
    <s v="OK"/>
    <n v="1312.42"/>
    <s v="OK"/>
    <n v="1027.03"/>
    <x v="4"/>
    <s v="OK"/>
  </r>
  <r>
    <s v="TXN10271"/>
    <d v="2025-01-31T00:00:00"/>
    <x v="2"/>
    <x v="0"/>
    <x v="1"/>
    <x v="9"/>
    <n v="2"/>
    <s v="OK"/>
    <n v="17762.95"/>
    <s v="OK"/>
    <n v="12536.8"/>
    <x v="3"/>
    <s v="OK"/>
  </r>
  <r>
    <s v="TXN11000"/>
    <d v="2025-01-31T00:00:00"/>
    <x v="30"/>
    <x v="3"/>
    <x v="3"/>
    <x v="24"/>
    <n v="8"/>
    <s v="OK"/>
    <n v="2003.17"/>
    <s v="OK"/>
    <n v="1267.5899999999999"/>
    <x v="0"/>
    <s v="OK"/>
  </r>
  <r>
    <s v="TXN10845"/>
    <d v="2025-01-31T00:00:00"/>
    <x v="16"/>
    <x v="3"/>
    <x v="2"/>
    <x v="3"/>
    <n v="8"/>
    <s v="OK"/>
    <n v="1184.8900000000001"/>
    <s v="OK"/>
    <n v="750.62"/>
    <x v="1"/>
    <s v="OK"/>
  </r>
  <r>
    <s v="TXN10066"/>
    <d v="2025-02-01T00:00:00"/>
    <x v="5"/>
    <x v="4"/>
    <x v="0"/>
    <x v="2"/>
    <n v="4"/>
    <s v="OK"/>
    <n v="2115.65"/>
    <s v="OK"/>
    <n v="1435.53"/>
    <x v="2"/>
    <s v="OK"/>
  </r>
  <r>
    <s v="TXN11022"/>
    <d v="2025-02-01T00:00:00"/>
    <x v="5"/>
    <x v="3"/>
    <x v="1"/>
    <x v="20"/>
    <n v="8"/>
    <s v="OK"/>
    <n v="1836.89"/>
    <s v="OK"/>
    <n v="1380.5"/>
    <x v="0"/>
    <s v="OK"/>
  </r>
  <r>
    <s v="TXN10427"/>
    <d v="2025-02-01T00:00:00"/>
    <x v="18"/>
    <x v="5"/>
    <x v="4"/>
    <x v="18"/>
    <n v="3"/>
    <s v="OK"/>
    <n v="2694.76"/>
    <s v="OK"/>
    <n v="2075.6799999999998"/>
    <x v="1"/>
    <s v="OK"/>
  </r>
  <r>
    <s v="TXN10245"/>
    <d v="2025-02-01T00:00:00"/>
    <x v="17"/>
    <x v="4"/>
    <x v="0"/>
    <x v="11"/>
    <n v="3"/>
    <s v="OK"/>
    <n v="1392.97"/>
    <s v="OK"/>
    <n v="1023.96"/>
    <x v="0"/>
    <s v="OK"/>
  </r>
  <r>
    <s v="TXN10451"/>
    <d v="2025-02-02T00:00:00"/>
    <x v="30"/>
    <x v="3"/>
    <x v="1"/>
    <x v="28"/>
    <n v="6"/>
    <s v="OK"/>
    <n v="17800.97"/>
    <s v="OK"/>
    <n v="13553.59"/>
    <x v="3"/>
    <s v="OK"/>
  </r>
  <r>
    <s v="TXN11118"/>
    <d v="2025-02-02T00:00:00"/>
    <x v="25"/>
    <x v="2"/>
    <x v="1"/>
    <x v="1"/>
    <n v="6"/>
    <s v="OK"/>
    <n v="-718.66"/>
    <s v="Negative Sales"/>
    <n v="883.05"/>
    <x v="0"/>
    <s v="Sales &lt; Cost"/>
  </r>
  <r>
    <s v="TXN11040"/>
    <d v="2025-02-03T00:00:00"/>
    <x v="28"/>
    <x v="4"/>
    <x v="0"/>
    <x v="11"/>
    <n v="2"/>
    <s v="OK"/>
    <n v="532.19000000000005"/>
    <s v="OK"/>
    <n v="455.01"/>
    <x v="4"/>
    <s v="OK"/>
  </r>
  <r>
    <s v="TXN10983"/>
    <d v="2025-02-04T00:00:00"/>
    <x v="11"/>
    <x v="3"/>
    <x v="2"/>
    <x v="12"/>
    <n v="1"/>
    <s v="OK"/>
    <n v="3156"/>
    <s v="OK"/>
    <n v="2332.63"/>
    <x v="2"/>
    <s v="OK"/>
  </r>
  <r>
    <s v="TXN10200"/>
    <d v="2025-02-04T00:00:00"/>
    <x v="1"/>
    <x v="0"/>
    <x v="1"/>
    <x v="1"/>
    <n v="6"/>
    <s v="OK"/>
    <n v="5023.25"/>
    <s v="OK"/>
    <n v="3852.05"/>
    <x v="1"/>
    <s v="OK"/>
  </r>
  <r>
    <s v="TXN10667"/>
    <d v="2025-02-04T00:00:00"/>
    <x v="6"/>
    <x v="4"/>
    <x v="3"/>
    <x v="19"/>
    <n v="2"/>
    <s v="OK"/>
    <n v="1512.74"/>
    <s v="OK"/>
    <n v="1251.0999999999999"/>
    <x v="4"/>
    <s v="OK"/>
  </r>
  <r>
    <s v="TXN10368"/>
    <d v="2025-02-04T00:00:00"/>
    <x v="17"/>
    <x v="3"/>
    <x v="1"/>
    <x v="9"/>
    <n v="1"/>
    <s v="OK"/>
    <n v="5383.37"/>
    <s v="OK"/>
    <n v="3031.61"/>
    <x v="1"/>
    <s v="OK"/>
  </r>
  <r>
    <s v="TXN10211"/>
    <d v="2025-02-04T00:00:00"/>
    <x v="12"/>
    <x v="2"/>
    <x v="1"/>
    <x v="20"/>
    <n v="4"/>
    <s v="OK"/>
    <n v="14212.61"/>
    <s v="OK"/>
    <n v="9535.08"/>
    <x v="0"/>
    <s v="OK"/>
  </r>
  <r>
    <s v="TXN11026"/>
    <d v="2025-02-04T00:00:00"/>
    <x v="15"/>
    <x v="3"/>
    <x v="1"/>
    <x v="9"/>
    <n v="4"/>
    <s v="OK"/>
    <n v="16364.73"/>
    <s v="OK"/>
    <n v="9680.9500000000007"/>
    <x v="2"/>
    <s v="OK"/>
  </r>
  <r>
    <s v="TXN10033"/>
    <d v="2025-02-05T00:00:00"/>
    <x v="16"/>
    <x v="4"/>
    <x v="1"/>
    <x v="20"/>
    <n v="2"/>
    <s v="OK"/>
    <n v="12446.13"/>
    <s v="OK"/>
    <n v="7811.41"/>
    <x v="1"/>
    <s v="OK"/>
  </r>
  <r>
    <s v="TXN11114"/>
    <d v="2025-02-05T00:00:00"/>
    <x v="22"/>
    <x v="2"/>
    <x v="1"/>
    <x v="22"/>
    <n v="7"/>
    <s v="OK"/>
    <n v="9876.85"/>
    <s v="OK"/>
    <n v="7565.59"/>
    <x v="0"/>
    <s v="OK"/>
  </r>
  <r>
    <s v="TXN10023"/>
    <d v="2025-02-06T00:00:00"/>
    <x v="4"/>
    <x v="4"/>
    <x v="3"/>
    <x v="24"/>
    <n v="1"/>
    <s v="OK"/>
    <n v="1759.18"/>
    <s v="OK"/>
    <n v="1493.17"/>
    <x v="3"/>
    <s v="OK"/>
  </r>
  <r>
    <s v="TXN10409"/>
    <d v="2025-02-07T00:00:00"/>
    <x v="17"/>
    <x v="3"/>
    <x v="2"/>
    <x v="12"/>
    <n v="-1"/>
    <s v="Negative Quantity"/>
    <n v="5049.95"/>
    <s v="OK"/>
    <n v="3880.92"/>
    <x v="2"/>
    <s v="OK"/>
  </r>
  <r>
    <s v="TXN10309"/>
    <d v="2025-02-07T00:00:00"/>
    <x v="25"/>
    <x v="4"/>
    <x v="4"/>
    <x v="26"/>
    <m/>
    <s v="Blank"/>
    <n v="1120.9100000000001"/>
    <s v="OK"/>
    <n v="757.06"/>
    <x v="4"/>
    <s v="OK"/>
  </r>
  <r>
    <s v="TXN10124"/>
    <d v="2025-02-07T00:00:00"/>
    <x v="7"/>
    <x v="0"/>
    <x v="2"/>
    <x v="16"/>
    <n v="8"/>
    <s v="OK"/>
    <n v="6638.56"/>
    <s v="OK"/>
    <n v="5814.88"/>
    <x v="3"/>
    <s v="OK"/>
  </r>
  <r>
    <s v="TXN10172"/>
    <d v="2025-02-08T00:00:00"/>
    <x v="29"/>
    <x v="4"/>
    <x v="3"/>
    <x v="5"/>
    <n v="3"/>
    <s v="OK"/>
    <n v="5732.11"/>
    <s v="OK"/>
    <n v="4340.49"/>
    <x v="0"/>
    <s v="OK"/>
  </r>
  <r>
    <s v="TXN11079"/>
    <d v="2025-02-09T00:00:00"/>
    <x v="26"/>
    <x v="3"/>
    <x v="0"/>
    <x v="7"/>
    <n v="1"/>
    <s v="OK"/>
    <n v="1757.98"/>
    <s v="OK"/>
    <n v="1055.94"/>
    <x v="3"/>
    <s v="OK"/>
  </r>
  <r>
    <s v="TXN10643"/>
    <d v="2025-02-09T00:00:00"/>
    <x v="20"/>
    <x v="4"/>
    <x v="3"/>
    <x v="5"/>
    <n v="6"/>
    <s v="OK"/>
    <n v="4860.97"/>
    <s v="OK"/>
    <n v="2950.89"/>
    <x v="2"/>
    <s v="OK"/>
  </r>
  <r>
    <s v="TXN11230"/>
    <d v="2025-02-09T00:00:00"/>
    <x v="12"/>
    <x v="0"/>
    <x v="4"/>
    <x v="29"/>
    <n v="1"/>
    <s v="OK"/>
    <n v="3050.57"/>
    <s v="OK"/>
    <n v="2662.4"/>
    <x v="4"/>
    <s v="OK"/>
  </r>
  <r>
    <s v="TXN11246"/>
    <d v="2025-02-09T00:00:00"/>
    <x v="29"/>
    <x v="3"/>
    <x v="2"/>
    <x v="3"/>
    <n v="8"/>
    <s v="OK"/>
    <n v="3550.95"/>
    <s v="OK"/>
    <n v="2717.87"/>
    <x v="0"/>
    <s v="OK"/>
  </r>
  <r>
    <s v="TXN10306"/>
    <d v="2025-02-10T00:00:00"/>
    <x v="5"/>
    <x v="2"/>
    <x v="3"/>
    <x v="5"/>
    <n v="6"/>
    <s v="OK"/>
    <n v="795.33"/>
    <s v="OK"/>
    <n v="552.15"/>
    <x v="1"/>
    <s v="OK"/>
  </r>
  <r>
    <s v="TXN10931"/>
    <d v="2025-02-10T00:00:00"/>
    <x v="25"/>
    <x v="0"/>
    <x v="0"/>
    <x v="2"/>
    <n v="8"/>
    <s v="OK"/>
    <n v="890.9"/>
    <s v="OK"/>
    <n v="779.34"/>
    <x v="3"/>
    <s v="OK"/>
  </r>
  <r>
    <s v="TXN10608"/>
    <d v="2025-02-10T00:00:00"/>
    <x v="22"/>
    <x v="2"/>
    <x v="3"/>
    <x v="19"/>
    <n v="7"/>
    <s v="OK"/>
    <n v="3939.28"/>
    <s v="OK"/>
    <n v="2838.18"/>
    <x v="2"/>
    <s v="OK"/>
  </r>
  <r>
    <s v="TXN11098"/>
    <d v="2025-02-10T00:00:00"/>
    <x v="22"/>
    <x v="5"/>
    <x v="3"/>
    <x v="21"/>
    <n v="7"/>
    <s v="OK"/>
    <n v="4487.4399999999996"/>
    <s v="OK"/>
    <n v="2929.32"/>
    <x v="4"/>
    <s v="OK"/>
  </r>
  <r>
    <s v="TXN11240"/>
    <d v="2025-02-10T00:00:00"/>
    <x v="11"/>
    <x v="5"/>
    <x v="4"/>
    <x v="26"/>
    <n v="4"/>
    <s v="OK"/>
    <n v="500.46"/>
    <s v="OK"/>
    <n v="369.25"/>
    <x v="0"/>
    <s v="OK"/>
  </r>
  <r>
    <s v="TXN10803"/>
    <d v="2025-02-11T00:00:00"/>
    <x v="26"/>
    <x v="4"/>
    <x v="3"/>
    <x v="5"/>
    <n v="6"/>
    <s v="OK"/>
    <n v="4546.68"/>
    <s v="OK"/>
    <n v="2582.91"/>
    <x v="3"/>
    <s v="OK"/>
  </r>
  <r>
    <s v="TXN10095"/>
    <d v="2025-02-11T00:00:00"/>
    <x v="6"/>
    <x v="5"/>
    <x v="4"/>
    <x v="29"/>
    <n v="3"/>
    <s v="OK"/>
    <n v="1029.56"/>
    <s v="OK"/>
    <n v="753.8"/>
    <x v="4"/>
    <s v="OK"/>
  </r>
  <r>
    <s v="TXN11162"/>
    <d v="2025-02-12T00:00:00"/>
    <x v="6"/>
    <x v="5"/>
    <x v="0"/>
    <x v="2"/>
    <n v="5"/>
    <s v="OK"/>
    <n v="1756.01"/>
    <s v="OK"/>
    <n v="1510.64"/>
    <x v="4"/>
    <s v="OK"/>
  </r>
  <r>
    <s v="TXN10370"/>
    <d v="2025-02-12T00:00:00"/>
    <x v="26"/>
    <x v="4"/>
    <x v="3"/>
    <x v="19"/>
    <n v="5"/>
    <s v="OK"/>
    <n v="934.62"/>
    <s v="OK"/>
    <n v="798.08"/>
    <x v="4"/>
    <s v="OK"/>
  </r>
  <r>
    <s v="TXN11051"/>
    <d v="2025-02-12T00:00:00"/>
    <x v="4"/>
    <x v="0"/>
    <x v="1"/>
    <x v="1"/>
    <n v="5"/>
    <s v="OK"/>
    <n v="15308.52"/>
    <s v="OK"/>
    <n v="11010.21"/>
    <x v="1"/>
    <s v="OK"/>
  </r>
  <r>
    <s v="TXN10998"/>
    <d v="2025-02-12T00:00:00"/>
    <x v="30"/>
    <x v="4"/>
    <x v="0"/>
    <x v="2"/>
    <n v="4"/>
    <s v="OK"/>
    <n v="2000.63"/>
    <s v="OK"/>
    <n v="1194.3399999999999"/>
    <x v="2"/>
    <s v="OK"/>
  </r>
  <r>
    <s v="TXN10935"/>
    <d v="2025-02-12T00:00:00"/>
    <x v="28"/>
    <x v="5"/>
    <x v="0"/>
    <x v="10"/>
    <n v="7"/>
    <s v="OK"/>
    <n v="2216.54"/>
    <s v="OK"/>
    <n v="1436.81"/>
    <x v="2"/>
    <s v="OK"/>
  </r>
  <r>
    <s v="TXN10654"/>
    <d v="2025-02-13T00:00:00"/>
    <x v="23"/>
    <x v="3"/>
    <x v="4"/>
    <x v="26"/>
    <n v="2"/>
    <s v="OK"/>
    <n v="2653.64"/>
    <s v="OK"/>
    <n v="1672.34"/>
    <x v="2"/>
    <s v="OK"/>
  </r>
  <r>
    <s v="TXN10313"/>
    <d v="2025-02-13T00:00:00"/>
    <x v="11"/>
    <x v="0"/>
    <x v="0"/>
    <x v="2"/>
    <n v="4"/>
    <s v="OK"/>
    <n v="1515.51"/>
    <s v="OK"/>
    <n v="918.34"/>
    <x v="0"/>
    <s v="OK"/>
  </r>
  <r>
    <s v="TXN10990"/>
    <d v="2025-02-13T00:00:00"/>
    <x v="4"/>
    <x v="3"/>
    <x v="2"/>
    <x v="4"/>
    <n v="6"/>
    <s v="OK"/>
    <n v="3051.87"/>
    <s v="OK"/>
    <n v="1723.83"/>
    <x v="1"/>
    <s v="OK"/>
  </r>
  <r>
    <s v="TXN10951"/>
    <d v="2025-02-14T00:00:00"/>
    <x v="8"/>
    <x v="5"/>
    <x v="4"/>
    <x v="29"/>
    <n v="8"/>
    <s v="OK"/>
    <n v="669.56"/>
    <s v="OK"/>
    <n v="412.33"/>
    <x v="2"/>
    <s v="OK"/>
  </r>
  <r>
    <s v="TXN10570"/>
    <d v="2025-02-14T00:00:00"/>
    <x v="19"/>
    <x v="3"/>
    <x v="1"/>
    <x v="20"/>
    <n v="5"/>
    <s v="OK"/>
    <n v="14232.41"/>
    <s v="OK"/>
    <n v="9486.36"/>
    <x v="0"/>
    <s v="OK"/>
  </r>
  <r>
    <s v="TXN10521"/>
    <d v="2025-02-14T00:00:00"/>
    <x v="11"/>
    <x v="2"/>
    <x v="4"/>
    <x v="6"/>
    <n v="2"/>
    <s v="OK"/>
    <n v="426.37"/>
    <s v="OK"/>
    <n v="346.25"/>
    <x v="2"/>
    <s v="OK"/>
  </r>
  <r>
    <s v="TXN10311"/>
    <d v="2025-02-14T00:00:00"/>
    <x v="17"/>
    <x v="0"/>
    <x v="1"/>
    <x v="20"/>
    <n v="3"/>
    <s v="OK"/>
    <n v="8269.75"/>
    <s v="OK"/>
    <n v="6068.38"/>
    <x v="2"/>
    <s v="OK"/>
  </r>
  <r>
    <s v="TXN10828"/>
    <d v="2025-02-15T00:00:00"/>
    <x v="5"/>
    <x v="3"/>
    <x v="2"/>
    <x v="4"/>
    <n v="1"/>
    <s v="OK"/>
    <n v="3102.44"/>
    <s v="OK"/>
    <n v="2642.52"/>
    <x v="0"/>
    <s v="OK"/>
  </r>
  <r>
    <s v="TXN10913"/>
    <d v="2025-02-15T00:00:00"/>
    <x v="27"/>
    <x v="0"/>
    <x v="0"/>
    <x v="7"/>
    <n v="6"/>
    <s v="OK"/>
    <n v="1833.59"/>
    <s v="OK"/>
    <n v="1270.43"/>
    <x v="3"/>
    <s v="OK"/>
  </r>
  <r>
    <s v="TXN10648"/>
    <d v="2025-02-16T00:00:00"/>
    <x v="9"/>
    <x v="4"/>
    <x v="2"/>
    <x v="3"/>
    <n v="4"/>
    <s v="OK"/>
    <n v="3250.78"/>
    <s v="OK"/>
    <n v="2631.51"/>
    <x v="4"/>
    <s v="OK"/>
  </r>
  <r>
    <s v="TXN11070"/>
    <d v="2025-02-16T00:00:00"/>
    <x v="9"/>
    <x v="4"/>
    <x v="1"/>
    <x v="27"/>
    <n v="5"/>
    <s v="OK"/>
    <n v="11951.72"/>
    <s v="OK"/>
    <n v="10197.629999999999"/>
    <x v="3"/>
    <s v="OK"/>
  </r>
  <r>
    <s v="TXN10681"/>
    <d v="2025-02-16T00:00:00"/>
    <x v="3"/>
    <x v="3"/>
    <x v="3"/>
    <x v="17"/>
    <n v="5"/>
    <s v="OK"/>
    <n v="2282.41"/>
    <s v="OK"/>
    <n v="1743.83"/>
    <x v="4"/>
    <s v="OK"/>
  </r>
  <r>
    <s v="TXN10224"/>
    <d v="2025-02-17T00:00:00"/>
    <x v="6"/>
    <x v="0"/>
    <x v="2"/>
    <x v="3"/>
    <n v="3"/>
    <s v="OK"/>
    <m/>
    <s v="Missing Sales"/>
    <n v="3193.34"/>
    <x v="4"/>
    <s v="Missing Data"/>
  </r>
  <r>
    <s v="TXN10969"/>
    <d v="2025-02-17T00:00:00"/>
    <x v="21"/>
    <x v="4"/>
    <x v="4"/>
    <x v="26"/>
    <n v="5"/>
    <s v="OK"/>
    <n v="1944.34"/>
    <s v="OK"/>
    <n v="1555.13"/>
    <x v="4"/>
    <s v="OK"/>
  </r>
  <r>
    <s v="TXN10876"/>
    <d v="2025-02-17T00:00:00"/>
    <x v="28"/>
    <x v="5"/>
    <x v="2"/>
    <x v="8"/>
    <n v="2"/>
    <s v="OK"/>
    <n v="4306.3100000000004"/>
    <s v="OK"/>
    <n v="2756.94"/>
    <x v="2"/>
    <s v="OK"/>
  </r>
  <r>
    <s v="TXN10556"/>
    <d v="2025-02-17T00:00:00"/>
    <x v="7"/>
    <x v="4"/>
    <x v="2"/>
    <x v="15"/>
    <n v="8"/>
    <s v="OK"/>
    <n v="4751.99"/>
    <s v="OK"/>
    <n v="4028.05"/>
    <x v="2"/>
    <s v="OK"/>
  </r>
  <r>
    <s v="TXN10757"/>
    <d v="2025-02-17T00:00:00"/>
    <x v="23"/>
    <x v="3"/>
    <x v="1"/>
    <x v="9"/>
    <n v="1"/>
    <s v="OK"/>
    <n v="16948.439999999999"/>
    <s v="OK"/>
    <n v="12994.03"/>
    <x v="4"/>
    <s v="OK"/>
  </r>
  <r>
    <s v="TXN10514"/>
    <d v="2025-02-17T00:00:00"/>
    <x v="2"/>
    <x v="4"/>
    <x v="2"/>
    <x v="4"/>
    <n v="6"/>
    <s v="OK"/>
    <n v="1859.91"/>
    <s v="OK"/>
    <n v="1153.9000000000001"/>
    <x v="3"/>
    <s v="OK"/>
  </r>
  <r>
    <s v="TXN10285"/>
    <d v="2025-02-17T00:00:00"/>
    <x v="6"/>
    <x v="3"/>
    <x v="0"/>
    <x v="13"/>
    <n v="4"/>
    <s v="OK"/>
    <n v="318.52999999999997"/>
    <s v="OK"/>
    <n v="214.84"/>
    <x v="2"/>
    <s v="OK"/>
  </r>
  <r>
    <s v="TXN10910"/>
    <d v="2025-02-18T00:00:00"/>
    <x v="24"/>
    <x v="4"/>
    <x v="4"/>
    <x v="6"/>
    <n v="1"/>
    <s v="OK"/>
    <n v="419.37"/>
    <s v="OK"/>
    <n v="359.51"/>
    <x v="0"/>
    <s v="OK"/>
  </r>
  <r>
    <s v="TXN10933"/>
    <d v="2025-02-18T00:00:00"/>
    <x v="15"/>
    <x v="4"/>
    <x v="0"/>
    <x v="2"/>
    <n v="8"/>
    <s v="OK"/>
    <n v="1719.97"/>
    <s v="OK"/>
    <n v="1268.6500000000001"/>
    <x v="3"/>
    <s v="OK"/>
  </r>
  <r>
    <s v="TXN10775"/>
    <d v="2025-02-19T00:00:00"/>
    <x v="29"/>
    <x v="3"/>
    <x v="1"/>
    <x v="1"/>
    <n v="8"/>
    <s v="OK"/>
    <n v="11351.96"/>
    <s v="OK"/>
    <n v="9372.93"/>
    <x v="1"/>
    <s v="OK"/>
  </r>
  <r>
    <s v="TXN10555"/>
    <d v="2025-02-19T00:00:00"/>
    <x v="12"/>
    <x v="2"/>
    <x v="3"/>
    <x v="21"/>
    <n v="3"/>
    <s v="OK"/>
    <n v="3117.28"/>
    <s v="OK"/>
    <n v="2346.9"/>
    <x v="1"/>
    <s v="OK"/>
  </r>
  <r>
    <s v="TXN10869"/>
    <d v="2025-02-19T00:00:00"/>
    <x v="11"/>
    <x v="3"/>
    <x v="4"/>
    <x v="23"/>
    <n v="7"/>
    <s v="OK"/>
    <n v="1371.71"/>
    <s v="OK"/>
    <n v="916.21"/>
    <x v="3"/>
    <s v="OK"/>
  </r>
  <r>
    <s v="TXN10120"/>
    <d v="2025-02-20T00:00:00"/>
    <x v="4"/>
    <x v="3"/>
    <x v="1"/>
    <x v="28"/>
    <n v="2"/>
    <s v="OK"/>
    <n v="8486.9"/>
    <s v="OK"/>
    <n v="6611.47"/>
    <x v="1"/>
    <s v="OK"/>
  </r>
  <r>
    <s v="TXN10789"/>
    <d v="2025-02-20T00:00:00"/>
    <x v="4"/>
    <x v="3"/>
    <x v="4"/>
    <x v="26"/>
    <n v="4"/>
    <s v="OK"/>
    <n v="2647.68"/>
    <s v="OK"/>
    <n v="2216.27"/>
    <x v="0"/>
    <s v="OK"/>
  </r>
  <r>
    <s v="TXN10848"/>
    <d v="2025-02-20T00:00:00"/>
    <x v="4"/>
    <x v="4"/>
    <x v="2"/>
    <x v="15"/>
    <n v="1"/>
    <s v="OK"/>
    <n v="3890.34"/>
    <s v="OK"/>
    <n v="3058.65"/>
    <x v="3"/>
    <s v="OK"/>
  </r>
  <r>
    <s v="TXN10873"/>
    <d v="2025-02-20T00:00:00"/>
    <x v="3"/>
    <x v="2"/>
    <x v="4"/>
    <x v="18"/>
    <n v="8"/>
    <s v="OK"/>
    <n v="575.17999999999995"/>
    <s v="OK"/>
    <n v="444.49"/>
    <x v="3"/>
    <s v="OK"/>
  </r>
  <r>
    <s v="TXN10150"/>
    <d v="2025-02-20T00:00:00"/>
    <x v="9"/>
    <x v="4"/>
    <x v="2"/>
    <x v="4"/>
    <n v="2"/>
    <s v="OK"/>
    <n v="6028.43"/>
    <s v="OK"/>
    <n v="4610.5600000000004"/>
    <x v="2"/>
    <s v="OK"/>
  </r>
  <r>
    <s v="TXN10849"/>
    <d v="2025-02-20T00:00:00"/>
    <x v="29"/>
    <x v="4"/>
    <x v="1"/>
    <x v="27"/>
    <n v="4"/>
    <s v="OK"/>
    <n v="16640.16"/>
    <s v="OK"/>
    <n v="13826.77"/>
    <x v="0"/>
    <s v="OK"/>
  </r>
  <r>
    <s v="TXN10421"/>
    <d v="2025-02-21T00:00:00"/>
    <x v="8"/>
    <x v="2"/>
    <x v="3"/>
    <x v="24"/>
    <n v="6"/>
    <s v="OK"/>
    <n v="1630.53"/>
    <s v="OK"/>
    <n v="999.02"/>
    <x v="2"/>
    <s v="OK"/>
  </r>
  <r>
    <s v="TXN10476"/>
    <d v="2025-02-21T00:00:00"/>
    <x v="0"/>
    <x v="3"/>
    <x v="2"/>
    <x v="15"/>
    <n v="5"/>
    <s v="OK"/>
    <n v="4652.62"/>
    <s v="OK"/>
    <n v="3260.22"/>
    <x v="3"/>
    <s v="OK"/>
  </r>
  <r>
    <s v="TXN10333"/>
    <d v="2025-02-22T00:00:00"/>
    <x v="18"/>
    <x v="3"/>
    <x v="1"/>
    <x v="9"/>
    <n v="3"/>
    <s v="OK"/>
    <n v="7155.06"/>
    <s v="OK"/>
    <n v="4400.6099999999997"/>
    <x v="1"/>
    <s v="OK"/>
  </r>
  <r>
    <s v="TXN10481"/>
    <d v="2025-02-23T00:00:00"/>
    <x v="15"/>
    <x v="5"/>
    <x v="1"/>
    <x v="20"/>
    <n v="7"/>
    <s v="OK"/>
    <n v="16481.98"/>
    <s v="OK"/>
    <n v="11690.38"/>
    <x v="2"/>
    <s v="OK"/>
  </r>
  <r>
    <s v="TXN10855"/>
    <d v="2025-02-23T00:00:00"/>
    <x v="29"/>
    <x v="3"/>
    <x v="0"/>
    <x v="11"/>
    <n v="7"/>
    <s v="OK"/>
    <n v="1207.53"/>
    <s v="OK"/>
    <n v="926.56"/>
    <x v="1"/>
    <s v="OK"/>
  </r>
  <r>
    <s v="TXN10494"/>
    <d v="2025-02-24T00:00:00"/>
    <x v="26"/>
    <x v="4"/>
    <x v="4"/>
    <x v="29"/>
    <n v="1"/>
    <s v="OK"/>
    <n v="3164.85"/>
    <s v="OK"/>
    <n v="2254.9499999999998"/>
    <x v="0"/>
    <s v="OK"/>
  </r>
  <r>
    <s v="TXN10310"/>
    <d v="2025-02-24T00:00:00"/>
    <x v="24"/>
    <x v="2"/>
    <x v="4"/>
    <x v="14"/>
    <n v="2"/>
    <s v="OK"/>
    <n v="266.88"/>
    <s v="OK"/>
    <n v="173.93"/>
    <x v="3"/>
    <s v="OK"/>
  </r>
  <r>
    <s v="TXN10504"/>
    <d v="2025-02-24T00:00:00"/>
    <x v="30"/>
    <x v="2"/>
    <x v="1"/>
    <x v="9"/>
    <n v="1"/>
    <s v="OK"/>
    <n v="7412.88"/>
    <s v="OK"/>
    <n v="4206.8900000000003"/>
    <x v="1"/>
    <s v="OK"/>
  </r>
  <r>
    <s v="TXN10316"/>
    <d v="2025-02-24T00:00:00"/>
    <x v="8"/>
    <x v="4"/>
    <x v="3"/>
    <x v="17"/>
    <n v="3"/>
    <s v="OK"/>
    <n v="2175.62"/>
    <s v="OK"/>
    <n v="1877.8"/>
    <x v="3"/>
    <s v="OK"/>
  </r>
  <r>
    <s v="TXN10676"/>
    <d v="2025-02-25T00:00:00"/>
    <x v="26"/>
    <x v="4"/>
    <x v="1"/>
    <x v="9"/>
    <n v="8"/>
    <s v="OK"/>
    <n v="8713"/>
    <s v="OK"/>
    <n v="7315.98"/>
    <x v="4"/>
    <s v="OK"/>
  </r>
  <r>
    <s v="TXN10416"/>
    <d v="2025-02-25T00:00:00"/>
    <x v="19"/>
    <x v="3"/>
    <x v="4"/>
    <x v="14"/>
    <n v="1"/>
    <s v="OK"/>
    <n v="406.48"/>
    <s v="OK"/>
    <n v="282.35000000000002"/>
    <x v="0"/>
    <s v="OK"/>
  </r>
  <r>
    <s v="TXN10554"/>
    <d v="2025-02-25T00:00:00"/>
    <x v="4"/>
    <x v="2"/>
    <x v="0"/>
    <x v="7"/>
    <n v="1"/>
    <s v="OK"/>
    <n v="665.4"/>
    <s v="OK"/>
    <n v="554.72"/>
    <x v="2"/>
    <s v="OK"/>
  </r>
  <r>
    <s v="TXN10156"/>
    <d v="2025-02-25T00:00:00"/>
    <x v="0"/>
    <x v="3"/>
    <x v="0"/>
    <x v="7"/>
    <n v="6"/>
    <s v="OK"/>
    <n v="2144.36"/>
    <s v="OK"/>
    <n v="1439.5"/>
    <x v="3"/>
    <s v="OK"/>
  </r>
  <r>
    <s v="TXN10146"/>
    <d v="2025-02-25T00:00:00"/>
    <x v="9"/>
    <x v="0"/>
    <x v="2"/>
    <x v="3"/>
    <n v="8"/>
    <s v="OK"/>
    <n v="3725.34"/>
    <s v="OK"/>
    <n v="3211.2"/>
    <x v="1"/>
    <s v="OK"/>
  </r>
  <r>
    <s v="TXN11165"/>
    <d v="2025-02-26T00:00:00"/>
    <x v="25"/>
    <x v="0"/>
    <x v="1"/>
    <x v="9"/>
    <n v="7"/>
    <s v="OK"/>
    <n v="2027.91"/>
    <s v="OK"/>
    <n v="1543.76"/>
    <x v="3"/>
    <s v="OK"/>
  </r>
  <r>
    <s v="TXN10980"/>
    <d v="2025-02-26T00:00:00"/>
    <x v="1"/>
    <x v="3"/>
    <x v="2"/>
    <x v="4"/>
    <n v="2"/>
    <s v="OK"/>
    <n v="2839.27"/>
    <s v="OK"/>
    <n v="1832.93"/>
    <x v="2"/>
    <s v="OK"/>
  </r>
  <r>
    <s v="TXN11242"/>
    <d v="2025-02-26T00:00:00"/>
    <x v="28"/>
    <x v="3"/>
    <x v="1"/>
    <x v="1"/>
    <n v="3"/>
    <s v="OK"/>
    <n v="1926.01"/>
    <s v="OK"/>
    <n v="1467.64"/>
    <x v="2"/>
    <s v="OK"/>
  </r>
  <r>
    <s v="TXN10276"/>
    <d v="2025-02-27T00:00:00"/>
    <x v="0"/>
    <x v="0"/>
    <x v="3"/>
    <x v="5"/>
    <n v="1"/>
    <s v="OK"/>
    <n v="4952.13"/>
    <s v="OK"/>
    <n v="3408.8"/>
    <x v="1"/>
    <s v="OK"/>
  </r>
  <r>
    <s v="TXN11226"/>
    <d v="2025-02-27T00:00:00"/>
    <x v="4"/>
    <x v="3"/>
    <x v="0"/>
    <x v="11"/>
    <n v="8"/>
    <s v="OK"/>
    <n v="589.99"/>
    <s v="OK"/>
    <n v="345.94"/>
    <x v="1"/>
    <s v="OK"/>
  </r>
  <r>
    <s v="TXN11179"/>
    <d v="2025-02-27T00:00:00"/>
    <x v="27"/>
    <x v="2"/>
    <x v="3"/>
    <x v="19"/>
    <n v="6"/>
    <s v="OK"/>
    <n v="5527.25"/>
    <s v="OK"/>
    <n v="3495.56"/>
    <x v="2"/>
    <s v="OK"/>
  </r>
  <r>
    <s v="TXN10682"/>
    <d v="2025-02-28T00:00:00"/>
    <x v="14"/>
    <x v="3"/>
    <x v="1"/>
    <x v="22"/>
    <n v="8"/>
    <s v="OK"/>
    <n v="11742.64"/>
    <s v="OK"/>
    <n v="6789.02"/>
    <x v="0"/>
    <s v="OK"/>
  </r>
  <r>
    <s v="TXN10954"/>
    <d v="2025-02-28T00:00:00"/>
    <x v="28"/>
    <x v="3"/>
    <x v="4"/>
    <x v="23"/>
    <n v="4"/>
    <s v="OK"/>
    <n v="642.24"/>
    <s v="OK"/>
    <n v="400.73"/>
    <x v="3"/>
    <s v="OK"/>
  </r>
  <r>
    <s v="TXN10548"/>
    <d v="2025-02-28T00:00:00"/>
    <x v="12"/>
    <x v="5"/>
    <x v="0"/>
    <x v="13"/>
    <n v="8"/>
    <s v="OK"/>
    <n v="1753.03"/>
    <s v="OK"/>
    <n v="1241.28"/>
    <x v="2"/>
    <s v="OK"/>
  </r>
  <r>
    <s v="TXN10377"/>
    <d v="2025-03-01T00:00:00"/>
    <x v="18"/>
    <x v="3"/>
    <x v="2"/>
    <x v="8"/>
    <n v="4"/>
    <s v="OK"/>
    <n v="5289.15"/>
    <s v="OK"/>
    <n v="2913.52"/>
    <x v="1"/>
    <s v="OK"/>
  </r>
  <r>
    <s v="TXN11129"/>
    <d v="2025-03-01T00:00:00"/>
    <x v="13"/>
    <x v="2"/>
    <x v="3"/>
    <x v="17"/>
    <n v="8"/>
    <s v="OK"/>
    <n v="4144.53"/>
    <s v="OK"/>
    <n v="2608.9699999999998"/>
    <x v="4"/>
    <s v="OK"/>
  </r>
  <r>
    <s v="TXN10705"/>
    <d v="2025-03-01T00:00:00"/>
    <x v="8"/>
    <x v="2"/>
    <x v="3"/>
    <x v="21"/>
    <n v="5"/>
    <s v="OK"/>
    <n v="4378.96"/>
    <s v="OK"/>
    <n v="2862.9"/>
    <x v="1"/>
    <s v="OK"/>
  </r>
  <r>
    <s v="TXN10470"/>
    <d v="2025-03-01T00:00:00"/>
    <x v="6"/>
    <x v="3"/>
    <x v="1"/>
    <x v="27"/>
    <n v="7"/>
    <s v="OK"/>
    <n v="8497.77"/>
    <s v="OK"/>
    <n v="5020.37"/>
    <x v="3"/>
    <s v="OK"/>
  </r>
  <r>
    <s v="TXN10372"/>
    <d v="2025-03-01T00:00:00"/>
    <x v="16"/>
    <x v="5"/>
    <x v="1"/>
    <x v="28"/>
    <n v="8"/>
    <s v="OK"/>
    <n v="11370.28"/>
    <s v="OK"/>
    <n v="6460.13"/>
    <x v="4"/>
    <s v="OK"/>
  </r>
  <r>
    <s v="TXN10489"/>
    <d v="2025-03-02T00:00:00"/>
    <x v="25"/>
    <x v="2"/>
    <x v="0"/>
    <x v="13"/>
    <n v="8"/>
    <s v="OK"/>
    <n v="1914.05"/>
    <s v="OK"/>
    <n v="1063.95"/>
    <x v="0"/>
    <s v="OK"/>
  </r>
  <r>
    <s v="TXN11052"/>
    <d v="2025-03-02T00:00:00"/>
    <x v="19"/>
    <x v="0"/>
    <x v="3"/>
    <x v="24"/>
    <n v="2"/>
    <s v="OK"/>
    <n v="2481.3000000000002"/>
    <s v="OK"/>
    <n v="1811.82"/>
    <x v="3"/>
    <s v="OK"/>
  </r>
  <r>
    <s v="TXN10264"/>
    <d v="2025-03-02T00:00:00"/>
    <x v="10"/>
    <x v="3"/>
    <x v="4"/>
    <x v="29"/>
    <n v="5"/>
    <s v="OK"/>
    <n v="1444.52"/>
    <s v="OK"/>
    <n v="899.76"/>
    <x v="4"/>
    <s v="OK"/>
  </r>
  <r>
    <s v="TXN10287"/>
    <d v="2025-03-02T00:00:00"/>
    <x v="30"/>
    <x v="3"/>
    <x v="3"/>
    <x v="25"/>
    <n v="8"/>
    <s v="OK"/>
    <n v="5529.43"/>
    <s v="OK"/>
    <n v="4310.5"/>
    <x v="4"/>
    <s v="OK"/>
  </r>
  <r>
    <s v="TXN10109"/>
    <d v="2025-03-02T00:00:00"/>
    <x v="25"/>
    <x v="5"/>
    <x v="1"/>
    <x v="28"/>
    <m/>
    <s v="Blank"/>
    <m/>
    <s v="Missing Sales"/>
    <n v="7410.38"/>
    <x v="2"/>
    <s v="Missing Data"/>
  </r>
  <r>
    <s v="TXN10758"/>
    <d v="2025-03-03T00:00:00"/>
    <x v="8"/>
    <x v="3"/>
    <x v="1"/>
    <x v="27"/>
    <n v="2"/>
    <s v="OK"/>
    <n v="15545.14"/>
    <s v="OK"/>
    <n v="9216.24"/>
    <x v="5"/>
    <s v="OK"/>
  </r>
  <r>
    <s v="TXN10777"/>
    <d v="2025-03-03T00:00:00"/>
    <x v="28"/>
    <x v="3"/>
    <x v="0"/>
    <x v="13"/>
    <n v="3"/>
    <s v="OK"/>
    <n v="939.66"/>
    <s v="OK"/>
    <n v="815.95"/>
    <x v="4"/>
    <s v="OK"/>
  </r>
  <r>
    <s v="TXN10380"/>
    <d v="2025-03-03T00:00:00"/>
    <x v="22"/>
    <x v="3"/>
    <x v="2"/>
    <x v="12"/>
    <n v="1"/>
    <s v="OK"/>
    <n v="1583.67"/>
    <s v="OK"/>
    <n v="1291.3699999999999"/>
    <x v="1"/>
    <s v="OK"/>
  </r>
  <r>
    <s v="TXN11194"/>
    <d v="2025-03-03T00:00:00"/>
    <x v="23"/>
    <x v="4"/>
    <x v="3"/>
    <x v="25"/>
    <n v="3"/>
    <s v="OK"/>
    <n v="2707.06"/>
    <s v="OK"/>
    <n v="1733.53"/>
    <x v="4"/>
    <s v="OK"/>
  </r>
  <r>
    <s v="TXN10459"/>
    <d v="2025-03-03T00:00:00"/>
    <x v="25"/>
    <x v="2"/>
    <x v="3"/>
    <x v="21"/>
    <n v="7"/>
    <s v="OK"/>
    <n v="3414.11"/>
    <s v="OK"/>
    <n v="2343.19"/>
    <x v="4"/>
    <s v="OK"/>
  </r>
  <r>
    <s v="TXN11074"/>
    <d v="2025-03-04T00:00:00"/>
    <x v="10"/>
    <x v="2"/>
    <x v="0"/>
    <x v="0"/>
    <n v="6"/>
    <s v="OK"/>
    <n v="376.03"/>
    <s v="OK"/>
    <n v="219.87"/>
    <x v="3"/>
    <s v="OK"/>
  </r>
  <r>
    <s v="TXN10061"/>
    <d v="2025-03-04T00:00:00"/>
    <x v="9"/>
    <x v="3"/>
    <x v="2"/>
    <x v="16"/>
    <n v="8"/>
    <s v="OK"/>
    <n v="1280.04"/>
    <s v="OK"/>
    <n v="900.29"/>
    <x v="2"/>
    <s v="OK"/>
  </r>
  <r>
    <s v="TXN11007"/>
    <d v="2025-03-05T00:00:00"/>
    <x v="26"/>
    <x v="3"/>
    <x v="0"/>
    <x v="11"/>
    <n v="6"/>
    <s v="OK"/>
    <n v="2435.69"/>
    <s v="OK"/>
    <n v="1642.15"/>
    <x v="2"/>
    <s v="OK"/>
  </r>
  <r>
    <s v="TXN10205"/>
    <d v="2025-03-05T00:00:00"/>
    <x v="13"/>
    <x v="3"/>
    <x v="4"/>
    <x v="14"/>
    <n v="6"/>
    <s v="OK"/>
    <n v="1670.09"/>
    <s v="OK"/>
    <n v="1139.01"/>
    <x v="0"/>
    <s v="OK"/>
  </r>
  <r>
    <s v="TXN11021"/>
    <d v="2025-03-05T00:00:00"/>
    <x v="9"/>
    <x v="3"/>
    <x v="0"/>
    <x v="0"/>
    <n v="2"/>
    <s v="OK"/>
    <n v="2441.41"/>
    <s v="OK"/>
    <n v="2081.34"/>
    <x v="0"/>
    <s v="OK"/>
  </r>
  <r>
    <s v="TXN11184"/>
    <d v="2025-03-05T00:00:00"/>
    <x v="21"/>
    <x v="4"/>
    <x v="3"/>
    <x v="17"/>
    <n v="8"/>
    <s v="OK"/>
    <n v="538.01"/>
    <s v="OK"/>
    <n v="432.52"/>
    <x v="3"/>
    <s v="OK"/>
  </r>
  <r>
    <s v="TXN10846"/>
    <d v="2025-03-05T00:00:00"/>
    <x v="30"/>
    <x v="3"/>
    <x v="1"/>
    <x v="22"/>
    <n v="4"/>
    <s v="OK"/>
    <n v="10948.01"/>
    <s v="OK"/>
    <n v="6744.06"/>
    <x v="3"/>
    <s v="OK"/>
  </r>
  <r>
    <s v="TXN10145"/>
    <d v="2025-03-06T00:00:00"/>
    <x v="11"/>
    <x v="5"/>
    <x v="4"/>
    <x v="6"/>
    <n v="7"/>
    <s v="OK"/>
    <n v="1959.78"/>
    <s v="OK"/>
    <n v="1560.12"/>
    <x v="0"/>
    <s v="OK"/>
  </r>
  <r>
    <s v="TXN10220"/>
    <d v="2025-03-06T00:00:00"/>
    <x v="2"/>
    <x v="1"/>
    <x v="2"/>
    <x v="15"/>
    <n v="6"/>
    <s v="OK"/>
    <n v="4639.43"/>
    <s v="OK"/>
    <n v="3240.6"/>
    <x v="2"/>
    <s v="OK"/>
  </r>
  <r>
    <s v="TXN11245"/>
    <d v="2025-03-06T00:00:00"/>
    <x v="18"/>
    <x v="3"/>
    <x v="2"/>
    <x v="4"/>
    <n v="4"/>
    <s v="OK"/>
    <n v="3042.66"/>
    <s v="OK"/>
    <n v="1729.69"/>
    <x v="5"/>
    <s v="OK"/>
  </r>
  <r>
    <s v="TXN11170"/>
    <d v="2025-03-06T00:00:00"/>
    <x v="12"/>
    <x v="4"/>
    <x v="3"/>
    <x v="5"/>
    <n v="3"/>
    <s v="OK"/>
    <n v="2583.4"/>
    <s v="OK"/>
    <n v="2047.83"/>
    <x v="1"/>
    <s v="OK"/>
  </r>
  <r>
    <s v="TXN10745"/>
    <d v="2025-03-06T00:00:00"/>
    <x v="19"/>
    <x v="0"/>
    <x v="0"/>
    <x v="10"/>
    <n v="2"/>
    <s v="OK"/>
    <n v="2158.3200000000002"/>
    <s v="OK"/>
    <n v="1384.97"/>
    <x v="4"/>
    <s v="OK"/>
  </r>
  <r>
    <s v="TXN11136"/>
    <d v="2025-03-06T00:00:00"/>
    <x v="2"/>
    <x v="0"/>
    <x v="4"/>
    <x v="29"/>
    <n v="4"/>
    <s v="OK"/>
    <n v="596.4"/>
    <s v="OK"/>
    <n v="329.83"/>
    <x v="0"/>
    <s v="OK"/>
  </r>
  <r>
    <s v="TXN10020"/>
    <d v="2025-03-06T00:00:00"/>
    <x v="24"/>
    <x v="2"/>
    <x v="1"/>
    <x v="9"/>
    <n v="3"/>
    <s v="OK"/>
    <n v="12181.74"/>
    <s v="OK"/>
    <n v="10506.26"/>
    <x v="4"/>
    <s v="OK"/>
  </r>
  <r>
    <s v="TXN10348"/>
    <d v="2025-03-06T00:00:00"/>
    <x v="10"/>
    <x v="3"/>
    <x v="4"/>
    <x v="29"/>
    <n v="3"/>
    <s v="OK"/>
    <n v="1061.45"/>
    <s v="OK"/>
    <n v="832.98"/>
    <x v="4"/>
    <s v="OK"/>
  </r>
  <r>
    <s v="TXN10721"/>
    <d v="2025-03-07T00:00:00"/>
    <x v="30"/>
    <x v="1"/>
    <x v="2"/>
    <x v="3"/>
    <n v="2"/>
    <s v="OK"/>
    <n v="3077.53"/>
    <s v="OK"/>
    <n v="2418.0500000000002"/>
    <x v="1"/>
    <s v="OK"/>
  </r>
  <r>
    <s v="TXN11128"/>
    <d v="2025-03-07T00:00:00"/>
    <x v="7"/>
    <x v="4"/>
    <x v="2"/>
    <x v="15"/>
    <m/>
    <s v="Blank"/>
    <n v="5659.02"/>
    <s v="OK"/>
    <n v="3675.22"/>
    <x v="2"/>
    <s v="OK"/>
  </r>
  <r>
    <s v="TXN10465"/>
    <d v="2025-03-08T00:00:00"/>
    <x v="4"/>
    <x v="3"/>
    <x v="4"/>
    <x v="14"/>
    <n v="2"/>
    <s v="OK"/>
    <n v="1496.54"/>
    <s v="OK"/>
    <n v="1113.82"/>
    <x v="4"/>
    <s v="OK"/>
  </r>
  <r>
    <s v="TXN10394"/>
    <d v="2025-03-08T00:00:00"/>
    <x v="15"/>
    <x v="3"/>
    <x v="1"/>
    <x v="20"/>
    <n v="4"/>
    <s v="OK"/>
    <n v="14984.82"/>
    <s v="OK"/>
    <n v="10082.370000000001"/>
    <x v="1"/>
    <s v="OK"/>
  </r>
  <r>
    <s v="TXN10165"/>
    <d v="2025-03-08T00:00:00"/>
    <x v="11"/>
    <x v="2"/>
    <x v="0"/>
    <x v="7"/>
    <n v="7"/>
    <s v="OK"/>
    <n v="1424.94"/>
    <s v="OK"/>
    <n v="891.92"/>
    <x v="2"/>
    <s v="OK"/>
  </r>
  <r>
    <s v="TXN10258"/>
    <d v="2025-03-10T00:00:00"/>
    <x v="6"/>
    <x v="4"/>
    <x v="2"/>
    <x v="4"/>
    <n v="8"/>
    <s v="OK"/>
    <n v="2200.7199999999998"/>
    <s v="OK"/>
    <n v="1797.79"/>
    <x v="3"/>
    <s v="OK"/>
  </r>
  <r>
    <s v="TXN11187"/>
    <d v="2025-03-10T00:00:00"/>
    <x v="15"/>
    <x v="5"/>
    <x v="4"/>
    <x v="6"/>
    <n v="7"/>
    <s v="OK"/>
    <n v="1618.43"/>
    <s v="OK"/>
    <n v="1067.03"/>
    <x v="1"/>
    <s v="OK"/>
  </r>
  <r>
    <s v="TXN10701"/>
    <d v="2025-03-11T00:00:00"/>
    <x v="10"/>
    <x v="2"/>
    <x v="1"/>
    <x v="27"/>
    <n v="8"/>
    <s v="OK"/>
    <n v="3557.11"/>
    <s v="OK"/>
    <n v="2497.11"/>
    <x v="2"/>
    <s v="OK"/>
  </r>
  <r>
    <s v="TXN10111"/>
    <d v="2025-03-11T00:00:00"/>
    <x v="10"/>
    <x v="4"/>
    <x v="2"/>
    <x v="8"/>
    <n v="2"/>
    <s v="OK"/>
    <n v="2223.23"/>
    <s v="OK"/>
    <n v="1802.38"/>
    <x v="0"/>
    <s v="OK"/>
  </r>
  <r>
    <s v="TXN10410"/>
    <d v="2025-03-11T00:00:00"/>
    <x v="15"/>
    <x v="0"/>
    <x v="4"/>
    <x v="14"/>
    <n v="3"/>
    <s v="OK"/>
    <n v="2630.14"/>
    <s v="OK"/>
    <n v="1825.76"/>
    <x v="0"/>
    <s v="OK"/>
  </r>
  <r>
    <s v="TXN10835"/>
    <d v="2025-03-11T00:00:00"/>
    <x v="0"/>
    <x v="0"/>
    <x v="0"/>
    <x v="11"/>
    <n v="6"/>
    <s v="OK"/>
    <n v="575.61"/>
    <s v="OK"/>
    <n v="368.38"/>
    <x v="0"/>
    <s v="OK"/>
  </r>
  <r>
    <s v="TXN11038"/>
    <d v="2025-03-12T00:00:00"/>
    <x v="10"/>
    <x v="3"/>
    <x v="1"/>
    <x v="27"/>
    <n v="7"/>
    <s v="OK"/>
    <n v="12098.26"/>
    <s v="OK"/>
    <n v="10187.39"/>
    <x v="3"/>
    <s v="OK"/>
  </r>
  <r>
    <s v="TXN10959"/>
    <d v="2025-03-12T00:00:00"/>
    <x v="0"/>
    <x v="3"/>
    <x v="4"/>
    <x v="14"/>
    <n v="2"/>
    <s v="OK"/>
    <n v="3007.93"/>
    <s v="OK"/>
    <n v="2090.23"/>
    <x v="0"/>
    <s v="OK"/>
  </r>
  <r>
    <s v="TXN10472"/>
    <d v="2025-03-12T00:00:00"/>
    <x v="18"/>
    <x v="4"/>
    <x v="2"/>
    <x v="8"/>
    <n v="7"/>
    <s v="OK"/>
    <n v="5882.31"/>
    <s v="OK"/>
    <n v="3438.93"/>
    <x v="2"/>
    <s v="OK"/>
  </r>
  <r>
    <s v="TXN10293"/>
    <d v="2025-03-13T00:00:00"/>
    <x v="9"/>
    <x v="5"/>
    <x v="4"/>
    <x v="26"/>
    <n v="8"/>
    <s v="OK"/>
    <n v="848.16"/>
    <s v="OK"/>
    <n v="715.41"/>
    <x v="1"/>
    <s v="OK"/>
  </r>
  <r>
    <s v="TXN10261"/>
    <d v="2025-03-13T00:00:00"/>
    <x v="20"/>
    <x v="3"/>
    <x v="1"/>
    <x v="20"/>
    <n v="8"/>
    <s v="OK"/>
    <n v="6433.59"/>
    <s v="OK"/>
    <n v="4065.1"/>
    <x v="3"/>
    <s v="OK"/>
  </r>
  <r>
    <s v="TXN11186"/>
    <d v="2025-03-13T00:00:00"/>
    <x v="15"/>
    <x v="2"/>
    <x v="0"/>
    <x v="7"/>
    <n v="6"/>
    <s v="OK"/>
    <n v="1918.31"/>
    <s v="OK"/>
    <n v="1058.75"/>
    <x v="4"/>
    <s v="OK"/>
  </r>
  <r>
    <s v="TXN10887"/>
    <d v="2025-03-13T00:00:00"/>
    <x v="12"/>
    <x v="3"/>
    <x v="1"/>
    <x v="28"/>
    <n v="4"/>
    <s v="OK"/>
    <n v="2814.04"/>
    <s v="OK"/>
    <n v="2229.7800000000002"/>
    <x v="1"/>
    <s v="OK"/>
  </r>
  <r>
    <s v="TXN11241"/>
    <d v="2025-03-13T00:00:00"/>
    <x v="0"/>
    <x v="5"/>
    <x v="0"/>
    <x v="11"/>
    <n v="5"/>
    <s v="OK"/>
    <n v="1281.42"/>
    <s v="OK"/>
    <n v="1010.33"/>
    <x v="0"/>
    <s v="OK"/>
  </r>
  <r>
    <s v="TXN10540"/>
    <d v="2025-03-13T00:00:00"/>
    <x v="13"/>
    <x v="4"/>
    <x v="3"/>
    <x v="21"/>
    <n v="8"/>
    <s v="OK"/>
    <n v="1375.72"/>
    <s v="OK"/>
    <n v="1013.77"/>
    <x v="2"/>
    <s v="OK"/>
  </r>
  <r>
    <s v="TXN10453"/>
    <d v="2025-03-13T00:00:00"/>
    <x v="20"/>
    <x v="3"/>
    <x v="4"/>
    <x v="29"/>
    <n v="1"/>
    <s v="OK"/>
    <n v="2380.0500000000002"/>
    <s v="OK"/>
    <n v="2092.46"/>
    <x v="3"/>
    <s v="OK"/>
  </r>
  <r>
    <s v="TXN10733"/>
    <d v="2025-03-13T00:00:00"/>
    <x v="26"/>
    <x v="5"/>
    <x v="3"/>
    <x v="17"/>
    <n v="4"/>
    <s v="OK"/>
    <n v="3554.82"/>
    <s v="OK"/>
    <n v="2944.45"/>
    <x v="3"/>
    <s v="OK"/>
  </r>
  <r>
    <s v="TXN11123"/>
    <d v="2025-03-13T00:00:00"/>
    <x v="9"/>
    <x v="3"/>
    <x v="0"/>
    <x v="11"/>
    <n v="1"/>
    <s v="OK"/>
    <n v="1584.39"/>
    <s v="OK"/>
    <n v="1325.77"/>
    <x v="3"/>
    <s v="OK"/>
  </r>
  <r>
    <s v="TXN10132"/>
    <d v="2025-03-14T00:00:00"/>
    <x v="28"/>
    <x v="3"/>
    <x v="0"/>
    <x v="10"/>
    <n v="4"/>
    <s v="OK"/>
    <n v="2178.3200000000002"/>
    <s v="OK"/>
    <n v="1718.68"/>
    <x v="0"/>
    <s v="OK"/>
  </r>
  <r>
    <s v="TXN10159"/>
    <d v="2025-03-14T00:00:00"/>
    <x v="3"/>
    <x v="3"/>
    <x v="0"/>
    <x v="10"/>
    <n v="1"/>
    <s v="OK"/>
    <n v="411.04"/>
    <s v="OK"/>
    <n v="298.02999999999997"/>
    <x v="0"/>
    <s v="OK"/>
  </r>
  <r>
    <s v="TXN10349"/>
    <d v="2025-03-14T00:00:00"/>
    <x v="17"/>
    <x v="3"/>
    <x v="0"/>
    <x v="2"/>
    <n v="5"/>
    <s v="OK"/>
    <n v="1643.97"/>
    <s v="OK"/>
    <n v="1107.72"/>
    <x v="1"/>
    <s v="OK"/>
  </r>
  <r>
    <s v="TXN11097"/>
    <d v="2025-03-14T00:00:00"/>
    <x v="25"/>
    <x v="5"/>
    <x v="1"/>
    <x v="27"/>
    <n v="4"/>
    <s v="OK"/>
    <n v="3047.09"/>
    <s v="OK"/>
    <n v="1850.54"/>
    <x v="2"/>
    <s v="OK"/>
  </r>
  <r>
    <s v="TXN10414"/>
    <d v="2025-03-14T00:00:00"/>
    <x v="6"/>
    <x v="4"/>
    <x v="1"/>
    <x v="28"/>
    <n v="6"/>
    <s v="OK"/>
    <n v="13645.37"/>
    <s v="OK"/>
    <n v="8576.64"/>
    <x v="3"/>
    <s v="OK"/>
  </r>
  <r>
    <s v="TXN10117"/>
    <d v="2025-03-15T00:00:00"/>
    <x v="15"/>
    <x v="4"/>
    <x v="0"/>
    <x v="10"/>
    <n v="7"/>
    <s v="OK"/>
    <n v="2203.15"/>
    <s v="OK"/>
    <n v="1916.93"/>
    <x v="1"/>
    <s v="OK"/>
  </r>
  <r>
    <s v="TXN10237"/>
    <d v="2025-03-15T00:00:00"/>
    <x v="28"/>
    <x v="0"/>
    <x v="2"/>
    <x v="12"/>
    <n v="4"/>
    <s v="OK"/>
    <n v="4376.26"/>
    <s v="OK"/>
    <n v="2986.61"/>
    <x v="1"/>
    <s v="OK"/>
  </r>
  <r>
    <s v="TXN11219"/>
    <d v="2025-03-15T00:00:00"/>
    <x v="12"/>
    <x v="4"/>
    <x v="3"/>
    <x v="24"/>
    <n v="2"/>
    <s v="OK"/>
    <n v="2845.17"/>
    <s v="OK"/>
    <n v="1992.07"/>
    <x v="0"/>
    <s v="OK"/>
  </r>
  <r>
    <s v="TXN11237"/>
    <d v="2025-03-15T00:00:00"/>
    <x v="1"/>
    <x v="5"/>
    <x v="4"/>
    <x v="23"/>
    <n v="7"/>
    <s v="OK"/>
    <n v="1038.1199999999999"/>
    <s v="OK"/>
    <n v="854.56"/>
    <x v="1"/>
    <s v="OK"/>
  </r>
  <r>
    <s v="TXN10058"/>
    <d v="2025-03-17T00:00:00"/>
    <x v="12"/>
    <x v="0"/>
    <x v="3"/>
    <x v="25"/>
    <n v="1"/>
    <s v="OK"/>
    <n v="754.18"/>
    <s v="OK"/>
    <n v="659.68"/>
    <x v="2"/>
    <s v="OK"/>
  </r>
  <r>
    <s v="TXN10550"/>
    <d v="2025-03-17T00:00:00"/>
    <x v="6"/>
    <x v="4"/>
    <x v="1"/>
    <x v="9"/>
    <n v="1"/>
    <s v="OK"/>
    <n v="3744.44"/>
    <s v="OK"/>
    <n v="3199.28"/>
    <x v="2"/>
    <s v="OK"/>
  </r>
  <r>
    <s v="TXN10810"/>
    <d v="2025-03-17T00:00:00"/>
    <x v="29"/>
    <x v="0"/>
    <x v="1"/>
    <x v="27"/>
    <n v="8"/>
    <s v="OK"/>
    <n v="3473.52"/>
    <s v="OK"/>
    <n v="2144.5700000000002"/>
    <x v="1"/>
    <s v="OK"/>
  </r>
  <r>
    <s v="TXN11109"/>
    <d v="2025-03-17T00:00:00"/>
    <x v="18"/>
    <x v="4"/>
    <x v="0"/>
    <x v="11"/>
    <n v="5"/>
    <s v="OK"/>
    <n v="769.05"/>
    <s v="OK"/>
    <n v="569.75"/>
    <x v="4"/>
    <s v="OK"/>
  </r>
  <r>
    <s v="TXN10243"/>
    <d v="2025-03-17T00:00:00"/>
    <x v="21"/>
    <x v="1"/>
    <x v="2"/>
    <x v="4"/>
    <n v="4"/>
    <s v="OK"/>
    <n v="608.37"/>
    <s v="OK"/>
    <n v="524.97"/>
    <x v="1"/>
    <s v="OK"/>
  </r>
  <r>
    <s v="TXN10942"/>
    <d v="2025-03-17T00:00:00"/>
    <x v="23"/>
    <x v="3"/>
    <x v="4"/>
    <x v="23"/>
    <n v="8"/>
    <s v="OK"/>
    <n v="1621.11"/>
    <s v="OK"/>
    <n v="953.91"/>
    <x v="4"/>
    <s v="OK"/>
  </r>
  <r>
    <s v="TXN10785"/>
    <d v="2025-03-18T00:00:00"/>
    <x v="18"/>
    <x v="3"/>
    <x v="3"/>
    <x v="24"/>
    <n v="8"/>
    <s v="OK"/>
    <n v="3236.33"/>
    <s v="OK"/>
    <n v="1950.6"/>
    <x v="1"/>
    <s v="OK"/>
  </r>
  <r>
    <s v="TXN10538"/>
    <d v="2025-03-18T00:00:00"/>
    <x v="7"/>
    <x v="4"/>
    <x v="0"/>
    <x v="11"/>
    <n v="6"/>
    <s v="OK"/>
    <n v="1102.75"/>
    <s v="OK"/>
    <n v="930.91"/>
    <x v="2"/>
    <s v="OK"/>
  </r>
  <r>
    <s v="TXN10796"/>
    <d v="2025-03-18T00:00:00"/>
    <x v="2"/>
    <x v="4"/>
    <x v="3"/>
    <x v="21"/>
    <n v="1"/>
    <s v="OK"/>
    <n v="2797.75"/>
    <s v="OK"/>
    <n v="1579.59"/>
    <x v="0"/>
    <s v="OK"/>
  </r>
  <r>
    <s v="TXN10765"/>
    <d v="2025-03-19T00:00:00"/>
    <x v="10"/>
    <x v="3"/>
    <x v="0"/>
    <x v="13"/>
    <n v="6"/>
    <s v="OK"/>
    <n v="2280.62"/>
    <s v="OK"/>
    <n v="1686.82"/>
    <x v="2"/>
    <s v="OK"/>
  </r>
  <r>
    <s v="TXN10383"/>
    <d v="2025-03-19T00:00:00"/>
    <x v="17"/>
    <x v="5"/>
    <x v="2"/>
    <x v="16"/>
    <n v="1"/>
    <s v="OK"/>
    <n v="6553.82"/>
    <s v="OK"/>
    <n v="3656.31"/>
    <x v="2"/>
    <s v="OK"/>
  </r>
  <r>
    <s v="TXN10708"/>
    <d v="2025-03-20T00:00:00"/>
    <x v="21"/>
    <x v="3"/>
    <x v="0"/>
    <x v="0"/>
    <n v="4"/>
    <s v="OK"/>
    <n v="982.27"/>
    <s v="OK"/>
    <n v="696.97"/>
    <x v="2"/>
    <s v="OK"/>
  </r>
  <r>
    <s v="TXN10748"/>
    <d v="2025-03-20T00:00:00"/>
    <x v="5"/>
    <x v="3"/>
    <x v="3"/>
    <x v="21"/>
    <n v="8"/>
    <s v="OK"/>
    <n v="4640.1899999999996"/>
    <s v="OK"/>
    <n v="3184.44"/>
    <x v="0"/>
    <s v="OK"/>
  </r>
  <r>
    <s v="TXN11102"/>
    <d v="2025-03-20T00:00:00"/>
    <x v="17"/>
    <x v="0"/>
    <x v="2"/>
    <x v="3"/>
    <n v="3"/>
    <s v="OK"/>
    <n v="2098.13"/>
    <s v="OK"/>
    <n v="1475"/>
    <x v="0"/>
    <s v="OK"/>
  </r>
  <r>
    <s v="TXN10045"/>
    <d v="2025-03-21T00:00:00"/>
    <x v="7"/>
    <x v="2"/>
    <x v="2"/>
    <x v="8"/>
    <n v="4"/>
    <s v="OK"/>
    <n v="6106.4"/>
    <s v="OK"/>
    <n v="5325.68"/>
    <x v="4"/>
    <s v="OK"/>
  </r>
  <r>
    <s v="TXN10389"/>
    <d v="2025-03-21T00:00:00"/>
    <x v="23"/>
    <x v="5"/>
    <x v="2"/>
    <x v="15"/>
    <n v="2"/>
    <s v="OK"/>
    <n v="1484.87"/>
    <s v="OK"/>
    <n v="1045.05"/>
    <x v="0"/>
    <s v="OK"/>
  </r>
  <r>
    <s v="TXN10620"/>
    <d v="2025-03-22T00:00:00"/>
    <x v="0"/>
    <x v="0"/>
    <x v="1"/>
    <x v="20"/>
    <n v="8"/>
    <s v="OK"/>
    <n v="2462.9699999999998"/>
    <s v="OK"/>
    <n v="1857.46"/>
    <x v="1"/>
    <s v="OK"/>
  </r>
  <r>
    <s v="TXN10161"/>
    <d v="2025-03-22T00:00:00"/>
    <x v="8"/>
    <x v="3"/>
    <x v="1"/>
    <x v="20"/>
    <n v="1"/>
    <s v="OK"/>
    <n v="12424.86"/>
    <s v="OK"/>
    <n v="7949.35"/>
    <x v="0"/>
    <s v="OK"/>
  </r>
  <r>
    <s v="TXN10525"/>
    <d v="2025-03-22T00:00:00"/>
    <x v="20"/>
    <x v="2"/>
    <x v="1"/>
    <x v="28"/>
    <n v="4"/>
    <s v="OK"/>
    <n v="3232.12"/>
    <s v="OK"/>
    <n v="2194.6999999999998"/>
    <x v="2"/>
    <s v="OK"/>
  </r>
  <r>
    <s v="TXN10900"/>
    <d v="2025-03-22T00:00:00"/>
    <x v="5"/>
    <x v="4"/>
    <x v="1"/>
    <x v="22"/>
    <n v="4"/>
    <s v="OK"/>
    <n v="9729.86"/>
    <s v="OK"/>
    <n v="8464.8700000000008"/>
    <x v="4"/>
    <s v="OK"/>
  </r>
  <r>
    <s v="TXN10780"/>
    <d v="2025-03-22T00:00:00"/>
    <x v="15"/>
    <x v="3"/>
    <x v="2"/>
    <x v="4"/>
    <n v="1"/>
    <s v="OK"/>
    <n v="6205.54"/>
    <s v="OK"/>
    <n v="3578.35"/>
    <x v="1"/>
    <s v="OK"/>
  </r>
  <r>
    <s v="TXN11141"/>
    <d v="2025-03-23T00:00:00"/>
    <x v="24"/>
    <x v="2"/>
    <x v="4"/>
    <x v="29"/>
    <n v="1"/>
    <s v="OK"/>
    <n v="2030.81"/>
    <s v="OK"/>
    <n v="1343.07"/>
    <x v="0"/>
    <s v="OK"/>
  </r>
  <r>
    <s v="TXN10462"/>
    <d v="2025-03-23T00:00:00"/>
    <x v="18"/>
    <x v="5"/>
    <x v="3"/>
    <x v="21"/>
    <n v="8"/>
    <s v="OK"/>
    <n v="4818.66"/>
    <s v="OK"/>
    <n v="3890.19"/>
    <x v="4"/>
    <s v="OK"/>
  </r>
  <r>
    <s v="TXN10953"/>
    <d v="2025-03-23T00:00:00"/>
    <x v="1"/>
    <x v="0"/>
    <x v="4"/>
    <x v="29"/>
    <n v="3"/>
    <s v="OK"/>
    <n v="2940.83"/>
    <s v="OK"/>
    <n v="2485.5"/>
    <x v="1"/>
    <s v="OK"/>
  </r>
  <r>
    <s v="TXN11208"/>
    <d v="2025-03-23T00:00:00"/>
    <x v="18"/>
    <x v="5"/>
    <x v="3"/>
    <x v="24"/>
    <n v="4"/>
    <s v="OK"/>
    <n v="3756.62"/>
    <s v="OK"/>
    <n v="2077.13"/>
    <x v="2"/>
    <s v="OK"/>
  </r>
  <r>
    <s v="TXN10815"/>
    <d v="2025-03-24T00:00:00"/>
    <x v="30"/>
    <x v="2"/>
    <x v="3"/>
    <x v="21"/>
    <n v="5"/>
    <s v="OK"/>
    <n v="1502.54"/>
    <s v="OK"/>
    <n v="913.35"/>
    <x v="4"/>
    <s v="OK"/>
  </r>
  <r>
    <s v="TXN10474"/>
    <d v="2025-03-24T00:00:00"/>
    <x v="23"/>
    <x v="0"/>
    <x v="0"/>
    <x v="13"/>
    <n v="1"/>
    <s v="OK"/>
    <n v="1460.72"/>
    <s v="OK"/>
    <n v="1242.22"/>
    <x v="0"/>
    <s v="OK"/>
  </r>
  <r>
    <s v="TXN10191"/>
    <d v="2025-03-24T00:00:00"/>
    <x v="13"/>
    <x v="3"/>
    <x v="4"/>
    <x v="6"/>
    <n v="5"/>
    <s v="OK"/>
    <n v="1710.29"/>
    <s v="OK"/>
    <n v="1230.3900000000001"/>
    <x v="0"/>
    <s v="OK"/>
  </r>
  <r>
    <s v="TXN10186"/>
    <d v="2025-03-25T00:00:00"/>
    <x v="0"/>
    <x v="4"/>
    <x v="0"/>
    <x v="7"/>
    <n v="3"/>
    <s v="OK"/>
    <n v="2112.09"/>
    <s v="OK"/>
    <n v="1699.1"/>
    <x v="4"/>
    <s v="OK"/>
  </r>
  <r>
    <s v="TXN10917"/>
    <d v="2025-03-25T00:00:00"/>
    <x v="29"/>
    <x v="3"/>
    <x v="0"/>
    <x v="13"/>
    <n v="8"/>
    <s v="OK"/>
    <n v="1203.79"/>
    <s v="OK"/>
    <n v="1057.43"/>
    <x v="0"/>
    <s v="OK"/>
  </r>
  <r>
    <s v="TXN10239"/>
    <d v="2025-03-25T00:00:00"/>
    <x v="0"/>
    <x v="0"/>
    <x v="2"/>
    <x v="12"/>
    <n v="7"/>
    <s v="OK"/>
    <n v="6938.06"/>
    <s v="OK"/>
    <n v="5508.65"/>
    <x v="3"/>
    <s v="OK"/>
  </r>
  <r>
    <s v="TXN10446"/>
    <d v="2025-03-25T00:00:00"/>
    <x v="30"/>
    <x v="3"/>
    <x v="0"/>
    <x v="10"/>
    <n v="4"/>
    <s v="OK"/>
    <n v="2171.36"/>
    <s v="OK"/>
    <n v="1658.13"/>
    <x v="4"/>
    <s v="OK"/>
  </r>
  <r>
    <s v="TXN10779"/>
    <d v="2025-03-26T00:00:00"/>
    <x v="29"/>
    <x v="3"/>
    <x v="4"/>
    <x v="18"/>
    <n v="8"/>
    <s v="OK"/>
    <n v="1041.8399999999999"/>
    <s v="OK"/>
    <n v="773.1"/>
    <x v="4"/>
    <s v="OK"/>
  </r>
  <r>
    <s v="TXN10467"/>
    <d v="2025-03-26T00:00:00"/>
    <x v="5"/>
    <x v="2"/>
    <x v="4"/>
    <x v="26"/>
    <n v="7"/>
    <s v="OK"/>
    <n v="312.16000000000003"/>
    <s v="OK"/>
    <n v="194.8"/>
    <x v="4"/>
    <s v="OK"/>
  </r>
  <r>
    <s v="TXN10330"/>
    <d v="2025-03-26T00:00:00"/>
    <x v="11"/>
    <x v="0"/>
    <x v="1"/>
    <x v="27"/>
    <n v="4"/>
    <s v="OK"/>
    <n v="9723.5"/>
    <s v="OK"/>
    <n v="7118.87"/>
    <x v="3"/>
    <s v="OK"/>
  </r>
  <r>
    <s v="TXN11044"/>
    <d v="2025-03-27T00:00:00"/>
    <x v="28"/>
    <x v="3"/>
    <x v="2"/>
    <x v="15"/>
    <n v="7"/>
    <s v="OK"/>
    <n v="5358.63"/>
    <s v="OK"/>
    <n v="4087.96"/>
    <x v="2"/>
    <s v="OK"/>
  </r>
  <r>
    <s v="TXN10871"/>
    <d v="2025-03-28T00:00:00"/>
    <x v="13"/>
    <x v="0"/>
    <x v="1"/>
    <x v="1"/>
    <n v="1"/>
    <s v="OK"/>
    <n v="10106.93"/>
    <s v="OK"/>
    <n v="5683.48"/>
    <x v="0"/>
    <s v="OK"/>
  </r>
  <r>
    <s v="TXN10170"/>
    <d v="2025-03-28T00:00:00"/>
    <x v="24"/>
    <x v="0"/>
    <x v="3"/>
    <x v="19"/>
    <n v="2"/>
    <s v="OK"/>
    <n v="3307.66"/>
    <s v="OK"/>
    <n v="1943.68"/>
    <x v="2"/>
    <s v="OK"/>
  </r>
  <r>
    <s v="TXN10301"/>
    <d v="2025-03-29T00:00:00"/>
    <x v="27"/>
    <x v="3"/>
    <x v="1"/>
    <x v="27"/>
    <n v="2"/>
    <s v="OK"/>
    <n v="9447.58"/>
    <s v="OK"/>
    <n v="6548.97"/>
    <x v="3"/>
    <s v="OK"/>
  </r>
  <r>
    <s v="TXN11088"/>
    <d v="2025-03-29T00:00:00"/>
    <x v="27"/>
    <x v="1"/>
    <x v="2"/>
    <x v="3"/>
    <n v="5"/>
    <s v="OK"/>
    <n v="6729.63"/>
    <s v="OK"/>
    <n v="5033.47"/>
    <x v="0"/>
    <s v="OK"/>
  </r>
  <r>
    <s v="TXN11078"/>
    <d v="2025-03-29T00:00:00"/>
    <x v="0"/>
    <x v="2"/>
    <x v="4"/>
    <x v="26"/>
    <n v="1"/>
    <s v="OK"/>
    <n v="2222.71"/>
    <s v="OK"/>
    <n v="1352.49"/>
    <x v="1"/>
    <s v="OK"/>
  </r>
  <r>
    <s v="TXN11157"/>
    <d v="2025-03-29T00:00:00"/>
    <x v="21"/>
    <x v="0"/>
    <x v="4"/>
    <x v="18"/>
    <n v="7"/>
    <s v="OK"/>
    <n v="3425.59"/>
    <s v="OK"/>
    <n v="2628.09"/>
    <x v="4"/>
    <s v="OK"/>
  </r>
  <r>
    <s v="TXN10842"/>
    <d v="2025-03-30T00:00:00"/>
    <x v="7"/>
    <x v="4"/>
    <x v="2"/>
    <x v="12"/>
    <n v="5"/>
    <s v="OK"/>
    <n v="589.80999999999995"/>
    <s v="OK"/>
    <n v="482.94"/>
    <x v="4"/>
    <s v="OK"/>
  </r>
  <r>
    <s v="TXN10510"/>
    <d v="2025-03-30T00:00:00"/>
    <x v="9"/>
    <x v="5"/>
    <x v="1"/>
    <x v="20"/>
    <n v="2"/>
    <s v="OK"/>
    <m/>
    <s v="Missing Sales"/>
    <n v="5081.91"/>
    <x v="2"/>
    <s v="Missing Data"/>
  </r>
  <r>
    <s v="TXN10442"/>
    <d v="2025-03-30T00:00:00"/>
    <x v="0"/>
    <x v="4"/>
    <x v="2"/>
    <x v="15"/>
    <n v="4"/>
    <s v="OK"/>
    <n v="6176.19"/>
    <s v="OK"/>
    <n v="3806.01"/>
    <x v="1"/>
    <s v="OK"/>
  </r>
  <r>
    <s v="TXN11089"/>
    <d v="2025-03-31T00:00:00"/>
    <x v="12"/>
    <x v="3"/>
    <x v="3"/>
    <x v="19"/>
    <n v="6"/>
    <s v="OK"/>
    <n v="5879.12"/>
    <s v="OK"/>
    <n v="4526.3500000000004"/>
    <x v="1"/>
    <s v="OK"/>
  </r>
  <r>
    <s v="TXN10477"/>
    <d v="2025-03-31T00:00:00"/>
    <x v="18"/>
    <x v="2"/>
    <x v="1"/>
    <x v="22"/>
    <n v="1"/>
    <s v="OK"/>
    <n v="15473.45"/>
    <s v="OK"/>
    <n v="10349.74"/>
    <x v="3"/>
    <s v="OK"/>
  </r>
  <r>
    <s v="TXN10406"/>
    <d v="2025-03-31T00:00:00"/>
    <x v="23"/>
    <x v="2"/>
    <x v="2"/>
    <x v="12"/>
    <n v="8"/>
    <s v="OK"/>
    <n v="650.55999999999995"/>
    <s v="OK"/>
    <n v="369.87"/>
    <x v="2"/>
    <s v="OK"/>
  </r>
  <r>
    <s v="TXN10782"/>
    <d v="2025-03-31T00:00:00"/>
    <x v="21"/>
    <x v="2"/>
    <x v="0"/>
    <x v="7"/>
    <n v="1"/>
    <s v="OK"/>
    <n v="1571.43"/>
    <s v="OK"/>
    <n v="1236.21"/>
    <x v="2"/>
    <s v="OK"/>
  </r>
  <r>
    <s v="TXN10700"/>
    <d v="2025-03-31T00:00:00"/>
    <x v="24"/>
    <x v="4"/>
    <x v="2"/>
    <x v="15"/>
    <n v="4"/>
    <s v="OK"/>
    <n v="2581.4"/>
    <s v="OK"/>
    <n v="1707.65"/>
    <x v="0"/>
    <s v="OK"/>
  </r>
  <r>
    <s v="TXN10122"/>
    <d v="2025-03-31T00:00:00"/>
    <x v="3"/>
    <x v="3"/>
    <x v="3"/>
    <x v="25"/>
    <n v="2"/>
    <s v="OK"/>
    <n v="3852.2"/>
    <s v="OK"/>
    <n v="2605.0100000000002"/>
    <x v="4"/>
    <s v="OK"/>
  </r>
  <r>
    <s v="TXN10404"/>
    <d v="2025-04-01T00:00:00"/>
    <x v="13"/>
    <x v="2"/>
    <x v="4"/>
    <x v="26"/>
    <n v="4"/>
    <s v="OK"/>
    <n v="2175.69"/>
    <s v="OK"/>
    <n v="1775.47"/>
    <x v="3"/>
    <s v="OK"/>
  </r>
  <r>
    <s v="TXN10787"/>
    <d v="2025-04-01T00:00:00"/>
    <x v="16"/>
    <x v="3"/>
    <x v="1"/>
    <x v="9"/>
    <n v="3"/>
    <s v="OK"/>
    <n v="14331.91"/>
    <s v="OK"/>
    <n v="10176.66"/>
    <x v="1"/>
    <s v="OK"/>
  </r>
  <r>
    <s v="TXN10412"/>
    <d v="2025-04-01T00:00:00"/>
    <x v="20"/>
    <x v="0"/>
    <x v="4"/>
    <x v="26"/>
    <n v="1"/>
    <s v="OK"/>
    <n v="3333.56"/>
    <s v="OK"/>
    <n v="2877.1"/>
    <x v="0"/>
    <s v="OK"/>
  </r>
  <r>
    <s v="TXN11228"/>
    <d v="2025-04-02T00:00:00"/>
    <x v="7"/>
    <x v="3"/>
    <x v="2"/>
    <x v="16"/>
    <n v="7"/>
    <s v="OK"/>
    <n v="3901.17"/>
    <s v="OK"/>
    <n v="2917.57"/>
    <x v="0"/>
    <s v="OK"/>
  </r>
  <r>
    <s v="TXN10716"/>
    <d v="2025-04-02T00:00:00"/>
    <x v="16"/>
    <x v="3"/>
    <x v="0"/>
    <x v="2"/>
    <n v="8"/>
    <s v="OK"/>
    <n v="1617.53"/>
    <s v="OK"/>
    <n v="1056.42"/>
    <x v="4"/>
    <s v="OK"/>
  </r>
  <r>
    <s v="TXN11045"/>
    <d v="2025-04-02T00:00:00"/>
    <x v="1"/>
    <x v="2"/>
    <x v="2"/>
    <x v="4"/>
    <n v="6"/>
    <s v="OK"/>
    <n v="5102.41"/>
    <s v="OK"/>
    <n v="3691.12"/>
    <x v="0"/>
    <s v="OK"/>
  </r>
  <r>
    <s v="TXN10587"/>
    <d v="2025-04-03T00:00:00"/>
    <x v="1"/>
    <x v="2"/>
    <x v="4"/>
    <x v="23"/>
    <n v="3"/>
    <s v="OK"/>
    <n v="3432.64"/>
    <s v="OK"/>
    <n v="2665.05"/>
    <x v="1"/>
    <s v="OK"/>
  </r>
  <r>
    <s v="TXN11217"/>
    <d v="2025-04-03T00:00:00"/>
    <x v="7"/>
    <x v="2"/>
    <x v="1"/>
    <x v="28"/>
    <n v="8"/>
    <s v="OK"/>
    <n v="4063.98"/>
    <s v="OK"/>
    <n v="3391.7"/>
    <x v="5"/>
    <s v="OK"/>
  </r>
  <r>
    <s v="TXN10582"/>
    <d v="2025-04-04T00:00:00"/>
    <x v="27"/>
    <x v="4"/>
    <x v="4"/>
    <x v="23"/>
    <n v="5"/>
    <s v="OK"/>
    <n v="1543.11"/>
    <s v="OK"/>
    <n v="1230.72"/>
    <x v="4"/>
    <s v="OK"/>
  </r>
  <r>
    <s v="TXN10992"/>
    <d v="2025-04-04T00:00:00"/>
    <x v="26"/>
    <x v="5"/>
    <x v="4"/>
    <x v="26"/>
    <n v="5"/>
    <s v="OK"/>
    <n v="2746.99"/>
    <s v="OK"/>
    <n v="1650.65"/>
    <x v="0"/>
    <s v="OK"/>
  </r>
  <r>
    <s v="TXN11096"/>
    <d v="2025-04-04T00:00:00"/>
    <x v="8"/>
    <x v="2"/>
    <x v="2"/>
    <x v="12"/>
    <n v="8"/>
    <s v="OK"/>
    <n v="4556.5600000000004"/>
    <s v="OK"/>
    <n v="2603.27"/>
    <x v="0"/>
    <s v="OK"/>
  </r>
  <r>
    <s v="TXN11232"/>
    <d v="2025-04-04T00:00:00"/>
    <x v="0"/>
    <x v="3"/>
    <x v="4"/>
    <x v="26"/>
    <n v="7"/>
    <s v="OK"/>
    <n v="1395.98"/>
    <s v="OK"/>
    <n v="995.46"/>
    <x v="0"/>
    <s v="OK"/>
  </r>
  <r>
    <s v="TXN10669"/>
    <d v="2025-04-05T00:00:00"/>
    <x v="0"/>
    <x v="5"/>
    <x v="1"/>
    <x v="20"/>
    <n v="1"/>
    <s v="OK"/>
    <n v="13937.85"/>
    <s v="OK"/>
    <n v="10480.620000000001"/>
    <x v="3"/>
    <s v="OK"/>
  </r>
  <r>
    <s v="TXN10759"/>
    <d v="2025-04-05T00:00:00"/>
    <x v="28"/>
    <x v="5"/>
    <x v="1"/>
    <x v="27"/>
    <n v="5"/>
    <s v="OK"/>
    <n v="5937.12"/>
    <s v="OK"/>
    <n v="4559.46"/>
    <x v="1"/>
    <s v="OK"/>
  </r>
  <r>
    <s v="TXN10626"/>
    <d v="2025-04-05T00:00:00"/>
    <x v="11"/>
    <x v="3"/>
    <x v="2"/>
    <x v="4"/>
    <n v="1"/>
    <s v="OK"/>
    <n v="4490.25"/>
    <s v="OK"/>
    <n v="3009.12"/>
    <x v="2"/>
    <s v="OK"/>
  </r>
  <r>
    <s v="TXN10547"/>
    <d v="2025-04-06T00:00:00"/>
    <x v="6"/>
    <x v="1"/>
    <x v="3"/>
    <x v="25"/>
    <n v="3"/>
    <s v="OK"/>
    <n v="2492.23"/>
    <s v="OK"/>
    <n v="1960.66"/>
    <x v="1"/>
    <s v="OK"/>
  </r>
  <r>
    <s v="TXN10929"/>
    <d v="2025-04-06T00:00:00"/>
    <x v="17"/>
    <x v="2"/>
    <x v="4"/>
    <x v="18"/>
    <n v="7"/>
    <s v="OK"/>
    <n v="2299.73"/>
    <s v="OK"/>
    <n v="1335.39"/>
    <x v="2"/>
    <s v="OK"/>
  </r>
  <r>
    <s v="TXN11042"/>
    <d v="2025-04-07T00:00:00"/>
    <x v="10"/>
    <x v="3"/>
    <x v="2"/>
    <x v="3"/>
    <n v="5"/>
    <s v="OK"/>
    <n v="5611.28"/>
    <s v="OK"/>
    <n v="3692.98"/>
    <x v="1"/>
    <s v="OK"/>
  </r>
  <r>
    <s v="TXN11031"/>
    <d v="2025-04-07T00:00:00"/>
    <x v="6"/>
    <x v="5"/>
    <x v="1"/>
    <x v="1"/>
    <n v="8"/>
    <s v="OK"/>
    <n v="12780.76"/>
    <s v="OK"/>
    <n v="11170.83"/>
    <x v="2"/>
    <s v="OK"/>
  </r>
  <r>
    <s v="TXN10854"/>
    <d v="2025-04-07T00:00:00"/>
    <x v="26"/>
    <x v="2"/>
    <x v="4"/>
    <x v="23"/>
    <n v="2"/>
    <s v="OK"/>
    <n v="3157.95"/>
    <s v="OK"/>
    <n v="2573.11"/>
    <x v="3"/>
    <s v="OK"/>
  </r>
  <r>
    <s v="TXN10495"/>
    <d v="2025-04-07T00:00:00"/>
    <x v="15"/>
    <x v="0"/>
    <x v="2"/>
    <x v="16"/>
    <n v="2"/>
    <s v="OK"/>
    <n v="6539.43"/>
    <s v="OK"/>
    <n v="4444.5600000000004"/>
    <x v="0"/>
    <s v="OK"/>
  </r>
  <r>
    <s v="TXN10365"/>
    <d v="2025-04-07T00:00:00"/>
    <x v="23"/>
    <x v="4"/>
    <x v="2"/>
    <x v="3"/>
    <n v="7"/>
    <s v="OK"/>
    <n v="2350.58"/>
    <s v="OK"/>
    <n v="1335.15"/>
    <x v="4"/>
    <s v="OK"/>
  </r>
  <r>
    <s v="TXN10031"/>
    <d v="2025-04-08T00:00:00"/>
    <x v="12"/>
    <x v="3"/>
    <x v="0"/>
    <x v="7"/>
    <n v="5"/>
    <s v="OK"/>
    <n v="700.71"/>
    <s v="OK"/>
    <n v="398.91"/>
    <x v="2"/>
    <s v="OK"/>
  </r>
  <r>
    <s v="TXN10770"/>
    <d v="2025-04-08T00:00:00"/>
    <x v="27"/>
    <x v="3"/>
    <x v="0"/>
    <x v="11"/>
    <n v="3"/>
    <s v="OK"/>
    <n v="282.11"/>
    <s v="OK"/>
    <n v="157.52000000000001"/>
    <x v="2"/>
    <s v="OK"/>
  </r>
  <r>
    <s v="TXN10128"/>
    <d v="2025-04-08T00:00:00"/>
    <x v="8"/>
    <x v="0"/>
    <x v="3"/>
    <x v="5"/>
    <n v="5"/>
    <s v="OK"/>
    <n v="4227.7"/>
    <s v="OK"/>
    <n v="3331.03"/>
    <x v="4"/>
    <s v="OK"/>
  </r>
  <r>
    <s v="TXN11202"/>
    <d v="2025-04-08T00:00:00"/>
    <x v="15"/>
    <x v="3"/>
    <x v="2"/>
    <x v="8"/>
    <n v="4"/>
    <s v="OK"/>
    <n v="5050.76"/>
    <s v="OK"/>
    <n v="4320.5"/>
    <x v="1"/>
    <s v="OK"/>
  </r>
  <r>
    <s v="TXN10087"/>
    <d v="2025-04-09T00:00:00"/>
    <x v="18"/>
    <x v="5"/>
    <x v="1"/>
    <x v="27"/>
    <n v="6"/>
    <s v="OK"/>
    <n v="2944.39"/>
    <s v="OK"/>
    <n v="2140.09"/>
    <x v="4"/>
    <s v="OK"/>
  </r>
  <r>
    <s v="TXN10672"/>
    <d v="2025-04-09T00:00:00"/>
    <x v="27"/>
    <x v="2"/>
    <x v="3"/>
    <x v="25"/>
    <n v="4"/>
    <s v="OK"/>
    <n v="677.26"/>
    <s v="OK"/>
    <n v="543.36"/>
    <x v="1"/>
    <s v="OK"/>
  </r>
  <r>
    <s v="TXN10184"/>
    <d v="2025-04-09T00:00:00"/>
    <x v="29"/>
    <x v="5"/>
    <x v="4"/>
    <x v="23"/>
    <n v="4"/>
    <s v="OK"/>
    <n v="3499.92"/>
    <s v="OK"/>
    <n v="2103.91"/>
    <x v="3"/>
    <s v="OK"/>
  </r>
  <r>
    <s v="TXN10622"/>
    <d v="2025-04-09T00:00:00"/>
    <x v="28"/>
    <x v="3"/>
    <x v="4"/>
    <x v="23"/>
    <n v="1"/>
    <s v="OK"/>
    <n v="2490.06"/>
    <s v="OK"/>
    <n v="1663.85"/>
    <x v="4"/>
    <s v="OK"/>
  </r>
  <r>
    <s v="TXN11036"/>
    <d v="2025-04-12T00:00:00"/>
    <x v="10"/>
    <x v="0"/>
    <x v="1"/>
    <x v="22"/>
    <n v="4"/>
    <s v="OK"/>
    <n v="5758.13"/>
    <s v="OK"/>
    <n v="3583.01"/>
    <x v="3"/>
    <s v="OK"/>
  </r>
  <r>
    <s v="TXN10902"/>
    <d v="2025-04-12T00:00:00"/>
    <x v="12"/>
    <x v="4"/>
    <x v="4"/>
    <x v="14"/>
    <n v="2"/>
    <s v="OK"/>
    <n v="1597.11"/>
    <s v="OK"/>
    <n v="974.27"/>
    <x v="0"/>
    <s v="OK"/>
  </r>
  <r>
    <s v="TXN10579"/>
    <d v="2025-04-13T00:00:00"/>
    <x v="24"/>
    <x v="3"/>
    <x v="3"/>
    <x v="17"/>
    <n v="4"/>
    <s v="OK"/>
    <n v="4544.8599999999997"/>
    <s v="OK"/>
    <n v="3808.62"/>
    <x v="4"/>
    <s v="OK"/>
  </r>
  <r>
    <s v="TXN10857"/>
    <d v="2025-04-13T00:00:00"/>
    <x v="25"/>
    <x v="0"/>
    <x v="3"/>
    <x v="19"/>
    <n v="7"/>
    <s v="OK"/>
    <n v="1175.19"/>
    <s v="OK"/>
    <n v="971.38"/>
    <x v="0"/>
    <s v="OK"/>
  </r>
  <r>
    <s v="TXN10203"/>
    <d v="2025-04-13T00:00:00"/>
    <x v="16"/>
    <x v="0"/>
    <x v="3"/>
    <x v="24"/>
    <n v="1"/>
    <s v="OK"/>
    <n v="2235.7800000000002"/>
    <s v="OK"/>
    <n v="1458.46"/>
    <x v="0"/>
    <s v="OK"/>
  </r>
  <r>
    <s v="TXN10629"/>
    <d v="2025-04-14T00:00:00"/>
    <x v="16"/>
    <x v="5"/>
    <x v="3"/>
    <x v="24"/>
    <n v="2"/>
    <s v="OK"/>
    <n v="3169.54"/>
    <s v="OK"/>
    <n v="1846.54"/>
    <x v="2"/>
    <s v="OK"/>
  </r>
  <r>
    <s v="TXN10035"/>
    <d v="2025-04-15T00:00:00"/>
    <x v="3"/>
    <x v="4"/>
    <x v="4"/>
    <x v="14"/>
    <n v="6"/>
    <s v="OK"/>
    <n v="1025.73"/>
    <s v="OK"/>
    <n v="698.12"/>
    <x v="3"/>
    <s v="OK"/>
  </r>
  <r>
    <s v="TXN10656"/>
    <d v="2025-04-15T00:00:00"/>
    <x v="23"/>
    <x v="3"/>
    <x v="2"/>
    <x v="16"/>
    <n v="5"/>
    <s v="OK"/>
    <n v="4022.08"/>
    <s v="OK"/>
    <n v="3039.1"/>
    <x v="4"/>
    <s v="OK"/>
  </r>
  <r>
    <s v="TXN10542"/>
    <d v="2025-04-16T00:00:00"/>
    <x v="1"/>
    <x v="5"/>
    <x v="1"/>
    <x v="27"/>
    <n v="6"/>
    <s v="OK"/>
    <n v="7536.39"/>
    <s v="OK"/>
    <n v="6427.84"/>
    <x v="1"/>
    <s v="OK"/>
  </r>
  <r>
    <s v="TXN10424"/>
    <d v="2025-04-16T00:00:00"/>
    <x v="27"/>
    <x v="5"/>
    <x v="1"/>
    <x v="22"/>
    <n v="3"/>
    <s v="OK"/>
    <n v="11813.06"/>
    <s v="OK"/>
    <n v="10306.06"/>
    <x v="0"/>
    <s v="OK"/>
  </r>
  <r>
    <s v="TXN10967"/>
    <d v="2025-04-16T00:00:00"/>
    <x v="14"/>
    <x v="2"/>
    <x v="0"/>
    <x v="11"/>
    <n v="8"/>
    <s v="OK"/>
    <n v="1804.18"/>
    <s v="OK"/>
    <n v="1520.8"/>
    <x v="0"/>
    <s v="OK"/>
  </r>
  <r>
    <s v="TXN10697"/>
    <d v="2025-04-17T00:00:00"/>
    <x v="9"/>
    <x v="3"/>
    <x v="1"/>
    <x v="27"/>
    <n v="7"/>
    <s v="OK"/>
    <n v="7980.1"/>
    <s v="OK"/>
    <n v="5268.07"/>
    <x v="2"/>
    <s v="OK"/>
  </r>
  <r>
    <s v="TXN11075"/>
    <d v="2025-04-17T00:00:00"/>
    <x v="2"/>
    <x v="2"/>
    <x v="3"/>
    <x v="19"/>
    <n v="1"/>
    <s v="OK"/>
    <n v="3041.92"/>
    <s v="OK"/>
    <n v="1746.53"/>
    <x v="0"/>
    <s v="OK"/>
  </r>
  <r>
    <s v="TXN10226"/>
    <d v="2025-04-18T00:00:00"/>
    <x v="6"/>
    <x v="1"/>
    <x v="4"/>
    <x v="29"/>
    <n v="7"/>
    <s v="OK"/>
    <n v="2258.85"/>
    <s v="OK"/>
    <n v="1264.94"/>
    <x v="2"/>
    <s v="OK"/>
  </r>
  <r>
    <s v="TXN10877"/>
    <d v="2025-04-18T00:00:00"/>
    <x v="28"/>
    <x v="4"/>
    <x v="0"/>
    <x v="2"/>
    <n v="6"/>
    <s v="OK"/>
    <n v="2030"/>
    <s v="OK"/>
    <n v="1552.96"/>
    <x v="3"/>
    <s v="OK"/>
  </r>
  <r>
    <s v="TXN10786"/>
    <d v="2025-04-18T00:00:00"/>
    <x v="16"/>
    <x v="3"/>
    <x v="4"/>
    <x v="14"/>
    <n v="7"/>
    <s v="OK"/>
    <n v="1066.99"/>
    <s v="OK"/>
    <n v="804.03"/>
    <x v="0"/>
    <s v="OK"/>
  </r>
  <r>
    <s v="TXN11113"/>
    <d v="2025-04-18T00:00:00"/>
    <x v="22"/>
    <x v="5"/>
    <x v="4"/>
    <x v="29"/>
    <n v="7"/>
    <s v="OK"/>
    <n v="2521.7800000000002"/>
    <s v="OK"/>
    <n v="1392.32"/>
    <x v="4"/>
    <s v="OK"/>
  </r>
  <r>
    <s v="TXN10141"/>
    <d v="2025-04-19T00:00:00"/>
    <x v="19"/>
    <x v="2"/>
    <x v="1"/>
    <x v="27"/>
    <n v="1"/>
    <s v="OK"/>
    <n v="1764.89"/>
    <s v="OK"/>
    <n v="1164.93"/>
    <x v="4"/>
    <s v="OK"/>
  </r>
  <r>
    <s v="TXN10021"/>
    <d v="2025-04-19T00:00:00"/>
    <x v="18"/>
    <x v="4"/>
    <x v="2"/>
    <x v="4"/>
    <n v="4"/>
    <s v="OK"/>
    <n v="5105.46"/>
    <s v="OK"/>
    <n v="3480.23"/>
    <x v="3"/>
    <s v="OK"/>
  </r>
  <r>
    <s v="TXN10924"/>
    <d v="2025-04-19T00:00:00"/>
    <x v="9"/>
    <x v="0"/>
    <x v="2"/>
    <x v="16"/>
    <n v="1"/>
    <s v="OK"/>
    <n v="5690.28"/>
    <s v="OK"/>
    <n v="3660.98"/>
    <x v="1"/>
    <s v="OK"/>
  </r>
  <r>
    <s v="TXN10979"/>
    <d v="2025-04-19T00:00:00"/>
    <x v="13"/>
    <x v="4"/>
    <x v="1"/>
    <x v="27"/>
    <n v="8"/>
    <s v="OK"/>
    <n v="8994.3799999999992"/>
    <s v="OK"/>
    <n v="7162.62"/>
    <x v="2"/>
    <s v="OK"/>
  </r>
  <r>
    <s v="TXN10164"/>
    <d v="2025-04-19T00:00:00"/>
    <x v="16"/>
    <x v="3"/>
    <x v="3"/>
    <x v="19"/>
    <n v="3"/>
    <s v="OK"/>
    <n v="4702.88"/>
    <s v="OK"/>
    <n v="3035.79"/>
    <x v="1"/>
    <s v="OK"/>
  </r>
  <r>
    <s v="TXN10357"/>
    <d v="2025-04-20T00:00:00"/>
    <x v="6"/>
    <x v="3"/>
    <x v="1"/>
    <x v="22"/>
    <n v="8"/>
    <s v="OK"/>
    <n v="2232.75"/>
    <s v="OK"/>
    <n v="1665.44"/>
    <x v="2"/>
    <s v="OK"/>
  </r>
  <r>
    <s v="TXN10638"/>
    <d v="2025-04-20T00:00:00"/>
    <x v="8"/>
    <x v="5"/>
    <x v="2"/>
    <x v="3"/>
    <n v="7"/>
    <s v="OK"/>
    <n v="5453.67"/>
    <s v="OK"/>
    <n v="4666.32"/>
    <x v="3"/>
    <s v="OK"/>
  </r>
  <r>
    <s v="TXN10591"/>
    <d v="2025-04-21T00:00:00"/>
    <x v="15"/>
    <x v="3"/>
    <x v="3"/>
    <x v="24"/>
    <n v="5"/>
    <s v="OK"/>
    <n v="3120.97"/>
    <s v="OK"/>
    <n v="2365.2399999999998"/>
    <x v="0"/>
    <s v="OK"/>
  </r>
  <r>
    <s v="TXN10295"/>
    <d v="2025-04-22T00:00:00"/>
    <x v="25"/>
    <x v="3"/>
    <x v="3"/>
    <x v="24"/>
    <n v="8"/>
    <s v="OK"/>
    <n v="2552.6"/>
    <s v="OK"/>
    <n v="1924.37"/>
    <x v="2"/>
    <s v="OK"/>
  </r>
  <r>
    <s v="TXN10727"/>
    <d v="2025-04-22T00:00:00"/>
    <x v="5"/>
    <x v="2"/>
    <x v="1"/>
    <x v="22"/>
    <n v="3"/>
    <s v="OK"/>
    <n v="16072.17"/>
    <s v="OK"/>
    <n v="13630.4"/>
    <x v="1"/>
    <s v="OK"/>
  </r>
  <r>
    <s v="TXN10003"/>
    <d v="2025-04-23T00:00:00"/>
    <x v="26"/>
    <x v="5"/>
    <x v="2"/>
    <x v="4"/>
    <n v="8"/>
    <s v="OK"/>
    <n v="4289.1499999999996"/>
    <s v="OK"/>
    <n v="3504.72"/>
    <x v="1"/>
    <s v="OK"/>
  </r>
  <r>
    <s v="TXN10513"/>
    <d v="2025-04-23T00:00:00"/>
    <x v="25"/>
    <x v="3"/>
    <x v="4"/>
    <x v="18"/>
    <n v="-2"/>
    <s v="Negative Quantity"/>
    <n v="1941.97"/>
    <s v="OK"/>
    <n v="1571.96"/>
    <x v="4"/>
    <s v="OK"/>
  </r>
  <r>
    <s v="TXN10949"/>
    <d v="2025-04-23T00:00:00"/>
    <x v="1"/>
    <x v="2"/>
    <x v="3"/>
    <x v="21"/>
    <n v="6"/>
    <s v="OK"/>
    <n v="5569.55"/>
    <s v="OK"/>
    <n v="4631.8599999999997"/>
    <x v="0"/>
    <s v="OK"/>
  </r>
  <r>
    <s v="TXN10793"/>
    <d v="2025-04-23T00:00:00"/>
    <x v="9"/>
    <x v="2"/>
    <x v="3"/>
    <x v="19"/>
    <n v="5"/>
    <s v="OK"/>
    <n v="3820"/>
    <s v="OK"/>
    <n v="3096.3"/>
    <x v="2"/>
    <s v="OK"/>
  </r>
  <r>
    <s v="TXN10135"/>
    <d v="2025-04-24T00:00:00"/>
    <x v="8"/>
    <x v="4"/>
    <x v="4"/>
    <x v="18"/>
    <n v="2"/>
    <s v="OK"/>
    <n v="2315.06"/>
    <s v="OK"/>
    <n v="1627.97"/>
    <x v="3"/>
    <s v="OK"/>
  </r>
  <r>
    <s v="TXN10326"/>
    <d v="2025-04-24T00:00:00"/>
    <x v="15"/>
    <x v="3"/>
    <x v="1"/>
    <x v="1"/>
    <n v="4"/>
    <s v="OK"/>
    <n v="8522.81"/>
    <s v="OK"/>
    <n v="5787.62"/>
    <x v="2"/>
    <s v="OK"/>
  </r>
  <r>
    <s v="TXN10640"/>
    <d v="2025-04-24T00:00:00"/>
    <x v="0"/>
    <x v="0"/>
    <x v="1"/>
    <x v="1"/>
    <n v="4"/>
    <s v="OK"/>
    <n v="15532.82"/>
    <s v="OK"/>
    <n v="8654.2900000000009"/>
    <x v="3"/>
    <s v="OK"/>
  </r>
  <r>
    <s v="TXN10274"/>
    <d v="2025-04-25T00:00:00"/>
    <x v="26"/>
    <x v="2"/>
    <x v="2"/>
    <x v="16"/>
    <n v="1"/>
    <s v="OK"/>
    <n v="5390.78"/>
    <s v="OK"/>
    <n v="4705.62"/>
    <x v="0"/>
    <s v="OK"/>
  </r>
  <r>
    <s v="TXN11166"/>
    <d v="2025-04-26T00:00:00"/>
    <x v="10"/>
    <x v="0"/>
    <x v="4"/>
    <x v="26"/>
    <n v="5"/>
    <s v="OK"/>
    <n v="282.06"/>
    <s v="OK"/>
    <n v="190.24"/>
    <x v="4"/>
    <s v="OK"/>
  </r>
  <r>
    <s v="TXN10283"/>
    <d v="2025-04-26T00:00:00"/>
    <x v="17"/>
    <x v="4"/>
    <x v="0"/>
    <x v="7"/>
    <n v="5"/>
    <s v="OK"/>
    <n v="2172.34"/>
    <s v="OK"/>
    <n v="1298.27"/>
    <x v="0"/>
    <s v="OK"/>
  </r>
  <r>
    <s v="TXN11140"/>
    <d v="2025-04-26T00:00:00"/>
    <x v="22"/>
    <x v="3"/>
    <x v="3"/>
    <x v="5"/>
    <n v="1"/>
    <s v="OK"/>
    <n v="5577.37"/>
    <s v="OK"/>
    <n v="4495.88"/>
    <x v="0"/>
    <s v="OK"/>
  </r>
  <r>
    <s v="TXN10604"/>
    <d v="2025-04-27T00:00:00"/>
    <x v="10"/>
    <x v="0"/>
    <x v="0"/>
    <x v="0"/>
    <n v="2"/>
    <s v="OK"/>
    <n v="1216.28"/>
    <s v="OK"/>
    <n v="815.77"/>
    <x v="3"/>
    <s v="OK"/>
  </r>
  <r>
    <s v="TXN11225"/>
    <d v="2025-04-27T00:00:00"/>
    <x v="0"/>
    <x v="3"/>
    <x v="3"/>
    <x v="24"/>
    <n v="7"/>
    <s v="OK"/>
    <n v="2619.61"/>
    <s v="OK"/>
    <n v="1746.21"/>
    <x v="3"/>
    <s v="OK"/>
  </r>
  <r>
    <s v="TXN10151"/>
    <d v="2025-04-27T00:00:00"/>
    <x v="24"/>
    <x v="5"/>
    <x v="0"/>
    <x v="2"/>
    <n v="7"/>
    <s v="OK"/>
    <n v="979.54"/>
    <s v="OK"/>
    <n v="685.34"/>
    <x v="0"/>
    <s v="OK"/>
  </r>
  <r>
    <s v="TXN10843"/>
    <d v="2025-04-27T00:00:00"/>
    <x v="0"/>
    <x v="3"/>
    <x v="3"/>
    <x v="5"/>
    <n v="5"/>
    <s v="OK"/>
    <n v="1189.3900000000001"/>
    <s v="OK"/>
    <n v="705.27"/>
    <x v="1"/>
    <s v="OK"/>
  </r>
  <r>
    <s v="TXN10302"/>
    <d v="2025-04-28T00:00:00"/>
    <x v="19"/>
    <x v="3"/>
    <x v="2"/>
    <x v="15"/>
    <n v="4"/>
    <s v="OK"/>
    <n v="6348.4"/>
    <s v="OK"/>
    <n v="4941.9399999999996"/>
    <x v="2"/>
    <s v="OK"/>
  </r>
  <r>
    <s v="TXN10794"/>
    <d v="2025-04-28T00:00:00"/>
    <x v="7"/>
    <x v="5"/>
    <x v="2"/>
    <x v="3"/>
    <n v="2"/>
    <s v="OK"/>
    <n v="3117.19"/>
    <s v="OK"/>
    <n v="2251.1799999999998"/>
    <x v="4"/>
    <s v="OK"/>
  </r>
  <r>
    <s v="TXN10010"/>
    <d v="2025-04-28T00:00:00"/>
    <x v="4"/>
    <x v="3"/>
    <x v="4"/>
    <x v="6"/>
    <n v="1"/>
    <s v="OK"/>
    <n v="2866.4"/>
    <s v="OK"/>
    <n v="1955.99"/>
    <x v="1"/>
    <s v="OK"/>
  </r>
  <r>
    <s v="TXN10359"/>
    <d v="2025-04-28T00:00:00"/>
    <x v="14"/>
    <x v="5"/>
    <x v="0"/>
    <x v="10"/>
    <n v="7"/>
    <s v="OK"/>
    <n v="405.46"/>
    <s v="OK"/>
    <n v="330.84"/>
    <x v="1"/>
    <s v="OK"/>
  </r>
  <r>
    <s v="TXN10564"/>
    <d v="2025-04-28T00:00:00"/>
    <x v="24"/>
    <x v="5"/>
    <x v="1"/>
    <x v="27"/>
    <n v="8"/>
    <s v="OK"/>
    <n v="14291.17"/>
    <s v="OK"/>
    <n v="12336.87"/>
    <x v="1"/>
    <s v="OK"/>
  </r>
  <r>
    <s v="TXN10633"/>
    <d v="2025-04-29T00:00:00"/>
    <x v="23"/>
    <x v="4"/>
    <x v="1"/>
    <x v="22"/>
    <n v="7"/>
    <s v="OK"/>
    <n v="4139.7700000000004"/>
    <s v="OK"/>
    <n v="2995.72"/>
    <x v="4"/>
    <s v="OK"/>
  </r>
  <r>
    <s v="TXN10812"/>
    <d v="2025-04-29T00:00:00"/>
    <x v="30"/>
    <x v="5"/>
    <x v="1"/>
    <x v="22"/>
    <n v="6"/>
    <s v="OK"/>
    <n v="7939.93"/>
    <s v="OK"/>
    <n v="5265.14"/>
    <x v="3"/>
    <s v="OK"/>
  </r>
  <r>
    <s v="TXN10007"/>
    <d v="2025-04-30T00:00:00"/>
    <x v="12"/>
    <x v="5"/>
    <x v="4"/>
    <x v="6"/>
    <n v="2"/>
    <s v="OK"/>
    <n v="1485.41"/>
    <s v="OK"/>
    <n v="1039.23"/>
    <x v="3"/>
    <s v="OK"/>
  </r>
  <r>
    <s v="TXN10973"/>
    <d v="2025-04-30T00:00:00"/>
    <x v="3"/>
    <x v="3"/>
    <x v="2"/>
    <x v="3"/>
    <n v="6"/>
    <s v="OK"/>
    <n v="2374.73"/>
    <s v="OK"/>
    <n v="1828.74"/>
    <x v="2"/>
    <s v="OK"/>
  </r>
  <r>
    <s v="TXN10097"/>
    <d v="2025-04-30T00:00:00"/>
    <x v="14"/>
    <x v="2"/>
    <x v="1"/>
    <x v="27"/>
    <n v="5"/>
    <s v="OK"/>
    <n v="14371.86"/>
    <s v="OK"/>
    <n v="10868.99"/>
    <x v="4"/>
    <s v="OK"/>
  </r>
  <r>
    <s v="TXN10895"/>
    <d v="2025-05-01T00:00:00"/>
    <x v="10"/>
    <x v="0"/>
    <x v="4"/>
    <x v="6"/>
    <n v="5"/>
    <s v="OK"/>
    <n v="933.76"/>
    <s v="OK"/>
    <n v="787.89"/>
    <x v="0"/>
    <s v="OK"/>
  </r>
  <r>
    <s v="TXN10618"/>
    <d v="2025-05-01T00:00:00"/>
    <x v="1"/>
    <x v="3"/>
    <x v="3"/>
    <x v="24"/>
    <n v="7"/>
    <s v="OK"/>
    <n v="2284.8200000000002"/>
    <s v="OK"/>
    <n v="1382.84"/>
    <x v="3"/>
    <s v="OK"/>
  </r>
  <r>
    <s v="TXN10429"/>
    <d v="2025-05-01T00:00:00"/>
    <x v="2"/>
    <x v="4"/>
    <x v="0"/>
    <x v="0"/>
    <n v="8"/>
    <s v="OK"/>
    <n v="887.36"/>
    <s v="OK"/>
    <n v="603.66"/>
    <x v="1"/>
    <s v="OK"/>
  </r>
  <r>
    <s v="TXN10488"/>
    <d v="2025-05-01T00:00:00"/>
    <x v="4"/>
    <x v="4"/>
    <x v="0"/>
    <x v="2"/>
    <n v="2"/>
    <s v="OK"/>
    <n v="1255.92"/>
    <s v="OK"/>
    <n v="1022.84"/>
    <x v="0"/>
    <s v="OK"/>
  </r>
  <r>
    <s v="TXN11047"/>
    <d v="2025-05-01T00:00:00"/>
    <x v="23"/>
    <x v="5"/>
    <x v="3"/>
    <x v="17"/>
    <n v="7"/>
    <s v="OK"/>
    <n v="1702.27"/>
    <s v="OK"/>
    <n v="1175"/>
    <x v="0"/>
    <s v="OK"/>
  </r>
  <r>
    <s v="TXN10870"/>
    <d v="2025-05-01T00:00:00"/>
    <x v="16"/>
    <x v="3"/>
    <x v="3"/>
    <x v="25"/>
    <n v="5"/>
    <s v="OK"/>
    <n v="3758.92"/>
    <s v="OK"/>
    <n v="3196.69"/>
    <x v="1"/>
    <s v="OK"/>
  </r>
  <r>
    <s v="TXN10196"/>
    <d v="2025-05-02T00:00:00"/>
    <x v="21"/>
    <x v="2"/>
    <x v="1"/>
    <x v="1"/>
    <n v="5"/>
    <s v="OK"/>
    <n v="2983.61"/>
    <s v="OK"/>
    <n v="1875.75"/>
    <x v="2"/>
    <s v="OK"/>
  </r>
  <r>
    <s v="TXN10894"/>
    <d v="2025-05-02T00:00:00"/>
    <x v="7"/>
    <x v="3"/>
    <x v="1"/>
    <x v="9"/>
    <n v="8"/>
    <s v="OK"/>
    <n v="7542.85"/>
    <s v="OK"/>
    <n v="6413.16"/>
    <x v="0"/>
    <s v="OK"/>
  </r>
  <r>
    <s v="TXN11030"/>
    <d v="2025-05-02T00:00:00"/>
    <x v="12"/>
    <x v="3"/>
    <x v="3"/>
    <x v="24"/>
    <n v="1"/>
    <s v="OK"/>
    <n v="2821.34"/>
    <s v="OK"/>
    <n v="1733.67"/>
    <x v="4"/>
    <s v="OK"/>
  </r>
  <r>
    <s v="TXN10507"/>
    <d v="2025-05-02T00:00:00"/>
    <x v="13"/>
    <x v="5"/>
    <x v="2"/>
    <x v="4"/>
    <n v="5"/>
    <s v="OK"/>
    <n v="4973.38"/>
    <s v="OK"/>
    <n v="2812.46"/>
    <x v="0"/>
    <s v="OK"/>
  </r>
  <r>
    <s v="TXN10706"/>
    <d v="2025-05-02T00:00:00"/>
    <x v="18"/>
    <x v="2"/>
    <x v="1"/>
    <x v="28"/>
    <n v="6"/>
    <s v="OK"/>
    <n v="8627.6"/>
    <s v="OK"/>
    <n v="7452"/>
    <x v="4"/>
    <s v="OK"/>
  </r>
  <r>
    <s v="TXN11210"/>
    <d v="2025-05-02T00:00:00"/>
    <x v="29"/>
    <x v="5"/>
    <x v="1"/>
    <x v="9"/>
    <n v="5"/>
    <s v="OK"/>
    <n v="1568.45"/>
    <s v="OK"/>
    <n v="939.32"/>
    <x v="3"/>
    <s v="OK"/>
  </r>
  <r>
    <s v="TXN10114"/>
    <d v="2025-05-03T00:00:00"/>
    <x v="9"/>
    <x v="0"/>
    <x v="3"/>
    <x v="5"/>
    <n v="7"/>
    <s v="OK"/>
    <n v="1784.59"/>
    <s v="OK"/>
    <n v="1438.25"/>
    <x v="1"/>
    <s v="OK"/>
  </r>
  <r>
    <s v="TXN11248"/>
    <d v="2025-05-03T00:00:00"/>
    <x v="1"/>
    <x v="4"/>
    <x v="4"/>
    <x v="6"/>
    <n v="5"/>
    <s v="OK"/>
    <n v="778.97"/>
    <s v="OK"/>
    <n v="455.8"/>
    <x v="4"/>
    <s v="OK"/>
  </r>
  <r>
    <s v="TXN11039"/>
    <d v="2025-05-03T00:00:00"/>
    <x v="10"/>
    <x v="5"/>
    <x v="4"/>
    <x v="23"/>
    <n v="6"/>
    <s v="OK"/>
    <n v="2880.84"/>
    <s v="OK"/>
    <n v="2212.77"/>
    <x v="2"/>
    <s v="OK"/>
  </r>
  <r>
    <s v="TXN10516"/>
    <d v="2025-05-04T00:00:00"/>
    <x v="15"/>
    <x v="3"/>
    <x v="4"/>
    <x v="23"/>
    <n v="4"/>
    <s v="OK"/>
    <n v="3366.41"/>
    <s v="OK"/>
    <n v="2609.7800000000002"/>
    <x v="3"/>
    <s v="OK"/>
  </r>
  <r>
    <s v="TXN10084"/>
    <d v="2025-05-04T00:00:00"/>
    <x v="24"/>
    <x v="2"/>
    <x v="0"/>
    <x v="0"/>
    <n v="8"/>
    <s v="OK"/>
    <n v="1685.58"/>
    <s v="OK"/>
    <n v="1200.08"/>
    <x v="1"/>
    <s v="OK"/>
  </r>
  <r>
    <s v="TXN10298"/>
    <d v="2025-05-04T00:00:00"/>
    <x v="10"/>
    <x v="3"/>
    <x v="2"/>
    <x v="16"/>
    <n v="4"/>
    <s v="OK"/>
    <n v="4490.55"/>
    <s v="OK"/>
    <n v="2843.86"/>
    <x v="3"/>
    <s v="OK"/>
  </r>
  <r>
    <s v="TXN10549"/>
    <d v="2025-05-05T00:00:00"/>
    <x v="29"/>
    <x v="3"/>
    <x v="0"/>
    <x v="10"/>
    <n v="1"/>
    <s v="OK"/>
    <n v="494.14"/>
    <s v="OK"/>
    <n v="368.37"/>
    <x v="4"/>
    <s v="OK"/>
  </r>
  <r>
    <s v="TXN10319"/>
    <d v="2025-05-05T00:00:00"/>
    <x v="5"/>
    <x v="0"/>
    <x v="0"/>
    <x v="0"/>
    <n v="6"/>
    <s v="OK"/>
    <n v="1064.93"/>
    <s v="OK"/>
    <n v="872.65"/>
    <x v="0"/>
    <s v="OK"/>
  </r>
  <r>
    <s v="TXN10252"/>
    <d v="2025-05-05T00:00:00"/>
    <x v="15"/>
    <x v="4"/>
    <x v="2"/>
    <x v="16"/>
    <n v="1"/>
    <s v="OK"/>
    <n v="4820.8999999999996"/>
    <s v="OK"/>
    <n v="3496.33"/>
    <x v="4"/>
    <s v="OK"/>
  </r>
  <r>
    <s v="TXN10651"/>
    <d v="2025-05-05T00:00:00"/>
    <x v="26"/>
    <x v="4"/>
    <x v="2"/>
    <x v="16"/>
    <n v="2"/>
    <s v="OK"/>
    <n v="2157.3000000000002"/>
    <s v="OK"/>
    <n v="1492.68"/>
    <x v="2"/>
    <s v="OK"/>
  </r>
  <r>
    <s v="TXN11037"/>
    <d v="2025-05-06T00:00:00"/>
    <x v="24"/>
    <x v="5"/>
    <x v="4"/>
    <x v="18"/>
    <n v="3"/>
    <s v="OK"/>
    <n v="886.96"/>
    <s v="OK"/>
    <n v="539.37"/>
    <x v="3"/>
    <s v="OK"/>
  </r>
  <r>
    <s v="TXN10714"/>
    <d v="2025-05-06T00:00:00"/>
    <x v="18"/>
    <x v="5"/>
    <x v="4"/>
    <x v="18"/>
    <n v="3"/>
    <s v="OK"/>
    <n v="481.54"/>
    <s v="OK"/>
    <n v="362.3"/>
    <x v="3"/>
    <s v="OK"/>
  </r>
  <r>
    <s v="TXN11004"/>
    <d v="2025-05-06T00:00:00"/>
    <x v="17"/>
    <x v="3"/>
    <x v="0"/>
    <x v="13"/>
    <n v="6"/>
    <s v="OK"/>
    <n v="985.75"/>
    <s v="OK"/>
    <n v="691.73"/>
    <x v="2"/>
    <s v="OK"/>
  </r>
  <r>
    <s v="TXN10227"/>
    <d v="2025-05-06T00:00:00"/>
    <x v="30"/>
    <x v="3"/>
    <x v="4"/>
    <x v="23"/>
    <n v="7"/>
    <s v="OK"/>
    <n v="1216.6600000000001"/>
    <s v="OK"/>
    <n v="698.46"/>
    <x v="1"/>
    <s v="OK"/>
  </r>
  <r>
    <s v="TXN10009"/>
    <d v="2025-05-06T00:00:00"/>
    <x v="8"/>
    <x v="3"/>
    <x v="3"/>
    <x v="21"/>
    <n v="3"/>
    <s v="OK"/>
    <n v="3042.43"/>
    <s v="OK"/>
    <n v="1944.36"/>
    <x v="2"/>
    <s v="OK"/>
  </r>
  <r>
    <s v="TXN11069"/>
    <d v="2025-05-07T00:00:00"/>
    <x v="9"/>
    <x v="3"/>
    <x v="0"/>
    <x v="0"/>
    <n v="6"/>
    <s v="OK"/>
    <n v="2293.6999999999998"/>
    <s v="OK"/>
    <n v="1927.05"/>
    <x v="0"/>
    <s v="OK"/>
  </r>
  <r>
    <s v="TXN10063"/>
    <d v="2025-05-07T00:00:00"/>
    <x v="24"/>
    <x v="2"/>
    <x v="0"/>
    <x v="13"/>
    <n v="5"/>
    <s v="OK"/>
    <n v="1961.37"/>
    <s v="OK"/>
    <n v="1416.17"/>
    <x v="4"/>
    <s v="OK"/>
  </r>
  <r>
    <s v="TXN10974"/>
    <d v="2025-05-07T00:00:00"/>
    <x v="12"/>
    <x v="5"/>
    <x v="0"/>
    <x v="0"/>
    <n v="2"/>
    <s v="OK"/>
    <n v="954.05"/>
    <s v="OK"/>
    <n v="708.08"/>
    <x v="3"/>
    <s v="OK"/>
  </r>
  <r>
    <s v="TXN10661"/>
    <d v="2025-05-07T00:00:00"/>
    <x v="26"/>
    <x v="3"/>
    <x v="1"/>
    <x v="22"/>
    <n v="0"/>
    <s v="Zero Quantity"/>
    <n v="6604.04"/>
    <s v="OK"/>
    <n v="4489.57"/>
    <x v="4"/>
    <s v="OK"/>
  </r>
  <r>
    <s v="TXN10022"/>
    <d v="2025-05-07T00:00:00"/>
    <x v="9"/>
    <x v="4"/>
    <x v="0"/>
    <x v="10"/>
    <n v="4"/>
    <s v="OK"/>
    <n v="347.26"/>
    <s v="OK"/>
    <n v="193.4"/>
    <x v="2"/>
    <s v="OK"/>
  </r>
  <r>
    <s v="TXN11171"/>
    <d v="2025-05-08T00:00:00"/>
    <x v="10"/>
    <x v="3"/>
    <x v="4"/>
    <x v="29"/>
    <n v="7"/>
    <s v="OK"/>
    <n v="2547.06"/>
    <s v="OK"/>
    <n v="1554.79"/>
    <x v="3"/>
    <s v="OK"/>
  </r>
  <r>
    <s v="TXN11099"/>
    <d v="2025-05-08T00:00:00"/>
    <x v="4"/>
    <x v="2"/>
    <x v="3"/>
    <x v="21"/>
    <n v="5"/>
    <s v="OK"/>
    <n v="2069.44"/>
    <s v="OK"/>
    <n v="1444.32"/>
    <x v="4"/>
    <s v="OK"/>
  </r>
  <r>
    <s v="TXN10615"/>
    <d v="2025-05-08T00:00:00"/>
    <x v="22"/>
    <x v="2"/>
    <x v="1"/>
    <x v="22"/>
    <n v="7"/>
    <s v="OK"/>
    <n v="14087.95"/>
    <s v="OK"/>
    <n v="9807.7099999999991"/>
    <x v="1"/>
    <s v="OK"/>
  </r>
  <r>
    <s v="TXN10642"/>
    <d v="2025-05-08T00:00:00"/>
    <x v="0"/>
    <x v="0"/>
    <x v="4"/>
    <x v="18"/>
    <n v="4"/>
    <s v="OK"/>
    <n v="1082.79"/>
    <s v="OK"/>
    <n v="702.84"/>
    <x v="2"/>
    <s v="OK"/>
  </r>
  <r>
    <s v="TXN10764"/>
    <d v="2025-05-09T00:00:00"/>
    <x v="16"/>
    <x v="3"/>
    <x v="1"/>
    <x v="9"/>
    <n v="8"/>
    <s v="OK"/>
    <n v="1220.8800000000001"/>
    <s v="OK"/>
    <n v="872"/>
    <x v="1"/>
    <s v="OK"/>
  </r>
  <r>
    <s v="TXN10888"/>
    <d v="2025-05-09T00:00:00"/>
    <x v="21"/>
    <x v="3"/>
    <x v="2"/>
    <x v="3"/>
    <n v="8"/>
    <s v="OK"/>
    <m/>
    <s v="Missing Sales"/>
    <n v="3921.07"/>
    <x v="1"/>
    <s v="Missing Data"/>
  </r>
  <r>
    <s v="TXN10223"/>
    <d v="2025-05-09T00:00:00"/>
    <x v="1"/>
    <x v="4"/>
    <x v="4"/>
    <x v="6"/>
    <n v="4"/>
    <s v="OK"/>
    <n v="2313.94"/>
    <s v="OK"/>
    <n v="1693.29"/>
    <x v="4"/>
    <s v="OK"/>
  </r>
  <r>
    <s v="TXN10598"/>
    <d v="2025-05-09T00:00:00"/>
    <x v="0"/>
    <x v="3"/>
    <x v="3"/>
    <x v="5"/>
    <n v="2"/>
    <s v="OK"/>
    <n v="1658.14"/>
    <s v="OK"/>
    <n v="1129.23"/>
    <x v="1"/>
    <s v="OK"/>
  </r>
  <r>
    <s v="TXN11204"/>
    <d v="2025-05-10T00:00:00"/>
    <x v="23"/>
    <x v="2"/>
    <x v="2"/>
    <x v="8"/>
    <n v="6"/>
    <s v="OK"/>
    <n v="6306.43"/>
    <s v="OK"/>
    <n v="4401.88"/>
    <x v="1"/>
    <s v="OK"/>
  </r>
  <r>
    <s v="TXN10449"/>
    <d v="2025-05-10T00:00:00"/>
    <x v="19"/>
    <x v="2"/>
    <x v="4"/>
    <x v="23"/>
    <n v="4"/>
    <s v="OK"/>
    <n v="1766.77"/>
    <s v="OK"/>
    <n v="1366.55"/>
    <x v="2"/>
    <s v="OK"/>
  </r>
  <r>
    <s v="TXN10105"/>
    <d v="2025-05-10T00:00:00"/>
    <x v="16"/>
    <x v="2"/>
    <x v="1"/>
    <x v="1"/>
    <n v="6"/>
    <s v="OK"/>
    <n v="2882.26"/>
    <s v="OK"/>
    <n v="2320.0500000000002"/>
    <x v="2"/>
    <s v="OK"/>
  </r>
  <r>
    <s v="TXN10270"/>
    <d v="2025-05-11T00:00:00"/>
    <x v="12"/>
    <x v="0"/>
    <x v="1"/>
    <x v="28"/>
    <n v="1"/>
    <s v="OK"/>
    <n v="13653.26"/>
    <s v="OK"/>
    <n v="10114.92"/>
    <x v="1"/>
    <s v="OK"/>
  </r>
  <r>
    <s v="TXN10511"/>
    <d v="2025-05-11T00:00:00"/>
    <x v="18"/>
    <x v="5"/>
    <x v="3"/>
    <x v="21"/>
    <n v="1"/>
    <s v="OK"/>
    <n v="2318.1"/>
    <s v="OK"/>
    <n v="1817.85"/>
    <x v="4"/>
    <s v="OK"/>
  </r>
  <r>
    <s v="TXN11215"/>
    <d v="2025-05-12T00:00:00"/>
    <x v="15"/>
    <x v="3"/>
    <x v="0"/>
    <x v="11"/>
    <n v="4"/>
    <s v="OK"/>
    <n v="2078.75"/>
    <s v="OK"/>
    <n v="1294.67"/>
    <x v="3"/>
    <s v="OK"/>
  </r>
  <r>
    <s v="TXN10259"/>
    <d v="2025-05-12T00:00:00"/>
    <x v="29"/>
    <x v="3"/>
    <x v="0"/>
    <x v="11"/>
    <n v="3"/>
    <s v="OK"/>
    <n v="232.39"/>
    <s v="OK"/>
    <n v="153.66999999999999"/>
    <x v="3"/>
    <s v="OK"/>
  </r>
  <r>
    <s v="TXN11131"/>
    <d v="2025-05-12T00:00:00"/>
    <x v="17"/>
    <x v="0"/>
    <x v="3"/>
    <x v="5"/>
    <n v="8"/>
    <s v="OK"/>
    <n v="5733.27"/>
    <s v="OK"/>
    <n v="4422.0600000000004"/>
    <x v="4"/>
    <s v="OK"/>
  </r>
  <r>
    <s v="TXN10131"/>
    <d v="2025-05-12T00:00:00"/>
    <x v="21"/>
    <x v="4"/>
    <x v="4"/>
    <x v="26"/>
    <n v="8"/>
    <s v="OK"/>
    <n v="3394"/>
    <s v="OK"/>
    <n v="2197.2600000000002"/>
    <x v="3"/>
    <s v="OK"/>
  </r>
  <r>
    <s v="TXN10970"/>
    <d v="2025-05-13T00:00:00"/>
    <x v="11"/>
    <x v="3"/>
    <x v="2"/>
    <x v="3"/>
    <n v="4"/>
    <s v="OK"/>
    <n v="5892.71"/>
    <s v="OK"/>
    <n v="3832.03"/>
    <x v="0"/>
    <s v="OK"/>
  </r>
  <r>
    <s v="TXN10971"/>
    <d v="2025-05-13T00:00:00"/>
    <x v="21"/>
    <x v="3"/>
    <x v="1"/>
    <x v="1"/>
    <n v="6"/>
    <s v="OK"/>
    <n v="3017.2"/>
    <s v="OK"/>
    <n v="2412.75"/>
    <x v="1"/>
    <s v="OK"/>
  </r>
  <r>
    <s v="TXN10456"/>
    <d v="2025-05-13T00:00:00"/>
    <x v="30"/>
    <x v="3"/>
    <x v="0"/>
    <x v="7"/>
    <n v="3"/>
    <s v="OK"/>
    <n v="2377.92"/>
    <s v="OK"/>
    <n v="2013.78"/>
    <x v="1"/>
    <s v="OK"/>
  </r>
  <r>
    <s v="TXN10432"/>
    <d v="2025-05-13T00:00:00"/>
    <x v="22"/>
    <x v="3"/>
    <x v="3"/>
    <x v="21"/>
    <n v="6"/>
    <s v="OK"/>
    <n v="5509.42"/>
    <s v="OK"/>
    <n v="4692.25"/>
    <x v="1"/>
    <s v="OK"/>
  </r>
  <r>
    <s v="TXN10585"/>
    <d v="2025-05-13T00:00:00"/>
    <x v="15"/>
    <x v="0"/>
    <x v="4"/>
    <x v="18"/>
    <n v="3"/>
    <s v="OK"/>
    <n v="2032.83"/>
    <s v="OK"/>
    <n v="1277.1400000000001"/>
    <x v="0"/>
    <s v="OK"/>
  </r>
  <r>
    <s v="TXN10936"/>
    <d v="2025-05-16T00:00:00"/>
    <x v="24"/>
    <x v="2"/>
    <x v="0"/>
    <x v="0"/>
    <n v="6"/>
    <s v="OK"/>
    <n v="2423.46"/>
    <s v="OK"/>
    <n v="2029.75"/>
    <x v="4"/>
    <s v="OK"/>
  </r>
  <r>
    <s v="TXN10030"/>
    <d v="2025-05-16T00:00:00"/>
    <x v="29"/>
    <x v="2"/>
    <x v="1"/>
    <x v="28"/>
    <n v="8"/>
    <s v="OK"/>
    <n v="5777.76"/>
    <s v="OK"/>
    <n v="4505.93"/>
    <x v="2"/>
    <s v="OK"/>
  </r>
  <r>
    <s v="TXN10632"/>
    <d v="2025-05-17T00:00:00"/>
    <x v="22"/>
    <x v="0"/>
    <x v="1"/>
    <x v="9"/>
    <n v="1"/>
    <s v="OK"/>
    <n v="13456.54"/>
    <s v="OK"/>
    <n v="11106.63"/>
    <x v="1"/>
    <s v="OK"/>
  </r>
  <r>
    <s v="TXN10955"/>
    <d v="2025-05-17T00:00:00"/>
    <x v="5"/>
    <x v="0"/>
    <x v="1"/>
    <x v="9"/>
    <n v="3"/>
    <s v="OK"/>
    <n v="15493.28"/>
    <s v="OK"/>
    <n v="12988.32"/>
    <x v="2"/>
    <s v="OK"/>
  </r>
  <r>
    <s v="TXN10107"/>
    <d v="2025-05-17T00:00:00"/>
    <x v="6"/>
    <x v="2"/>
    <x v="1"/>
    <x v="20"/>
    <n v="3"/>
    <s v="OK"/>
    <n v="16763.2"/>
    <s v="OK"/>
    <n v="11643.36"/>
    <x v="0"/>
    <s v="OK"/>
  </r>
  <r>
    <s v="TXN10906"/>
    <d v="2025-05-17T00:00:00"/>
    <x v="15"/>
    <x v="5"/>
    <x v="3"/>
    <x v="25"/>
    <n v="5"/>
    <s v="OK"/>
    <n v="4605.4399999999996"/>
    <s v="OK"/>
    <n v="3113.67"/>
    <x v="0"/>
    <s v="OK"/>
  </r>
  <r>
    <s v="TXN11119"/>
    <d v="2025-05-17T00:00:00"/>
    <x v="12"/>
    <x v="3"/>
    <x v="1"/>
    <x v="22"/>
    <n v="1"/>
    <s v="OK"/>
    <n v="12277.01"/>
    <s v="OK"/>
    <n v="9949.76"/>
    <x v="1"/>
    <s v="OK"/>
  </r>
  <r>
    <s v="TXN10352"/>
    <d v="2025-05-18T00:00:00"/>
    <x v="23"/>
    <x v="2"/>
    <x v="3"/>
    <x v="17"/>
    <n v="6"/>
    <s v="OK"/>
    <n v="5055.8900000000003"/>
    <s v="OK"/>
    <n v="3344.26"/>
    <x v="2"/>
    <s v="OK"/>
  </r>
  <r>
    <s v="TXN10479"/>
    <d v="2025-05-18T00:00:00"/>
    <x v="5"/>
    <x v="0"/>
    <x v="0"/>
    <x v="0"/>
    <n v="2"/>
    <s v="OK"/>
    <n v="1057.03"/>
    <s v="OK"/>
    <n v="700.92"/>
    <x v="1"/>
    <s v="OK"/>
  </r>
  <r>
    <s v="TXN10314"/>
    <d v="2025-05-18T00:00:00"/>
    <x v="29"/>
    <x v="5"/>
    <x v="4"/>
    <x v="14"/>
    <n v="8"/>
    <s v="OK"/>
    <n v="724.29"/>
    <s v="OK"/>
    <n v="438.32"/>
    <x v="3"/>
    <s v="OK"/>
  </r>
  <r>
    <s v="TXN10947"/>
    <d v="2025-05-18T00:00:00"/>
    <x v="3"/>
    <x v="0"/>
    <x v="2"/>
    <x v="15"/>
    <n v="7"/>
    <s v="OK"/>
    <n v="6268.33"/>
    <s v="OK"/>
    <n v="3689.48"/>
    <x v="2"/>
    <s v="OK"/>
  </r>
  <r>
    <s v="TXN11163"/>
    <d v="2025-05-18T00:00:00"/>
    <x v="26"/>
    <x v="5"/>
    <x v="1"/>
    <x v="27"/>
    <n v="4"/>
    <s v="OK"/>
    <n v="13117.01"/>
    <s v="OK"/>
    <n v="9654.14"/>
    <x v="2"/>
    <s v="OK"/>
  </r>
  <r>
    <s v="TXN10080"/>
    <d v="2025-05-19T00:00:00"/>
    <x v="2"/>
    <x v="5"/>
    <x v="2"/>
    <x v="8"/>
    <n v="8"/>
    <s v="OK"/>
    <n v="3468.17"/>
    <s v="OK"/>
    <n v="2852.54"/>
    <x v="2"/>
    <s v="OK"/>
  </r>
  <r>
    <s v="TXN10162"/>
    <d v="2025-05-20T00:00:00"/>
    <x v="27"/>
    <x v="4"/>
    <x v="0"/>
    <x v="2"/>
    <n v="4"/>
    <s v="OK"/>
    <n v="1936.37"/>
    <s v="OK"/>
    <n v="1137.73"/>
    <x v="0"/>
    <s v="OK"/>
  </r>
  <r>
    <s v="TXN10375"/>
    <d v="2025-05-20T00:00:00"/>
    <x v="17"/>
    <x v="3"/>
    <x v="4"/>
    <x v="23"/>
    <n v="2"/>
    <s v="OK"/>
    <n v="1104.5899999999999"/>
    <s v="OK"/>
    <n v="962.94"/>
    <x v="1"/>
    <s v="OK"/>
  </r>
  <r>
    <s v="TXN10858"/>
    <d v="2025-05-20T00:00:00"/>
    <x v="18"/>
    <x v="3"/>
    <x v="2"/>
    <x v="3"/>
    <n v="7"/>
    <s v="OK"/>
    <n v="2750.24"/>
    <s v="OK"/>
    <n v="2117.69"/>
    <x v="0"/>
    <s v="OK"/>
  </r>
  <r>
    <s v="TXN10602"/>
    <d v="2025-05-20T00:00:00"/>
    <x v="13"/>
    <x v="2"/>
    <x v="0"/>
    <x v="0"/>
    <n v="8"/>
    <s v="OK"/>
    <n v="510.76"/>
    <s v="OK"/>
    <n v="440.79"/>
    <x v="2"/>
    <s v="OK"/>
  </r>
  <r>
    <s v="TXN10896"/>
    <d v="2025-05-21T00:00:00"/>
    <x v="6"/>
    <x v="0"/>
    <x v="0"/>
    <x v="10"/>
    <n v="2"/>
    <s v="OK"/>
    <n v="2093.35"/>
    <s v="OK"/>
    <n v="1801.04"/>
    <x v="0"/>
    <s v="OK"/>
  </r>
  <r>
    <s v="TXN11015"/>
    <d v="2025-05-21T00:00:00"/>
    <x v="13"/>
    <x v="0"/>
    <x v="0"/>
    <x v="2"/>
    <n v="2"/>
    <s v="OK"/>
    <n v="1764.4"/>
    <s v="OK"/>
    <n v="1242.0899999999999"/>
    <x v="3"/>
    <s v="OK"/>
  </r>
  <r>
    <s v="TXN10001"/>
    <d v="2025-05-21T00:00:00"/>
    <x v="6"/>
    <x v="3"/>
    <x v="1"/>
    <x v="27"/>
    <n v="4"/>
    <s v="OK"/>
    <n v="4716.8999999999996"/>
    <s v="OK"/>
    <n v="3740.67"/>
    <x v="2"/>
    <s v="OK"/>
  </r>
  <r>
    <s v="TXN10355"/>
    <d v="2025-05-21T00:00:00"/>
    <x v="7"/>
    <x v="3"/>
    <x v="4"/>
    <x v="26"/>
    <n v="0"/>
    <s v="Zero Quantity"/>
    <n v="2377.41"/>
    <s v="OK"/>
    <n v="1504.02"/>
    <x v="3"/>
    <s v="OK"/>
  </r>
  <r>
    <s v="TXN10712"/>
    <d v="2025-05-22T00:00:00"/>
    <x v="5"/>
    <x v="5"/>
    <x v="3"/>
    <x v="19"/>
    <n v="6"/>
    <s v="OK"/>
    <n v="4750.33"/>
    <s v="OK"/>
    <n v="3664.74"/>
    <x v="3"/>
    <s v="OK"/>
  </r>
  <r>
    <s v="TXN10572"/>
    <d v="2025-05-22T00:00:00"/>
    <x v="10"/>
    <x v="4"/>
    <x v="4"/>
    <x v="14"/>
    <n v="4"/>
    <s v="OK"/>
    <n v="2220.6799999999998"/>
    <s v="OK"/>
    <n v="1363.93"/>
    <x v="0"/>
    <s v="OK"/>
  </r>
  <r>
    <s v="TXN10083"/>
    <d v="2025-05-22T00:00:00"/>
    <x v="5"/>
    <x v="0"/>
    <x v="2"/>
    <x v="8"/>
    <n v="1"/>
    <s v="OK"/>
    <n v="3809.74"/>
    <s v="OK"/>
    <n v="2335.56"/>
    <x v="4"/>
    <s v="OK"/>
  </r>
  <r>
    <s v="TXN10143"/>
    <d v="2025-05-22T00:00:00"/>
    <x v="5"/>
    <x v="5"/>
    <x v="2"/>
    <x v="15"/>
    <n v="3"/>
    <s v="OK"/>
    <n v="6917.68"/>
    <s v="OK"/>
    <n v="5037.95"/>
    <x v="4"/>
    <s v="OK"/>
  </r>
  <r>
    <s v="TXN11172"/>
    <d v="2025-05-22T00:00:00"/>
    <x v="28"/>
    <x v="2"/>
    <x v="2"/>
    <x v="12"/>
    <n v="7"/>
    <s v="OK"/>
    <n v="3835.92"/>
    <s v="OK"/>
    <n v="3019.23"/>
    <x v="4"/>
    <s v="OK"/>
  </r>
  <r>
    <s v="TXN10847"/>
    <d v="2025-05-23T00:00:00"/>
    <x v="11"/>
    <x v="3"/>
    <x v="3"/>
    <x v="5"/>
    <n v="6"/>
    <s v="OK"/>
    <n v="2437.12"/>
    <s v="OK"/>
    <n v="2028.16"/>
    <x v="2"/>
    <s v="OK"/>
  </r>
  <r>
    <s v="TXN10081"/>
    <d v="2025-05-23T00:00:00"/>
    <x v="18"/>
    <x v="0"/>
    <x v="3"/>
    <x v="24"/>
    <n v="8"/>
    <s v="OK"/>
    <n v="1841.25"/>
    <s v="OK"/>
    <n v="1295.05"/>
    <x v="2"/>
    <s v="OK"/>
  </r>
  <r>
    <s v="TXN10004"/>
    <d v="2025-05-23T00:00:00"/>
    <x v="17"/>
    <x v="5"/>
    <x v="0"/>
    <x v="13"/>
    <n v="3"/>
    <s v="OK"/>
    <n v="695.22"/>
    <s v="OK"/>
    <n v="557.53"/>
    <x v="1"/>
    <s v="OK"/>
  </r>
  <r>
    <s v="TXN10688"/>
    <d v="2025-05-23T00:00:00"/>
    <x v="8"/>
    <x v="3"/>
    <x v="3"/>
    <x v="21"/>
    <n v="4"/>
    <s v="OK"/>
    <n v="769.05"/>
    <s v="OK"/>
    <n v="460.6"/>
    <x v="3"/>
    <s v="OK"/>
  </r>
  <r>
    <s v="TXN10247"/>
    <d v="2025-05-23T00:00:00"/>
    <x v="8"/>
    <x v="2"/>
    <x v="3"/>
    <x v="25"/>
    <n v="5"/>
    <s v="OK"/>
    <n v="1736.77"/>
    <s v="OK"/>
    <n v="1512.83"/>
    <x v="3"/>
    <s v="OK"/>
  </r>
  <r>
    <s v="TXN11016"/>
    <d v="2025-05-23T00:00:00"/>
    <x v="21"/>
    <x v="3"/>
    <x v="3"/>
    <x v="24"/>
    <n v="7"/>
    <s v="OK"/>
    <n v="3428.26"/>
    <s v="OK"/>
    <n v="2243.3200000000002"/>
    <x v="0"/>
    <s v="OK"/>
  </r>
  <r>
    <s v="TXN10350"/>
    <d v="2025-05-23T00:00:00"/>
    <x v="6"/>
    <x v="3"/>
    <x v="0"/>
    <x v="0"/>
    <n v="6"/>
    <s v="OK"/>
    <n v="1245.8"/>
    <s v="OK"/>
    <n v="885.83"/>
    <x v="2"/>
    <s v="OK"/>
  </r>
  <r>
    <s v="TXN11214"/>
    <d v="2025-05-24T00:00:00"/>
    <x v="22"/>
    <x v="0"/>
    <x v="3"/>
    <x v="5"/>
    <n v="3"/>
    <s v="OK"/>
    <n v="1907.93"/>
    <s v="OK"/>
    <n v="1059.21"/>
    <x v="2"/>
    <s v="OK"/>
  </r>
  <r>
    <s v="TXN11197"/>
    <d v="2025-05-24T00:00:00"/>
    <x v="30"/>
    <x v="3"/>
    <x v="4"/>
    <x v="14"/>
    <n v="6"/>
    <s v="OK"/>
    <n v="2562.65"/>
    <s v="OK"/>
    <n v="1618.31"/>
    <x v="1"/>
    <s v="OK"/>
  </r>
  <r>
    <s v="TXN10907"/>
    <d v="2025-05-25T00:00:00"/>
    <x v="13"/>
    <x v="5"/>
    <x v="2"/>
    <x v="16"/>
    <n v="4"/>
    <s v="OK"/>
    <n v="3160.98"/>
    <s v="OK"/>
    <n v="2164.6799999999998"/>
    <x v="4"/>
    <s v="OK"/>
  </r>
  <r>
    <s v="TXN10288"/>
    <d v="2025-05-25T00:00:00"/>
    <x v="20"/>
    <x v="5"/>
    <x v="2"/>
    <x v="12"/>
    <n v="7"/>
    <s v="OK"/>
    <n v="3477.25"/>
    <s v="OK"/>
    <n v="2656.89"/>
    <x v="3"/>
    <s v="OK"/>
  </r>
  <r>
    <s v="TXN10112"/>
    <d v="2025-05-25T00:00:00"/>
    <x v="5"/>
    <x v="4"/>
    <x v="4"/>
    <x v="6"/>
    <n v="5"/>
    <s v="OK"/>
    <n v="2971.8"/>
    <s v="OK"/>
    <n v="2203.2199999999998"/>
    <x v="0"/>
    <s v="OK"/>
  </r>
  <r>
    <s v="TXN11218"/>
    <d v="2025-05-25T00:00:00"/>
    <x v="3"/>
    <x v="2"/>
    <x v="3"/>
    <x v="5"/>
    <n v="1"/>
    <s v="OK"/>
    <n v="2205.88"/>
    <s v="OK"/>
    <n v="1857.65"/>
    <x v="0"/>
    <s v="OK"/>
  </r>
  <r>
    <s v="TXN10825"/>
    <d v="2025-05-26T00:00:00"/>
    <x v="1"/>
    <x v="2"/>
    <x v="4"/>
    <x v="6"/>
    <n v="6"/>
    <s v="OK"/>
    <n v="1391.9"/>
    <s v="OK"/>
    <n v="1214.55"/>
    <x v="5"/>
    <s v="OK"/>
  </r>
  <r>
    <s v="TXN10690"/>
    <d v="2025-05-26T00:00:00"/>
    <x v="2"/>
    <x v="5"/>
    <x v="3"/>
    <x v="5"/>
    <n v="3"/>
    <s v="OK"/>
    <n v="5814.61"/>
    <s v="OK"/>
    <n v="4635.88"/>
    <x v="3"/>
    <s v="OK"/>
  </r>
  <r>
    <s v="TXN10919"/>
    <d v="2025-05-26T00:00:00"/>
    <x v="15"/>
    <x v="0"/>
    <x v="1"/>
    <x v="20"/>
    <n v="3"/>
    <s v="OK"/>
    <n v="15177.71"/>
    <s v="OK"/>
    <n v="12103.91"/>
    <x v="3"/>
    <s v="OK"/>
  </r>
  <r>
    <s v="TXN11229"/>
    <d v="2025-05-27T00:00:00"/>
    <x v="0"/>
    <x v="3"/>
    <x v="4"/>
    <x v="18"/>
    <n v="6"/>
    <s v="OK"/>
    <n v="3095.06"/>
    <s v="OK"/>
    <n v="1979.17"/>
    <x v="0"/>
    <s v="OK"/>
  </r>
  <r>
    <s v="TXN10215"/>
    <d v="2025-05-27T00:00:00"/>
    <x v="14"/>
    <x v="2"/>
    <x v="3"/>
    <x v="21"/>
    <n v="8"/>
    <s v="OK"/>
    <n v="1600.98"/>
    <s v="OK"/>
    <n v="952.25"/>
    <x v="1"/>
    <s v="OK"/>
  </r>
  <r>
    <s v="TXN10194"/>
    <d v="2025-05-27T00:00:00"/>
    <x v="28"/>
    <x v="5"/>
    <x v="3"/>
    <x v="24"/>
    <n v="8"/>
    <s v="OK"/>
    <n v="4328.3999999999996"/>
    <s v="OK"/>
    <n v="2578.87"/>
    <x v="0"/>
    <s v="OK"/>
  </r>
  <r>
    <s v="TXN10694"/>
    <d v="2025-05-28T00:00:00"/>
    <x v="25"/>
    <x v="2"/>
    <x v="2"/>
    <x v="8"/>
    <n v="7"/>
    <s v="OK"/>
    <n v="4418.37"/>
    <s v="OK"/>
    <n v="2891.56"/>
    <x v="2"/>
    <s v="OK"/>
  </r>
  <r>
    <s v="TXN10875"/>
    <d v="2025-05-28T00:00:00"/>
    <x v="6"/>
    <x v="3"/>
    <x v="2"/>
    <x v="16"/>
    <n v="5"/>
    <s v="OK"/>
    <n v="713.71"/>
    <s v="OK"/>
    <n v="627.17999999999995"/>
    <x v="0"/>
    <s v="OK"/>
  </r>
  <r>
    <s v="TXN10250"/>
    <d v="2025-05-28T00:00:00"/>
    <x v="17"/>
    <x v="5"/>
    <x v="4"/>
    <x v="6"/>
    <n v="2"/>
    <s v="OK"/>
    <n v="1375.68"/>
    <s v="OK"/>
    <n v="957.45"/>
    <x v="3"/>
    <s v="OK"/>
  </r>
  <r>
    <s v="TXN10530"/>
    <d v="2025-05-29T00:00:00"/>
    <x v="9"/>
    <x v="3"/>
    <x v="2"/>
    <x v="15"/>
    <n v="2"/>
    <s v="OK"/>
    <n v="2054.54"/>
    <s v="OK"/>
    <n v="1263.8499999999999"/>
    <x v="2"/>
    <s v="OK"/>
  </r>
  <r>
    <s v="TXN10836"/>
    <d v="2025-05-30T00:00:00"/>
    <x v="6"/>
    <x v="0"/>
    <x v="1"/>
    <x v="1"/>
    <n v="2"/>
    <s v="OK"/>
    <n v="9687.1200000000008"/>
    <s v="OK"/>
    <n v="7778.04"/>
    <x v="4"/>
    <s v="OK"/>
  </r>
  <r>
    <s v="TXN10958"/>
    <d v="2025-05-30T00:00:00"/>
    <x v="10"/>
    <x v="0"/>
    <x v="3"/>
    <x v="5"/>
    <n v="8"/>
    <s v="OK"/>
    <n v="4690.8100000000004"/>
    <s v="OK"/>
    <n v="3351.44"/>
    <x v="1"/>
    <s v="OK"/>
  </r>
  <r>
    <s v="TXN11139"/>
    <d v="2025-05-30T00:00:00"/>
    <x v="27"/>
    <x v="3"/>
    <x v="3"/>
    <x v="17"/>
    <n v="7"/>
    <s v="OK"/>
    <n v="823.47"/>
    <s v="OK"/>
    <n v="673.08"/>
    <x v="4"/>
    <s v="OK"/>
  </r>
  <r>
    <s v="TXN10016"/>
    <d v="2025-05-31T00:00:00"/>
    <x v="17"/>
    <x v="3"/>
    <x v="4"/>
    <x v="6"/>
    <n v="7"/>
    <s v="OK"/>
    <n v="764.01"/>
    <s v="OK"/>
    <n v="421.02"/>
    <x v="3"/>
    <s v="OK"/>
  </r>
  <r>
    <s v="TXN10862"/>
    <d v="2025-05-31T00:00:00"/>
    <x v="17"/>
    <x v="2"/>
    <x v="0"/>
    <x v="7"/>
    <n v="8"/>
    <s v="OK"/>
    <n v="1327.58"/>
    <s v="OK"/>
    <n v="844.8"/>
    <x v="3"/>
    <s v="OK"/>
  </r>
  <r>
    <s v="TXN10006"/>
    <d v="2025-05-31T00:00:00"/>
    <x v="15"/>
    <x v="2"/>
    <x v="1"/>
    <x v="9"/>
    <n v="6"/>
    <s v="OK"/>
    <n v="10772.72"/>
    <s v="OK"/>
    <n v="8429.75"/>
    <x v="1"/>
    <s v="OK"/>
  </r>
  <r>
    <s v="TXN10932"/>
    <d v="2025-06-01T00:00:00"/>
    <x v="22"/>
    <x v="5"/>
    <x v="2"/>
    <x v="4"/>
    <n v="1"/>
    <s v="OK"/>
    <n v="4036.56"/>
    <s v="OK"/>
    <n v="3442.01"/>
    <x v="2"/>
    <s v="OK"/>
  </r>
  <r>
    <s v="TXN10886"/>
    <d v="2025-06-02T00:00:00"/>
    <x v="16"/>
    <x v="3"/>
    <x v="4"/>
    <x v="18"/>
    <n v="2"/>
    <s v="OK"/>
    <n v="3176.87"/>
    <s v="OK"/>
    <n v="2173.9699999999998"/>
    <x v="3"/>
    <s v="OK"/>
  </r>
  <r>
    <s v="TXN11160"/>
    <d v="2025-06-03T00:00:00"/>
    <x v="4"/>
    <x v="3"/>
    <x v="3"/>
    <x v="25"/>
    <n v="4"/>
    <s v="OK"/>
    <n v="5765.83"/>
    <s v="OK"/>
    <n v="4316.92"/>
    <x v="4"/>
    <s v="OK"/>
  </r>
  <r>
    <s v="TXN10053"/>
    <d v="2025-06-03T00:00:00"/>
    <x v="8"/>
    <x v="0"/>
    <x v="1"/>
    <x v="27"/>
    <n v="5"/>
    <s v="OK"/>
    <n v="12303.87"/>
    <s v="OK"/>
    <n v="8091.52"/>
    <x v="3"/>
    <s v="OK"/>
  </r>
  <r>
    <s v="TXN10455"/>
    <d v="2025-06-03T00:00:00"/>
    <x v="6"/>
    <x v="2"/>
    <x v="4"/>
    <x v="18"/>
    <n v="3"/>
    <s v="OK"/>
    <n v="2982.08"/>
    <s v="OK"/>
    <n v="2502.69"/>
    <x v="4"/>
    <s v="OK"/>
  </r>
  <r>
    <s v="TXN10644"/>
    <d v="2025-06-03T00:00:00"/>
    <x v="22"/>
    <x v="3"/>
    <x v="2"/>
    <x v="8"/>
    <n v="1"/>
    <s v="OK"/>
    <n v="5223.21"/>
    <s v="OK"/>
    <n v="3866.08"/>
    <x v="1"/>
    <s v="OK"/>
  </r>
  <r>
    <s v="TXN10590"/>
    <d v="2025-06-03T00:00:00"/>
    <x v="26"/>
    <x v="3"/>
    <x v="4"/>
    <x v="23"/>
    <n v="5"/>
    <s v="OK"/>
    <n v="2076.9499999999998"/>
    <s v="OK"/>
    <n v="1531.51"/>
    <x v="0"/>
    <s v="OK"/>
  </r>
  <r>
    <s v="TXN11185"/>
    <d v="2025-06-03T00:00:00"/>
    <x v="4"/>
    <x v="2"/>
    <x v="0"/>
    <x v="13"/>
    <n v="-2"/>
    <s v="Negative Quantity"/>
    <n v="1185.19"/>
    <s v="OK"/>
    <n v="723.11"/>
    <x v="3"/>
    <s v="OK"/>
  </r>
  <r>
    <s v="TXN10831"/>
    <d v="2025-06-03T00:00:00"/>
    <x v="11"/>
    <x v="3"/>
    <x v="3"/>
    <x v="19"/>
    <n v="8"/>
    <s v="OK"/>
    <n v="1182.97"/>
    <s v="OK"/>
    <n v="910.59"/>
    <x v="3"/>
    <s v="OK"/>
  </r>
  <r>
    <s v="TXN10125"/>
    <d v="2025-06-04T00:00:00"/>
    <x v="6"/>
    <x v="2"/>
    <x v="4"/>
    <x v="23"/>
    <n v="4"/>
    <s v="OK"/>
    <n v="3497.96"/>
    <s v="OK"/>
    <n v="2908.91"/>
    <x v="1"/>
    <s v="OK"/>
  </r>
  <r>
    <s v="TXN11053"/>
    <d v="2025-06-04T00:00:00"/>
    <x v="23"/>
    <x v="3"/>
    <x v="4"/>
    <x v="14"/>
    <n v="5"/>
    <s v="OK"/>
    <n v="869.59"/>
    <s v="OK"/>
    <n v="651.61"/>
    <x v="4"/>
    <s v="OK"/>
  </r>
  <r>
    <s v="TXN10861"/>
    <d v="2025-06-05T00:00:00"/>
    <x v="20"/>
    <x v="4"/>
    <x v="4"/>
    <x v="26"/>
    <n v="2"/>
    <s v="OK"/>
    <n v="2720.56"/>
    <s v="OK"/>
    <n v="2089.8200000000002"/>
    <x v="2"/>
    <s v="OK"/>
  </r>
  <r>
    <s v="TXN10952"/>
    <d v="2025-06-05T00:00:00"/>
    <x v="27"/>
    <x v="3"/>
    <x v="0"/>
    <x v="2"/>
    <n v="4"/>
    <s v="OK"/>
    <n v="681.7"/>
    <s v="OK"/>
    <n v="385.52"/>
    <x v="1"/>
    <s v="OK"/>
  </r>
  <r>
    <s v="TXN11209"/>
    <d v="2025-06-05T00:00:00"/>
    <x v="9"/>
    <x v="4"/>
    <x v="2"/>
    <x v="12"/>
    <n v="4"/>
    <s v="OK"/>
    <n v="2356"/>
    <s v="OK"/>
    <n v="1504.56"/>
    <x v="1"/>
    <s v="OK"/>
  </r>
  <r>
    <s v="TXN10322"/>
    <d v="2025-06-05T00:00:00"/>
    <x v="12"/>
    <x v="2"/>
    <x v="3"/>
    <x v="5"/>
    <n v="4"/>
    <s v="OK"/>
    <n v="1889.75"/>
    <s v="OK"/>
    <n v="1135.49"/>
    <x v="0"/>
    <s v="OK"/>
  </r>
  <r>
    <s v="TXN10678"/>
    <d v="2025-06-05T00:00:00"/>
    <x v="23"/>
    <x v="0"/>
    <x v="0"/>
    <x v="2"/>
    <n v="5"/>
    <s v="OK"/>
    <n v="1261.0999999999999"/>
    <s v="OK"/>
    <n v="869.42"/>
    <x v="2"/>
    <s v="OK"/>
  </r>
  <r>
    <s v="TXN11058"/>
    <d v="2025-06-06T00:00:00"/>
    <x v="1"/>
    <x v="5"/>
    <x v="2"/>
    <x v="16"/>
    <n v="1"/>
    <s v="OK"/>
    <n v="3698.68"/>
    <s v="OK"/>
    <n v="2838.44"/>
    <x v="3"/>
    <s v="OK"/>
  </r>
  <r>
    <s v="TXN10982"/>
    <d v="2025-06-06T00:00:00"/>
    <x v="0"/>
    <x v="4"/>
    <x v="0"/>
    <x v="10"/>
    <n v="5"/>
    <s v="OK"/>
    <n v="695.84"/>
    <s v="OK"/>
    <n v="570.80999999999995"/>
    <x v="0"/>
    <s v="OK"/>
  </r>
  <r>
    <s v="TXN10457"/>
    <d v="2025-06-07T00:00:00"/>
    <x v="4"/>
    <x v="0"/>
    <x v="3"/>
    <x v="5"/>
    <n v="7"/>
    <s v="OK"/>
    <n v="4834.5"/>
    <s v="OK"/>
    <n v="3187.55"/>
    <x v="3"/>
    <s v="OK"/>
  </r>
  <r>
    <s v="TXN11105"/>
    <d v="2025-06-07T00:00:00"/>
    <x v="24"/>
    <x v="0"/>
    <x v="0"/>
    <x v="2"/>
    <n v="2"/>
    <s v="OK"/>
    <n v="1140.21"/>
    <s v="OK"/>
    <n v="641.72"/>
    <x v="1"/>
    <s v="OK"/>
  </r>
  <r>
    <s v="TXN10821"/>
    <d v="2025-06-07T00:00:00"/>
    <x v="0"/>
    <x v="3"/>
    <x v="2"/>
    <x v="15"/>
    <n v="1"/>
    <s v="OK"/>
    <n v="3050.76"/>
    <s v="OK"/>
    <n v="2524.4699999999998"/>
    <x v="0"/>
    <s v="OK"/>
  </r>
  <r>
    <s v="TXN10927"/>
    <d v="2025-06-08T00:00:00"/>
    <x v="19"/>
    <x v="0"/>
    <x v="0"/>
    <x v="2"/>
    <n v="3"/>
    <s v="OK"/>
    <n v="1025.8"/>
    <s v="OK"/>
    <n v="596.73"/>
    <x v="3"/>
    <s v="OK"/>
  </r>
  <r>
    <s v="TXN10219"/>
    <d v="2025-06-08T00:00:00"/>
    <x v="0"/>
    <x v="4"/>
    <x v="1"/>
    <x v="22"/>
    <n v="7"/>
    <s v="OK"/>
    <n v="17993.080000000002"/>
    <s v="OK"/>
    <n v="14164.64"/>
    <x v="2"/>
    <s v="OK"/>
  </r>
  <r>
    <s v="TXN10737"/>
    <d v="2025-06-08T00:00:00"/>
    <x v="20"/>
    <x v="0"/>
    <x v="3"/>
    <x v="25"/>
    <n v="1"/>
    <s v="OK"/>
    <n v="3678.66"/>
    <s v="OK"/>
    <n v="3051.25"/>
    <x v="4"/>
    <s v="OK"/>
  </r>
  <r>
    <s v="TXN10158"/>
    <d v="2025-06-08T00:00:00"/>
    <x v="11"/>
    <x v="5"/>
    <x v="4"/>
    <x v="29"/>
    <n v="6"/>
    <s v="OK"/>
    <n v="1390.83"/>
    <s v="OK"/>
    <n v="848.22"/>
    <x v="4"/>
    <s v="OK"/>
  </r>
  <r>
    <s v="TXN10710"/>
    <d v="2025-06-09T00:00:00"/>
    <x v="14"/>
    <x v="4"/>
    <x v="1"/>
    <x v="22"/>
    <n v="1"/>
    <s v="OK"/>
    <n v="12648.59"/>
    <s v="OK"/>
    <n v="9437.2999999999993"/>
    <x v="1"/>
    <s v="OK"/>
  </r>
  <r>
    <s v="TXN10328"/>
    <d v="2025-06-09T00:00:00"/>
    <x v="15"/>
    <x v="3"/>
    <x v="3"/>
    <x v="19"/>
    <n v="6"/>
    <s v="OK"/>
    <n v="3004.33"/>
    <s v="OK"/>
    <n v="1857.48"/>
    <x v="0"/>
    <s v="OK"/>
  </r>
  <r>
    <s v="TXN10381"/>
    <d v="2025-06-09T00:00:00"/>
    <x v="20"/>
    <x v="3"/>
    <x v="0"/>
    <x v="13"/>
    <n v="6"/>
    <s v="OK"/>
    <n v="398.69"/>
    <s v="OK"/>
    <n v="279.37"/>
    <x v="3"/>
    <s v="OK"/>
  </r>
  <r>
    <s v="TXN10741"/>
    <d v="2025-06-09T00:00:00"/>
    <x v="12"/>
    <x v="3"/>
    <x v="2"/>
    <x v="3"/>
    <n v="1"/>
    <s v="OK"/>
    <n v="6363.66"/>
    <s v="OK"/>
    <n v="4623.59"/>
    <x v="1"/>
    <s v="OK"/>
  </r>
  <r>
    <s v="TXN10152"/>
    <d v="2025-06-10T00:00:00"/>
    <x v="24"/>
    <x v="3"/>
    <x v="4"/>
    <x v="23"/>
    <n v="5"/>
    <s v="OK"/>
    <n v="1466.48"/>
    <s v="OK"/>
    <n v="880.43"/>
    <x v="0"/>
    <s v="OK"/>
  </r>
  <r>
    <s v="TXN10578"/>
    <d v="2025-06-10T00:00:00"/>
    <x v="25"/>
    <x v="4"/>
    <x v="3"/>
    <x v="17"/>
    <n v="6"/>
    <s v="OK"/>
    <n v="1702.11"/>
    <s v="OK"/>
    <n v="1258.4100000000001"/>
    <x v="4"/>
    <s v="OK"/>
  </r>
  <r>
    <s v="TXN10675"/>
    <d v="2025-06-10T00:00:00"/>
    <x v="8"/>
    <x v="3"/>
    <x v="0"/>
    <x v="11"/>
    <n v="7"/>
    <s v="OK"/>
    <n v="1606.46"/>
    <s v="OK"/>
    <n v="1277.1600000000001"/>
    <x v="2"/>
    <s v="OK"/>
  </r>
  <r>
    <s v="TXN11086"/>
    <d v="2025-06-11T00:00:00"/>
    <x v="29"/>
    <x v="3"/>
    <x v="0"/>
    <x v="11"/>
    <n v="1"/>
    <s v="OK"/>
    <n v="1095.1300000000001"/>
    <s v="OK"/>
    <n v="768.12"/>
    <x v="1"/>
    <s v="OK"/>
  </r>
  <r>
    <s v="TXN11164"/>
    <d v="2025-06-11T00:00:00"/>
    <x v="8"/>
    <x v="5"/>
    <x v="0"/>
    <x v="7"/>
    <n v="7"/>
    <s v="OK"/>
    <n v="1071.57"/>
    <s v="OK"/>
    <n v="930.26"/>
    <x v="4"/>
    <s v="OK"/>
  </r>
  <r>
    <s v="TXN10584"/>
    <d v="2025-06-11T00:00:00"/>
    <x v="9"/>
    <x v="3"/>
    <x v="2"/>
    <x v="4"/>
    <n v="1"/>
    <s v="OK"/>
    <n v="478.01"/>
    <s v="OK"/>
    <n v="296.14999999999998"/>
    <x v="2"/>
    <s v="OK"/>
  </r>
  <r>
    <s v="TXN10817"/>
    <d v="2025-06-12T00:00:00"/>
    <x v="26"/>
    <x v="3"/>
    <x v="1"/>
    <x v="27"/>
    <n v="6"/>
    <s v="OK"/>
    <n v="3429.85"/>
    <s v="OK"/>
    <n v="2393.9699999999998"/>
    <x v="4"/>
    <s v="OK"/>
  </r>
  <r>
    <s v="TXN10816"/>
    <d v="2025-06-12T00:00:00"/>
    <x v="29"/>
    <x v="5"/>
    <x v="1"/>
    <x v="22"/>
    <n v="3"/>
    <s v="OK"/>
    <n v="8439.2000000000007"/>
    <s v="OK"/>
    <n v="5671.07"/>
    <x v="4"/>
    <s v="OK"/>
  </r>
  <r>
    <s v="TXN10282"/>
    <d v="2025-06-13T00:00:00"/>
    <x v="6"/>
    <x v="3"/>
    <x v="0"/>
    <x v="0"/>
    <n v="7"/>
    <s v="OK"/>
    <n v="1139"/>
    <s v="OK"/>
    <n v="739.17"/>
    <x v="4"/>
    <s v="OK"/>
  </r>
  <r>
    <s v="TXN10379"/>
    <d v="2025-06-14T00:00:00"/>
    <x v="26"/>
    <x v="3"/>
    <x v="0"/>
    <x v="7"/>
    <n v="4"/>
    <s v="OK"/>
    <n v="1157.3900000000001"/>
    <s v="OK"/>
    <n v="911.67"/>
    <x v="3"/>
    <s v="OK"/>
  </r>
  <r>
    <s v="TXN10499"/>
    <d v="2025-06-14T00:00:00"/>
    <x v="15"/>
    <x v="2"/>
    <x v="2"/>
    <x v="3"/>
    <n v="7"/>
    <s v="OK"/>
    <n v="3163.19"/>
    <s v="OK"/>
    <n v="2375.4499999999998"/>
    <x v="4"/>
    <s v="OK"/>
  </r>
  <r>
    <s v="TXN10487"/>
    <d v="2025-06-14T00:00:00"/>
    <x v="13"/>
    <x v="5"/>
    <x v="1"/>
    <x v="28"/>
    <n v="4"/>
    <s v="OK"/>
    <n v="6558.3"/>
    <s v="OK"/>
    <n v="4209.0600000000004"/>
    <x v="2"/>
    <s v="OK"/>
  </r>
  <r>
    <s v="TXN10909"/>
    <d v="2025-06-15T00:00:00"/>
    <x v="25"/>
    <x v="3"/>
    <x v="0"/>
    <x v="7"/>
    <n v="7"/>
    <s v="OK"/>
    <n v="1779.76"/>
    <s v="OK"/>
    <n v="1397.83"/>
    <x v="0"/>
    <s v="OK"/>
  </r>
  <r>
    <s v="TXN10922"/>
    <d v="2025-06-15T00:00:00"/>
    <x v="20"/>
    <x v="0"/>
    <x v="2"/>
    <x v="15"/>
    <n v="3"/>
    <s v="OK"/>
    <n v="590.57000000000005"/>
    <s v="OK"/>
    <n v="414.51"/>
    <x v="0"/>
    <s v="OK"/>
  </r>
  <r>
    <s v="TXN10994"/>
    <d v="2025-06-15T00:00:00"/>
    <x v="15"/>
    <x v="0"/>
    <x v="3"/>
    <x v="17"/>
    <n v="5"/>
    <s v="OK"/>
    <n v="2565.3200000000002"/>
    <s v="OK"/>
    <n v="2111.66"/>
    <x v="1"/>
    <s v="OK"/>
  </r>
  <r>
    <s v="TXN10699"/>
    <d v="2025-06-15T00:00:00"/>
    <x v="30"/>
    <x v="0"/>
    <x v="2"/>
    <x v="3"/>
    <n v="1"/>
    <s v="OK"/>
    <n v="1151.32"/>
    <s v="OK"/>
    <n v="759.85"/>
    <x v="0"/>
    <s v="OK"/>
  </r>
  <r>
    <s v="TXN10691"/>
    <d v="2025-06-15T00:00:00"/>
    <x v="10"/>
    <x v="3"/>
    <x v="1"/>
    <x v="1"/>
    <n v="6"/>
    <s v="OK"/>
    <n v="16247.76"/>
    <s v="OK"/>
    <n v="13334.33"/>
    <x v="0"/>
    <s v="OK"/>
  </r>
  <r>
    <s v="TXN10993"/>
    <d v="2025-06-16T00:00:00"/>
    <x v="12"/>
    <x v="5"/>
    <x v="1"/>
    <x v="9"/>
    <n v="3"/>
    <s v="OK"/>
    <n v="1364.63"/>
    <s v="OK"/>
    <n v="776.89"/>
    <x v="0"/>
    <s v="OK"/>
  </r>
  <r>
    <s v="TXN10985"/>
    <d v="2025-06-16T00:00:00"/>
    <x v="17"/>
    <x v="2"/>
    <x v="0"/>
    <x v="7"/>
    <n v="2"/>
    <s v="OK"/>
    <n v="2039.57"/>
    <s v="OK"/>
    <n v="1569.01"/>
    <x v="0"/>
    <s v="OK"/>
  </r>
  <r>
    <s v="TXN10674"/>
    <d v="2025-06-16T00:00:00"/>
    <x v="13"/>
    <x v="4"/>
    <x v="0"/>
    <x v="11"/>
    <n v="8"/>
    <s v="OK"/>
    <n v="2241.4499999999998"/>
    <s v="OK"/>
    <n v="1549.05"/>
    <x v="1"/>
    <s v="OK"/>
  </r>
  <r>
    <s v="TXN10071"/>
    <d v="2025-06-17T00:00:00"/>
    <x v="29"/>
    <x v="3"/>
    <x v="4"/>
    <x v="23"/>
    <n v="4"/>
    <s v="OK"/>
    <n v="1727.77"/>
    <s v="OK"/>
    <n v="1142.7"/>
    <x v="0"/>
    <s v="OK"/>
  </r>
  <r>
    <s v="TXN10262"/>
    <d v="2025-06-18T00:00:00"/>
    <x v="20"/>
    <x v="5"/>
    <x v="0"/>
    <x v="13"/>
    <n v="5"/>
    <s v="OK"/>
    <n v="1539.66"/>
    <s v="OK"/>
    <n v="1137.8800000000001"/>
    <x v="3"/>
    <s v="OK"/>
  </r>
  <r>
    <s v="TXN11018"/>
    <d v="2025-06-18T00:00:00"/>
    <x v="10"/>
    <x v="5"/>
    <x v="3"/>
    <x v="25"/>
    <n v="5"/>
    <s v="OK"/>
    <n v="845.64"/>
    <s v="OK"/>
    <n v="639.6"/>
    <x v="1"/>
    <s v="OK"/>
  </r>
  <r>
    <s v="TXN11223"/>
    <d v="2025-06-19T00:00:00"/>
    <x v="7"/>
    <x v="2"/>
    <x v="3"/>
    <x v="19"/>
    <n v="0"/>
    <s v="Zero Quantity"/>
    <n v="1349.82"/>
    <s v="OK"/>
    <n v="767.29"/>
    <x v="3"/>
    <s v="OK"/>
  </r>
  <r>
    <s v="TXN10534"/>
    <d v="2025-06-19T00:00:00"/>
    <x v="18"/>
    <x v="0"/>
    <x v="3"/>
    <x v="5"/>
    <n v="8"/>
    <s v="OK"/>
    <n v="3045.67"/>
    <s v="OK"/>
    <n v="2035.68"/>
    <x v="3"/>
    <s v="OK"/>
  </r>
  <r>
    <s v="TXN10819"/>
    <d v="2025-06-19T00:00:00"/>
    <x v="0"/>
    <x v="3"/>
    <x v="2"/>
    <x v="3"/>
    <n v="5"/>
    <s v="OK"/>
    <n v="3527.81"/>
    <s v="OK"/>
    <n v="2277.71"/>
    <x v="2"/>
    <s v="OK"/>
  </r>
  <r>
    <s v="TXN10767"/>
    <d v="2025-06-20T00:00:00"/>
    <x v="15"/>
    <x v="4"/>
    <x v="2"/>
    <x v="12"/>
    <n v="5"/>
    <s v="OK"/>
    <n v="3044.06"/>
    <s v="OK"/>
    <n v="2309.38"/>
    <x v="1"/>
    <s v="OK"/>
  </r>
  <r>
    <s v="TXN11227"/>
    <d v="2025-06-20T00:00:00"/>
    <x v="30"/>
    <x v="0"/>
    <x v="1"/>
    <x v="9"/>
    <n v="2"/>
    <s v="OK"/>
    <n v="7064.44"/>
    <s v="OK"/>
    <n v="6041.17"/>
    <x v="1"/>
    <s v="OK"/>
  </r>
  <r>
    <s v="TXN10944"/>
    <d v="2025-06-20T00:00:00"/>
    <x v="30"/>
    <x v="1"/>
    <x v="0"/>
    <x v="10"/>
    <n v="1"/>
    <s v="OK"/>
    <n v="436.13"/>
    <s v="OK"/>
    <n v="361.86"/>
    <x v="0"/>
    <s v="OK"/>
  </r>
  <r>
    <s v="TXN10181"/>
    <d v="2025-06-20T00:00:00"/>
    <x v="30"/>
    <x v="0"/>
    <x v="2"/>
    <x v="16"/>
    <n v="2"/>
    <s v="OK"/>
    <n v="4246.08"/>
    <s v="OK"/>
    <n v="2533.5100000000002"/>
    <x v="3"/>
    <s v="OK"/>
  </r>
  <r>
    <s v="TXN10238"/>
    <d v="2025-06-20T00:00:00"/>
    <x v="16"/>
    <x v="3"/>
    <x v="3"/>
    <x v="5"/>
    <n v="8"/>
    <s v="OK"/>
    <n v="3356.33"/>
    <s v="OK"/>
    <n v="2010.95"/>
    <x v="2"/>
    <s v="OK"/>
  </r>
  <r>
    <s v="TXN11233"/>
    <d v="2025-06-20T00:00:00"/>
    <x v="14"/>
    <x v="2"/>
    <x v="2"/>
    <x v="8"/>
    <n v="3"/>
    <s v="OK"/>
    <n v="5694.13"/>
    <s v="OK"/>
    <n v="4360.59"/>
    <x v="4"/>
    <s v="OK"/>
  </r>
  <r>
    <s v="TXN10761"/>
    <d v="2025-06-20T00:00:00"/>
    <x v="17"/>
    <x v="3"/>
    <x v="0"/>
    <x v="2"/>
    <n v="1"/>
    <s v="OK"/>
    <n v="793.95"/>
    <s v="OK"/>
    <n v="649.63"/>
    <x v="4"/>
    <s v="OK"/>
  </r>
  <r>
    <s v="TXN10046"/>
    <d v="2025-06-20T00:00:00"/>
    <x v="7"/>
    <x v="2"/>
    <x v="1"/>
    <x v="20"/>
    <n v="7"/>
    <s v="OK"/>
    <n v="14618.22"/>
    <s v="OK"/>
    <n v="12208.28"/>
    <x v="4"/>
    <s v="OK"/>
  </r>
  <r>
    <s v="TXN10778"/>
    <d v="2025-06-21T00:00:00"/>
    <x v="17"/>
    <x v="3"/>
    <x v="2"/>
    <x v="16"/>
    <n v="2"/>
    <s v="OK"/>
    <n v="1196.92"/>
    <s v="OK"/>
    <n v="714.09"/>
    <x v="0"/>
    <s v="OK"/>
  </r>
  <r>
    <s v="TXN11032"/>
    <d v="2025-06-21T00:00:00"/>
    <x v="14"/>
    <x v="0"/>
    <x v="2"/>
    <x v="3"/>
    <n v="5"/>
    <s v="OK"/>
    <n v="3163.39"/>
    <s v="OK"/>
    <n v="1909.27"/>
    <x v="0"/>
    <s v="OK"/>
  </r>
  <r>
    <s v="TXN11196"/>
    <d v="2025-06-22T00:00:00"/>
    <x v="21"/>
    <x v="0"/>
    <x v="3"/>
    <x v="25"/>
    <n v="7"/>
    <s v="OK"/>
    <n v="3135.57"/>
    <s v="OK"/>
    <n v="2252.14"/>
    <x v="1"/>
    <s v="OK"/>
  </r>
  <r>
    <s v="TXN10772"/>
    <d v="2025-06-22T00:00:00"/>
    <x v="11"/>
    <x v="3"/>
    <x v="4"/>
    <x v="6"/>
    <n v="1"/>
    <s v="OK"/>
    <n v="1567.9"/>
    <s v="OK"/>
    <n v="971.87"/>
    <x v="2"/>
    <s v="OK"/>
  </r>
  <r>
    <s v="TXN10704"/>
    <d v="2025-06-23T00:00:00"/>
    <x v="25"/>
    <x v="5"/>
    <x v="4"/>
    <x v="6"/>
    <n v="7"/>
    <s v="OK"/>
    <n v="2286.16"/>
    <s v="OK"/>
    <n v="1892.93"/>
    <x v="2"/>
    <s v="OK"/>
  </r>
  <r>
    <s v="TXN11025"/>
    <d v="2025-06-23T00:00:00"/>
    <x v="7"/>
    <x v="4"/>
    <x v="2"/>
    <x v="15"/>
    <n v="1"/>
    <s v="OK"/>
    <n v="3396.91"/>
    <s v="OK"/>
    <n v="2236.1999999999998"/>
    <x v="4"/>
    <s v="OK"/>
  </r>
  <r>
    <s v="TXN11222"/>
    <d v="2025-06-23T00:00:00"/>
    <x v="11"/>
    <x v="3"/>
    <x v="1"/>
    <x v="9"/>
    <n v="2"/>
    <s v="OK"/>
    <n v="4359.7"/>
    <s v="OK"/>
    <n v="3089.02"/>
    <x v="2"/>
    <s v="OK"/>
  </r>
  <r>
    <s v="TXN10960"/>
    <d v="2025-06-24T00:00:00"/>
    <x v="17"/>
    <x v="3"/>
    <x v="3"/>
    <x v="17"/>
    <n v="5"/>
    <s v="OK"/>
    <n v="3277.63"/>
    <s v="OK"/>
    <n v="1894.89"/>
    <x v="3"/>
    <s v="OK"/>
  </r>
  <r>
    <s v="TXN10839"/>
    <d v="2025-06-24T00:00:00"/>
    <x v="30"/>
    <x v="0"/>
    <x v="0"/>
    <x v="2"/>
    <n v="3"/>
    <s v="OK"/>
    <n v="435.56"/>
    <s v="OK"/>
    <n v="261.77"/>
    <x v="4"/>
    <s v="OK"/>
  </r>
  <r>
    <s v="TXN11134"/>
    <d v="2025-06-24T00:00:00"/>
    <x v="30"/>
    <x v="3"/>
    <x v="1"/>
    <x v="22"/>
    <n v="4"/>
    <s v="OK"/>
    <n v="13632.96"/>
    <s v="OK"/>
    <n v="8020.48"/>
    <x v="3"/>
    <s v="OK"/>
  </r>
  <r>
    <s v="TXN10493"/>
    <d v="2025-06-24T00:00:00"/>
    <x v="15"/>
    <x v="1"/>
    <x v="3"/>
    <x v="24"/>
    <n v="6"/>
    <s v="OK"/>
    <n v="5064.3599999999997"/>
    <s v="OK"/>
    <n v="4397.2"/>
    <x v="3"/>
    <s v="OK"/>
  </r>
  <r>
    <s v="TXN10655"/>
    <d v="2025-06-25T00:00:00"/>
    <x v="10"/>
    <x v="5"/>
    <x v="4"/>
    <x v="6"/>
    <n v="2"/>
    <s v="OK"/>
    <n v="1241.6300000000001"/>
    <s v="OK"/>
    <n v="875.96"/>
    <x v="3"/>
    <s v="OK"/>
  </r>
  <r>
    <s v="TXN10419"/>
    <d v="2025-06-25T00:00:00"/>
    <x v="5"/>
    <x v="0"/>
    <x v="1"/>
    <x v="22"/>
    <n v="3"/>
    <s v="OK"/>
    <n v="16083.62"/>
    <s v="OK"/>
    <n v="9700.01"/>
    <x v="1"/>
    <s v="OK"/>
  </r>
  <r>
    <s v="TXN11029"/>
    <d v="2025-06-25T00:00:00"/>
    <x v="0"/>
    <x v="2"/>
    <x v="4"/>
    <x v="18"/>
    <m/>
    <s v="Blank"/>
    <n v="1448.7"/>
    <s v="OK"/>
    <n v="800.65"/>
    <x v="2"/>
    <s v="OK"/>
  </r>
  <r>
    <s v="TXN10005"/>
    <d v="2025-06-26T00:00:00"/>
    <x v="25"/>
    <x v="2"/>
    <x v="1"/>
    <x v="1"/>
    <n v="5"/>
    <s v="OK"/>
    <n v="14701.89"/>
    <s v="OK"/>
    <n v="11626.42"/>
    <x v="2"/>
    <s v="OK"/>
  </r>
  <r>
    <s v="TXN10344"/>
    <d v="2025-06-28T00:00:00"/>
    <x v="30"/>
    <x v="3"/>
    <x v="0"/>
    <x v="13"/>
    <n v="2"/>
    <s v="OK"/>
    <n v="1209.8599999999999"/>
    <s v="OK"/>
    <n v="1062.26"/>
    <x v="4"/>
    <s v="OK"/>
  </r>
  <r>
    <s v="TXN10345"/>
    <d v="2025-06-29T00:00:00"/>
    <x v="23"/>
    <x v="3"/>
    <x v="2"/>
    <x v="8"/>
    <n v="7"/>
    <s v="OK"/>
    <n v="1495.48"/>
    <s v="OK"/>
    <n v="891.23"/>
    <x v="4"/>
    <s v="OK"/>
  </r>
  <r>
    <s v="TXN10417"/>
    <d v="2025-06-29T00:00:00"/>
    <x v="29"/>
    <x v="2"/>
    <x v="0"/>
    <x v="2"/>
    <n v="7"/>
    <s v="OK"/>
    <n v="433.29"/>
    <s v="OK"/>
    <n v="306.87"/>
    <x v="2"/>
    <s v="OK"/>
  </r>
  <r>
    <s v="TXN10346"/>
    <d v="2025-06-29T00:00:00"/>
    <x v="22"/>
    <x v="5"/>
    <x v="1"/>
    <x v="9"/>
    <n v="5"/>
    <s v="OK"/>
    <n v="11106.27"/>
    <s v="OK"/>
    <n v="6725.56"/>
    <x v="3"/>
    <s v="OK"/>
  </r>
  <r>
    <s v="TXN10445"/>
    <d v="2025-06-29T00:00:00"/>
    <x v="13"/>
    <x v="2"/>
    <x v="2"/>
    <x v="3"/>
    <n v="6"/>
    <s v="OK"/>
    <n v="1479.19"/>
    <s v="OK"/>
    <n v="1250.19"/>
    <x v="1"/>
    <s v="OK"/>
  </r>
  <r>
    <s v="TXN10198"/>
    <d v="2025-06-30T00:00:00"/>
    <x v="30"/>
    <x v="2"/>
    <x v="1"/>
    <x v="9"/>
    <n v="4"/>
    <s v="OK"/>
    <n v="10658.35"/>
    <s v="OK"/>
    <n v="6520.92"/>
    <x v="1"/>
    <s v="OK"/>
  </r>
  <r>
    <s v="TXN10312"/>
    <d v="2025-07-01T00:00:00"/>
    <x v="2"/>
    <x v="3"/>
    <x v="1"/>
    <x v="22"/>
    <n v="2"/>
    <s v="OK"/>
    <n v="11107.41"/>
    <s v="OK"/>
    <n v="8984.39"/>
    <x v="0"/>
    <s v="OK"/>
  </r>
  <r>
    <s v="TXN10580"/>
    <d v="2025-07-02T00:00:00"/>
    <x v="4"/>
    <x v="5"/>
    <x v="3"/>
    <x v="21"/>
    <n v="3"/>
    <s v="OK"/>
    <n v="4784.16"/>
    <s v="OK"/>
    <n v="2820.55"/>
    <x v="1"/>
    <s v="OK"/>
  </r>
  <r>
    <s v="TXN10121"/>
    <d v="2025-07-03T00:00:00"/>
    <x v="16"/>
    <x v="0"/>
    <x v="1"/>
    <x v="1"/>
    <n v="6"/>
    <s v="OK"/>
    <n v="8264.74"/>
    <s v="OK"/>
    <n v="5211.62"/>
    <x v="0"/>
    <s v="OK"/>
  </r>
  <r>
    <s v="TXN10140"/>
    <d v="2025-07-03T00:00:00"/>
    <x v="12"/>
    <x v="0"/>
    <x v="2"/>
    <x v="8"/>
    <n v="1"/>
    <s v="OK"/>
    <n v="3027.72"/>
    <s v="OK"/>
    <n v="1854.89"/>
    <x v="1"/>
    <s v="OK"/>
  </r>
  <r>
    <s v="TXN11125"/>
    <d v="2025-07-04T00:00:00"/>
    <x v="6"/>
    <x v="0"/>
    <x v="1"/>
    <x v="27"/>
    <n v="1"/>
    <s v="OK"/>
    <n v="17480.12"/>
    <s v="OK"/>
    <n v="13858.56"/>
    <x v="0"/>
    <s v="OK"/>
  </r>
  <r>
    <s v="TXN10852"/>
    <d v="2025-07-04T00:00:00"/>
    <x v="15"/>
    <x v="4"/>
    <x v="3"/>
    <x v="17"/>
    <n v="5"/>
    <s v="OK"/>
    <n v="3564.23"/>
    <s v="OK"/>
    <n v="2008.09"/>
    <x v="3"/>
    <s v="OK"/>
  </r>
  <r>
    <s v="TXN10443"/>
    <d v="2025-07-04T00:00:00"/>
    <x v="4"/>
    <x v="3"/>
    <x v="0"/>
    <x v="10"/>
    <n v="4"/>
    <s v="OK"/>
    <n v="830.15"/>
    <s v="OK"/>
    <n v="682.18"/>
    <x v="2"/>
    <s v="OK"/>
  </r>
  <r>
    <s v="TXN10315"/>
    <d v="2025-07-04T00:00:00"/>
    <x v="2"/>
    <x v="0"/>
    <x v="0"/>
    <x v="10"/>
    <n v="5"/>
    <s v="OK"/>
    <n v="2371.71"/>
    <s v="OK"/>
    <n v="1868.66"/>
    <x v="0"/>
    <s v="OK"/>
  </r>
  <r>
    <s v="TXN11200"/>
    <d v="2025-07-04T00:00:00"/>
    <x v="12"/>
    <x v="4"/>
    <x v="3"/>
    <x v="19"/>
    <n v="6"/>
    <s v="OK"/>
    <n v="4586.13"/>
    <s v="OK"/>
    <n v="3413.64"/>
    <x v="2"/>
    <s v="OK"/>
  </r>
  <r>
    <s v="TXN10592"/>
    <d v="2025-07-04T00:00:00"/>
    <x v="24"/>
    <x v="0"/>
    <x v="4"/>
    <x v="14"/>
    <n v="5"/>
    <s v="OK"/>
    <n v="1368.46"/>
    <s v="OK"/>
    <n v="938.6"/>
    <x v="3"/>
    <s v="OK"/>
  </r>
  <r>
    <s v="TXN10187"/>
    <d v="2025-07-06T00:00:00"/>
    <x v="24"/>
    <x v="2"/>
    <x v="1"/>
    <x v="28"/>
    <n v="4"/>
    <s v="OK"/>
    <n v="17479.97"/>
    <s v="OK"/>
    <n v="13136.14"/>
    <x v="0"/>
    <s v="OK"/>
  </r>
  <r>
    <s v="TXN10179"/>
    <d v="2025-07-06T00:00:00"/>
    <x v="21"/>
    <x v="4"/>
    <x v="2"/>
    <x v="16"/>
    <n v="6"/>
    <s v="OK"/>
    <n v="6458.38"/>
    <s v="OK"/>
    <n v="4377.8"/>
    <x v="3"/>
    <s v="OK"/>
  </r>
  <r>
    <s v="TXN10804"/>
    <d v="2025-07-07T00:00:00"/>
    <x v="7"/>
    <x v="3"/>
    <x v="1"/>
    <x v="28"/>
    <n v="8"/>
    <s v="OK"/>
    <n v="11487.18"/>
    <s v="OK"/>
    <n v="7703.74"/>
    <x v="4"/>
    <s v="OK"/>
  </r>
  <r>
    <s v="TXN11178"/>
    <d v="2025-07-07T00:00:00"/>
    <x v="7"/>
    <x v="5"/>
    <x v="3"/>
    <x v="24"/>
    <n v="3"/>
    <s v="OK"/>
    <n v="3325.26"/>
    <s v="OK"/>
    <n v="2874.09"/>
    <x v="0"/>
    <s v="OK"/>
  </r>
  <r>
    <s v="TXN10652"/>
    <d v="2025-07-07T00:00:00"/>
    <x v="25"/>
    <x v="3"/>
    <x v="0"/>
    <x v="2"/>
    <n v="6"/>
    <s v="OK"/>
    <n v="638.13"/>
    <s v="OK"/>
    <n v="423.52"/>
    <x v="1"/>
    <s v="OK"/>
  </r>
  <r>
    <s v="TXN10397"/>
    <d v="2025-07-08T00:00:00"/>
    <x v="27"/>
    <x v="3"/>
    <x v="0"/>
    <x v="11"/>
    <n v="3"/>
    <s v="OK"/>
    <n v="1014.07"/>
    <s v="OK"/>
    <n v="861.7"/>
    <x v="3"/>
    <s v="OK"/>
  </r>
  <r>
    <s v="TXN10561"/>
    <d v="2025-07-08T00:00:00"/>
    <x v="2"/>
    <x v="0"/>
    <x v="1"/>
    <x v="20"/>
    <n v="5"/>
    <s v="OK"/>
    <n v="5368.28"/>
    <s v="OK"/>
    <n v="3902.28"/>
    <x v="2"/>
    <s v="OK"/>
  </r>
  <r>
    <s v="TXN10892"/>
    <d v="2025-07-08T00:00:00"/>
    <x v="7"/>
    <x v="5"/>
    <x v="4"/>
    <x v="23"/>
    <n v="5"/>
    <s v="OK"/>
    <n v="318.49"/>
    <s v="OK"/>
    <n v="276.77999999999997"/>
    <x v="2"/>
    <s v="OK"/>
  </r>
  <r>
    <s v="TXN10426"/>
    <d v="2025-07-09T00:00:00"/>
    <x v="20"/>
    <x v="5"/>
    <x v="4"/>
    <x v="23"/>
    <n v="3"/>
    <s v="OK"/>
    <n v="1698.77"/>
    <s v="OK"/>
    <n v="1081.93"/>
    <x v="0"/>
    <s v="OK"/>
  </r>
  <r>
    <s v="TXN10801"/>
    <d v="2025-07-09T00:00:00"/>
    <x v="13"/>
    <x v="3"/>
    <x v="0"/>
    <x v="7"/>
    <n v="8"/>
    <s v="OK"/>
    <n v="1818.97"/>
    <s v="OK"/>
    <n v="1001.25"/>
    <x v="1"/>
    <s v="OK"/>
  </r>
  <r>
    <s v="TXN10976"/>
    <d v="2025-07-09T00:00:00"/>
    <x v="27"/>
    <x v="1"/>
    <x v="0"/>
    <x v="10"/>
    <n v="7"/>
    <s v="OK"/>
    <n v="1552.95"/>
    <s v="OK"/>
    <n v="1120.07"/>
    <x v="0"/>
    <s v="OK"/>
  </r>
  <r>
    <s v="TXN10037"/>
    <d v="2025-07-09T00:00:00"/>
    <x v="0"/>
    <x v="0"/>
    <x v="1"/>
    <x v="20"/>
    <n v="5"/>
    <s v="OK"/>
    <n v="3597.47"/>
    <s v="OK"/>
    <n v="2968.4"/>
    <x v="3"/>
    <s v="OK"/>
  </r>
  <r>
    <s v="TXN10229"/>
    <d v="2025-07-09T00:00:00"/>
    <x v="24"/>
    <x v="0"/>
    <x v="0"/>
    <x v="7"/>
    <n v="2"/>
    <s v="OK"/>
    <n v="933.97"/>
    <s v="OK"/>
    <n v="657.46"/>
    <x v="3"/>
    <s v="OK"/>
  </r>
  <r>
    <s v="TXN10160"/>
    <d v="2025-07-09T00:00:00"/>
    <x v="2"/>
    <x v="2"/>
    <x v="4"/>
    <x v="26"/>
    <n v="5"/>
    <s v="OK"/>
    <n v="2595.19"/>
    <s v="OK"/>
    <n v="2092.65"/>
    <x v="2"/>
    <s v="OK"/>
  </r>
  <r>
    <s v="TXN10613"/>
    <d v="2025-07-10T00:00:00"/>
    <x v="5"/>
    <x v="2"/>
    <x v="4"/>
    <x v="23"/>
    <n v="8"/>
    <s v="OK"/>
    <n v="2515.04"/>
    <s v="OK"/>
    <n v="1409.61"/>
    <x v="1"/>
    <s v="OK"/>
  </r>
  <r>
    <s v="TXN10637"/>
    <d v="2025-07-10T00:00:00"/>
    <x v="7"/>
    <x v="0"/>
    <x v="2"/>
    <x v="12"/>
    <n v="0"/>
    <s v="Zero Quantity"/>
    <n v="5443.62"/>
    <s v="OK"/>
    <n v="3767.5"/>
    <x v="3"/>
    <s v="OK"/>
  </r>
  <r>
    <s v="TXN10814"/>
    <d v="2025-07-10T00:00:00"/>
    <x v="29"/>
    <x v="0"/>
    <x v="3"/>
    <x v="17"/>
    <n v="5"/>
    <s v="OK"/>
    <n v="4733.62"/>
    <s v="OK"/>
    <n v="2677.41"/>
    <x v="3"/>
    <s v="OK"/>
  </r>
  <r>
    <s v="TXN10374"/>
    <d v="2025-07-10T00:00:00"/>
    <x v="28"/>
    <x v="3"/>
    <x v="4"/>
    <x v="26"/>
    <n v="3"/>
    <s v="OK"/>
    <n v="2686.77"/>
    <s v="OK"/>
    <n v="2252.16"/>
    <x v="1"/>
    <s v="OK"/>
  </r>
  <r>
    <s v="TXN11247"/>
    <d v="2025-07-10T00:00:00"/>
    <x v="22"/>
    <x v="2"/>
    <x v="3"/>
    <x v="24"/>
    <n v="7"/>
    <s v="OK"/>
    <n v="1571.02"/>
    <s v="OK"/>
    <n v="920.26"/>
    <x v="1"/>
    <s v="OK"/>
  </r>
  <r>
    <s v="TXN10707"/>
    <d v="2025-07-11T00:00:00"/>
    <x v="21"/>
    <x v="0"/>
    <x v="3"/>
    <x v="24"/>
    <n v="1"/>
    <s v="OK"/>
    <n v="4777.8500000000004"/>
    <s v="OK"/>
    <n v="4067.89"/>
    <x v="0"/>
    <s v="OK"/>
  </r>
  <r>
    <s v="TXN11082"/>
    <d v="2025-07-11T00:00:00"/>
    <x v="17"/>
    <x v="2"/>
    <x v="3"/>
    <x v="25"/>
    <n v="4"/>
    <s v="OK"/>
    <n v="1599.92"/>
    <s v="OK"/>
    <n v="888.42"/>
    <x v="1"/>
    <s v="OK"/>
  </r>
  <r>
    <s v="TXN10981"/>
    <d v="2025-07-11T00:00:00"/>
    <x v="0"/>
    <x v="3"/>
    <x v="4"/>
    <x v="14"/>
    <n v="5"/>
    <s v="OK"/>
    <n v="1205.44"/>
    <s v="OK"/>
    <n v="674.12"/>
    <x v="4"/>
    <s v="OK"/>
  </r>
  <r>
    <s v="TXN11041"/>
    <d v="2025-07-11T00:00:00"/>
    <x v="23"/>
    <x v="4"/>
    <x v="0"/>
    <x v="11"/>
    <m/>
    <s v="Blank"/>
    <n v="1578.96"/>
    <s v="OK"/>
    <n v="1377.49"/>
    <x v="4"/>
    <s v="OK"/>
  </r>
  <r>
    <s v="TXN11092"/>
    <d v="2025-07-11T00:00:00"/>
    <x v="8"/>
    <x v="3"/>
    <x v="1"/>
    <x v="20"/>
    <n v="8"/>
    <s v="OK"/>
    <n v="5972.11"/>
    <s v="OK"/>
    <n v="3583.57"/>
    <x v="4"/>
    <s v="OK"/>
  </r>
  <r>
    <s v="TXN10308"/>
    <d v="2025-07-12T00:00:00"/>
    <x v="27"/>
    <x v="5"/>
    <x v="4"/>
    <x v="18"/>
    <n v="7"/>
    <s v="OK"/>
    <n v="853.65"/>
    <s v="OK"/>
    <n v="634.54999999999995"/>
    <x v="0"/>
    <s v="OK"/>
  </r>
  <r>
    <s v="TXN11034"/>
    <d v="2025-07-12T00:00:00"/>
    <x v="4"/>
    <x v="2"/>
    <x v="4"/>
    <x v="29"/>
    <n v="4"/>
    <s v="OK"/>
    <n v="1551.02"/>
    <s v="OK"/>
    <n v="1275.8800000000001"/>
    <x v="1"/>
    <s v="OK"/>
  </r>
  <r>
    <s v="TXN11120"/>
    <d v="2025-07-12T00:00:00"/>
    <x v="15"/>
    <x v="5"/>
    <x v="2"/>
    <x v="15"/>
    <n v="5"/>
    <s v="OK"/>
    <n v="6552.05"/>
    <s v="OK"/>
    <n v="4626.84"/>
    <x v="3"/>
    <s v="OK"/>
  </r>
  <r>
    <s v="TXN10683"/>
    <d v="2025-07-13T00:00:00"/>
    <x v="24"/>
    <x v="4"/>
    <x v="2"/>
    <x v="16"/>
    <n v="7"/>
    <s v="OK"/>
    <n v="689.78"/>
    <s v="OK"/>
    <n v="418.28"/>
    <x v="3"/>
    <s v="OK"/>
  </r>
  <r>
    <s v="TXN10544"/>
    <d v="2025-07-13T00:00:00"/>
    <x v="3"/>
    <x v="1"/>
    <x v="0"/>
    <x v="11"/>
    <n v="6"/>
    <s v="OK"/>
    <n v="1551.66"/>
    <s v="OK"/>
    <n v="1313.35"/>
    <x v="1"/>
    <s v="OK"/>
  </r>
  <r>
    <s v="TXN10482"/>
    <d v="2025-07-14T00:00:00"/>
    <x v="12"/>
    <x v="2"/>
    <x v="3"/>
    <x v="21"/>
    <n v="6"/>
    <s v="OK"/>
    <n v="3862.47"/>
    <s v="OK"/>
    <n v="3223.81"/>
    <x v="4"/>
    <s v="OK"/>
  </r>
  <r>
    <s v="TXN10400"/>
    <d v="2025-07-15T00:00:00"/>
    <x v="4"/>
    <x v="3"/>
    <x v="2"/>
    <x v="15"/>
    <n v="6"/>
    <s v="OK"/>
    <n v="3565.92"/>
    <s v="OK"/>
    <n v="2880.81"/>
    <x v="3"/>
    <s v="OK"/>
  </r>
  <r>
    <s v="TXN11133"/>
    <d v="2025-07-15T00:00:00"/>
    <x v="25"/>
    <x v="3"/>
    <x v="4"/>
    <x v="23"/>
    <n v="7"/>
    <s v="OK"/>
    <n v="2877.45"/>
    <s v="OK"/>
    <n v="1794.87"/>
    <x v="1"/>
    <s v="OK"/>
  </r>
  <r>
    <s v="TXN10134"/>
    <d v="2025-07-15T00:00:00"/>
    <x v="12"/>
    <x v="3"/>
    <x v="4"/>
    <x v="18"/>
    <n v="6"/>
    <s v="OK"/>
    <n v="602.12"/>
    <s v="OK"/>
    <n v="377.63"/>
    <x v="1"/>
    <s v="OK"/>
  </r>
  <r>
    <s v="TXN10360"/>
    <d v="2025-07-15T00:00:00"/>
    <x v="5"/>
    <x v="0"/>
    <x v="4"/>
    <x v="26"/>
    <n v="3"/>
    <s v="OK"/>
    <n v="2335.12"/>
    <s v="OK"/>
    <n v="1806.11"/>
    <x v="1"/>
    <s v="OK"/>
  </r>
  <r>
    <s v="TXN10925"/>
    <d v="2025-07-15T00:00:00"/>
    <x v="24"/>
    <x v="3"/>
    <x v="2"/>
    <x v="3"/>
    <n v="2"/>
    <s v="OK"/>
    <n v="3032.47"/>
    <s v="OK"/>
    <n v="1846"/>
    <x v="0"/>
    <s v="OK"/>
  </r>
  <r>
    <s v="TXN10664"/>
    <d v="2025-07-15T00:00:00"/>
    <x v="12"/>
    <x v="5"/>
    <x v="1"/>
    <x v="27"/>
    <n v="4"/>
    <s v="OK"/>
    <n v="8036.4"/>
    <s v="OK"/>
    <n v="5939.35"/>
    <x v="0"/>
    <s v="OK"/>
  </r>
  <r>
    <s v="TXN10115"/>
    <d v="2025-07-15T00:00:00"/>
    <x v="5"/>
    <x v="3"/>
    <x v="0"/>
    <x v="11"/>
    <n v="7"/>
    <s v="OK"/>
    <n v="2473.35"/>
    <s v="OK"/>
    <n v="2007.1"/>
    <x v="4"/>
    <s v="OK"/>
  </r>
  <r>
    <s v="TXN10378"/>
    <d v="2025-07-16T00:00:00"/>
    <x v="4"/>
    <x v="3"/>
    <x v="0"/>
    <x v="13"/>
    <n v="3"/>
    <s v="OK"/>
    <n v="611.61"/>
    <s v="OK"/>
    <n v="530.21"/>
    <x v="1"/>
    <s v="OK"/>
  </r>
  <r>
    <s v="TXN10567"/>
    <d v="2025-07-16T00:00:00"/>
    <x v="25"/>
    <x v="4"/>
    <x v="1"/>
    <x v="27"/>
    <n v="7"/>
    <s v="OK"/>
    <n v="11398.81"/>
    <s v="OK"/>
    <n v="8229.16"/>
    <x v="2"/>
    <s v="OK"/>
  </r>
  <r>
    <s v="TXN10065"/>
    <d v="2025-07-16T00:00:00"/>
    <x v="25"/>
    <x v="5"/>
    <x v="3"/>
    <x v="25"/>
    <n v="3"/>
    <s v="OK"/>
    <n v="4385.3100000000004"/>
    <s v="OK"/>
    <n v="2504.87"/>
    <x v="0"/>
    <s v="OK"/>
  </r>
  <r>
    <s v="TXN10399"/>
    <d v="2025-07-16T00:00:00"/>
    <x v="27"/>
    <x v="3"/>
    <x v="1"/>
    <x v="1"/>
    <n v="3"/>
    <s v="OK"/>
    <n v="8068.92"/>
    <s v="OK"/>
    <n v="6149.12"/>
    <x v="2"/>
    <s v="OK"/>
  </r>
  <r>
    <s v="TXN11127"/>
    <d v="2025-07-17T00:00:00"/>
    <x v="12"/>
    <x v="3"/>
    <x v="1"/>
    <x v="27"/>
    <n v="5"/>
    <s v="OK"/>
    <n v="11282.67"/>
    <s v="OK"/>
    <n v="8856.23"/>
    <x v="2"/>
    <s v="OK"/>
  </r>
  <r>
    <s v="TXN10480"/>
    <d v="2025-07-17T00:00:00"/>
    <x v="20"/>
    <x v="2"/>
    <x v="0"/>
    <x v="13"/>
    <n v="8"/>
    <s v="OK"/>
    <n v="2039.77"/>
    <s v="OK"/>
    <n v="1558.63"/>
    <x v="4"/>
    <s v="OK"/>
  </r>
  <r>
    <s v="TXN10401"/>
    <d v="2025-07-18T00:00:00"/>
    <x v="10"/>
    <x v="4"/>
    <x v="2"/>
    <x v="12"/>
    <n v="5"/>
    <s v="OK"/>
    <n v="1586.78"/>
    <s v="OK"/>
    <n v="1039.71"/>
    <x v="4"/>
    <s v="OK"/>
  </r>
  <r>
    <s v="TXN10926"/>
    <d v="2025-07-18T00:00:00"/>
    <x v="25"/>
    <x v="3"/>
    <x v="3"/>
    <x v="25"/>
    <n v="7"/>
    <s v="OK"/>
    <n v="2067.15"/>
    <s v="OK"/>
    <n v="1650.3"/>
    <x v="4"/>
    <s v="OK"/>
  </r>
  <r>
    <s v="TXN10928"/>
    <d v="2025-07-18T00:00:00"/>
    <x v="21"/>
    <x v="1"/>
    <x v="0"/>
    <x v="2"/>
    <n v="8"/>
    <s v="OK"/>
    <n v="817.5"/>
    <s v="OK"/>
    <n v="611.58000000000004"/>
    <x v="1"/>
    <s v="OK"/>
  </r>
  <r>
    <s v="TXN10337"/>
    <d v="2025-07-18T00:00:00"/>
    <x v="19"/>
    <x v="0"/>
    <x v="3"/>
    <x v="21"/>
    <n v="7"/>
    <s v="OK"/>
    <n v="3780.34"/>
    <s v="OK"/>
    <n v="2796.26"/>
    <x v="0"/>
    <s v="OK"/>
  </r>
  <r>
    <s v="TXN10791"/>
    <d v="2025-07-18T00:00:00"/>
    <x v="10"/>
    <x v="4"/>
    <x v="0"/>
    <x v="7"/>
    <n v="6"/>
    <s v="OK"/>
    <n v="513.73"/>
    <s v="OK"/>
    <n v="404.58"/>
    <x v="3"/>
    <s v="OK"/>
  </r>
  <r>
    <s v="TXN10889"/>
    <d v="2025-07-19T00:00:00"/>
    <x v="17"/>
    <x v="0"/>
    <x v="4"/>
    <x v="18"/>
    <n v="4"/>
    <s v="OK"/>
    <n v="3290.38"/>
    <s v="OK"/>
    <n v="2046.43"/>
    <x v="1"/>
    <s v="OK"/>
  </r>
  <r>
    <s v="TXN10809"/>
    <d v="2025-07-20T00:00:00"/>
    <x v="23"/>
    <x v="2"/>
    <x v="1"/>
    <x v="22"/>
    <n v="3"/>
    <s v="OK"/>
    <n v="5831.17"/>
    <s v="OK"/>
    <n v="5047.97"/>
    <x v="1"/>
    <s v="OK"/>
  </r>
  <r>
    <s v="TXN10719"/>
    <d v="2025-07-20T00:00:00"/>
    <x v="13"/>
    <x v="4"/>
    <x v="4"/>
    <x v="14"/>
    <n v="3"/>
    <s v="OK"/>
    <n v="2523.75"/>
    <s v="OK"/>
    <n v="1942.05"/>
    <x v="3"/>
    <s v="OK"/>
  </r>
  <r>
    <s v="TXN10614"/>
    <d v="2025-07-20T00:00:00"/>
    <x v="22"/>
    <x v="5"/>
    <x v="1"/>
    <x v="1"/>
    <n v="2"/>
    <s v="OK"/>
    <n v="10188.58"/>
    <s v="OK"/>
    <n v="6214.31"/>
    <x v="3"/>
    <s v="OK"/>
  </r>
  <r>
    <s v="TXN10387"/>
    <d v="2025-07-21T00:00:00"/>
    <x v="15"/>
    <x v="4"/>
    <x v="3"/>
    <x v="5"/>
    <n v="2"/>
    <s v="OK"/>
    <n v="3755.43"/>
    <s v="OK"/>
    <n v="2142.67"/>
    <x v="4"/>
    <s v="OK"/>
  </r>
  <r>
    <s v="TXN10680"/>
    <d v="2025-07-21T00:00:00"/>
    <x v="17"/>
    <x v="4"/>
    <x v="2"/>
    <x v="16"/>
    <n v="7"/>
    <s v="OK"/>
    <n v="2534.84"/>
    <s v="OK"/>
    <n v="1415"/>
    <x v="0"/>
    <s v="OK"/>
  </r>
  <r>
    <s v="TXN10388"/>
    <d v="2025-07-21T00:00:00"/>
    <x v="4"/>
    <x v="0"/>
    <x v="4"/>
    <x v="14"/>
    <n v="6"/>
    <s v="OK"/>
    <n v="1283.69"/>
    <s v="OK"/>
    <n v="821.23"/>
    <x v="5"/>
    <s v="OK"/>
  </r>
  <r>
    <s v="TXN11011"/>
    <d v="2025-07-22T00:00:00"/>
    <x v="23"/>
    <x v="3"/>
    <x v="3"/>
    <x v="5"/>
    <n v="2"/>
    <s v="OK"/>
    <m/>
    <s v="Missing Sales"/>
    <n v="3898.95"/>
    <x v="0"/>
    <s v="Missing Data"/>
  </r>
  <r>
    <s v="TXN10133"/>
    <d v="2025-07-22T00:00:00"/>
    <x v="13"/>
    <x v="4"/>
    <x v="4"/>
    <x v="6"/>
    <n v="1"/>
    <s v="OK"/>
    <n v="1109.49"/>
    <s v="OK"/>
    <n v="655.47"/>
    <x v="3"/>
    <s v="OK"/>
  </r>
  <r>
    <s v="TXN10392"/>
    <d v="2025-07-22T00:00:00"/>
    <x v="25"/>
    <x v="3"/>
    <x v="3"/>
    <x v="19"/>
    <n v="1"/>
    <s v="OK"/>
    <n v="4224.51"/>
    <s v="OK"/>
    <n v="2686.18"/>
    <x v="4"/>
    <s v="OK"/>
  </r>
  <r>
    <s v="TXN10356"/>
    <d v="2025-07-22T00:00:00"/>
    <x v="12"/>
    <x v="3"/>
    <x v="3"/>
    <x v="24"/>
    <n v="5"/>
    <s v="OK"/>
    <n v="4492.9399999999996"/>
    <s v="OK"/>
    <n v="3590.88"/>
    <x v="0"/>
    <s v="OK"/>
  </r>
  <r>
    <s v="TXN11100"/>
    <d v="2025-07-23T00:00:00"/>
    <x v="18"/>
    <x v="2"/>
    <x v="1"/>
    <x v="1"/>
    <n v="7"/>
    <s v="OK"/>
    <n v="3768.8"/>
    <s v="OK"/>
    <n v="2621.78"/>
    <x v="2"/>
    <s v="OK"/>
  </r>
  <r>
    <s v="TXN11076"/>
    <d v="2025-07-23T00:00:00"/>
    <x v="20"/>
    <x v="0"/>
    <x v="0"/>
    <x v="7"/>
    <n v="1"/>
    <s v="OK"/>
    <n v="224.7"/>
    <s v="OK"/>
    <n v="132.09"/>
    <x v="4"/>
    <s v="OK"/>
  </r>
  <r>
    <s v="TXN10562"/>
    <d v="2025-07-23T00:00:00"/>
    <x v="1"/>
    <x v="4"/>
    <x v="4"/>
    <x v="29"/>
    <n v="4"/>
    <s v="OK"/>
    <n v="1592.99"/>
    <s v="OK"/>
    <n v="1288.17"/>
    <x v="0"/>
    <s v="OK"/>
  </r>
  <r>
    <s v="TXN10307"/>
    <d v="2025-07-23T00:00:00"/>
    <x v="5"/>
    <x v="4"/>
    <x v="2"/>
    <x v="3"/>
    <n v="6"/>
    <s v="OK"/>
    <n v="595.53"/>
    <s v="OK"/>
    <n v="381.26"/>
    <x v="0"/>
    <s v="OK"/>
  </r>
  <r>
    <s v="TXN10213"/>
    <d v="2025-07-23T00:00:00"/>
    <x v="3"/>
    <x v="5"/>
    <x v="2"/>
    <x v="12"/>
    <n v="6"/>
    <s v="OK"/>
    <n v="4687.1000000000004"/>
    <s v="OK"/>
    <n v="2963.99"/>
    <x v="1"/>
    <s v="OK"/>
  </r>
  <r>
    <s v="TXN10166"/>
    <d v="2025-07-23T00:00:00"/>
    <x v="22"/>
    <x v="3"/>
    <x v="4"/>
    <x v="6"/>
    <n v="1"/>
    <s v="OK"/>
    <n v="1667.71"/>
    <s v="OK"/>
    <n v="1170.26"/>
    <x v="1"/>
    <s v="OK"/>
  </r>
  <r>
    <s v="TXN11148"/>
    <d v="2025-07-23T00:00:00"/>
    <x v="4"/>
    <x v="3"/>
    <x v="1"/>
    <x v="20"/>
    <n v="8"/>
    <s v="OK"/>
    <n v="6075.99"/>
    <s v="OK"/>
    <n v="4537.13"/>
    <x v="4"/>
    <s v="OK"/>
  </r>
  <r>
    <s v="TXN11189"/>
    <d v="2025-07-24T00:00:00"/>
    <x v="28"/>
    <x v="3"/>
    <x v="3"/>
    <x v="19"/>
    <n v="7"/>
    <s v="OK"/>
    <n v="1222.8"/>
    <s v="OK"/>
    <n v="1058.99"/>
    <x v="1"/>
    <s v="OK"/>
  </r>
  <r>
    <s v="TXN10904"/>
    <d v="2025-07-25T00:00:00"/>
    <x v="18"/>
    <x v="3"/>
    <x v="3"/>
    <x v="24"/>
    <n v="7"/>
    <s v="OK"/>
    <n v="3802.16"/>
    <s v="OK"/>
    <n v="2278.46"/>
    <x v="5"/>
    <s v="OK"/>
  </r>
  <r>
    <s v="TXN10964"/>
    <d v="2025-07-25T00:00:00"/>
    <x v="25"/>
    <x v="3"/>
    <x v="4"/>
    <x v="14"/>
    <n v="3"/>
    <s v="OK"/>
    <n v="1660.73"/>
    <s v="OK"/>
    <n v="1128.93"/>
    <x v="1"/>
    <s v="OK"/>
  </r>
  <r>
    <s v="TXN10766"/>
    <d v="2025-07-26T00:00:00"/>
    <x v="14"/>
    <x v="2"/>
    <x v="0"/>
    <x v="2"/>
    <n v="2"/>
    <s v="OK"/>
    <n v="1442.3"/>
    <s v="OK"/>
    <n v="794.84"/>
    <x v="0"/>
    <s v="OK"/>
  </r>
  <r>
    <s v="TXN10818"/>
    <d v="2025-07-27T00:00:00"/>
    <x v="26"/>
    <x v="0"/>
    <x v="1"/>
    <x v="22"/>
    <n v="8"/>
    <s v="OK"/>
    <n v="14041.66"/>
    <s v="OK"/>
    <n v="12114.73"/>
    <x v="3"/>
    <s v="OK"/>
  </r>
  <r>
    <s v="TXN10537"/>
    <d v="2025-07-27T00:00:00"/>
    <x v="6"/>
    <x v="3"/>
    <x v="2"/>
    <x v="3"/>
    <n v="4"/>
    <s v="OK"/>
    <n v="6381.6"/>
    <s v="OK"/>
    <n v="4671.5"/>
    <x v="2"/>
    <s v="OK"/>
  </r>
  <r>
    <s v="TXN11153"/>
    <d v="2025-07-27T00:00:00"/>
    <x v="25"/>
    <x v="3"/>
    <x v="2"/>
    <x v="16"/>
    <n v="1"/>
    <s v="OK"/>
    <n v="2999.06"/>
    <s v="OK"/>
    <n v="2458.52"/>
    <x v="2"/>
    <s v="OK"/>
  </r>
  <r>
    <s v="TXN10331"/>
    <d v="2025-07-27T00:00:00"/>
    <x v="26"/>
    <x v="2"/>
    <x v="0"/>
    <x v="7"/>
    <n v="3"/>
    <s v="OK"/>
    <n v="628.69000000000005"/>
    <s v="OK"/>
    <n v="482.15"/>
    <x v="0"/>
    <s v="OK"/>
  </r>
  <r>
    <s v="TXN10299"/>
    <d v="2025-07-27T00:00:00"/>
    <x v="18"/>
    <x v="2"/>
    <x v="1"/>
    <x v="1"/>
    <n v="8"/>
    <s v="OK"/>
    <n v="10561.54"/>
    <s v="OK"/>
    <n v="9260.11"/>
    <x v="4"/>
    <s v="OK"/>
  </r>
  <r>
    <s v="TXN10573"/>
    <d v="2025-07-28T00:00:00"/>
    <x v="3"/>
    <x v="3"/>
    <x v="4"/>
    <x v="26"/>
    <n v="2"/>
    <s v="OK"/>
    <n v="2065.5500000000002"/>
    <s v="OK"/>
    <n v="1479.03"/>
    <x v="3"/>
    <s v="OK"/>
  </r>
  <r>
    <s v="TXN10851"/>
    <d v="2025-07-28T00:00:00"/>
    <x v="2"/>
    <x v="5"/>
    <x v="2"/>
    <x v="16"/>
    <n v="2"/>
    <s v="OK"/>
    <n v="5425.3"/>
    <s v="OK"/>
    <n v="3546.59"/>
    <x v="0"/>
    <s v="OK"/>
  </r>
  <r>
    <s v="TXN11173"/>
    <d v="2025-07-28T00:00:00"/>
    <x v="30"/>
    <x v="3"/>
    <x v="1"/>
    <x v="1"/>
    <n v="6"/>
    <s v="OK"/>
    <n v="15353.7"/>
    <s v="OK"/>
    <n v="11660.26"/>
    <x v="1"/>
    <s v="OK"/>
  </r>
  <r>
    <s v="TXN10025"/>
    <d v="2025-07-28T00:00:00"/>
    <x v="3"/>
    <x v="2"/>
    <x v="3"/>
    <x v="17"/>
    <n v="4"/>
    <s v="OK"/>
    <n v="1018.79"/>
    <s v="OK"/>
    <n v="781.88"/>
    <x v="3"/>
    <s v="OK"/>
  </r>
  <r>
    <s v="TXN10522"/>
    <d v="2025-07-28T00:00:00"/>
    <x v="25"/>
    <x v="4"/>
    <x v="3"/>
    <x v="19"/>
    <n v="7"/>
    <s v="OK"/>
    <n v="2981.19"/>
    <s v="OK"/>
    <n v="2037.55"/>
    <x v="3"/>
    <s v="OK"/>
  </r>
  <r>
    <s v="TXN10628"/>
    <d v="2025-07-29T00:00:00"/>
    <x v="0"/>
    <x v="4"/>
    <x v="4"/>
    <x v="14"/>
    <n v="6"/>
    <s v="OK"/>
    <n v="609.01"/>
    <s v="OK"/>
    <n v="440.1"/>
    <x v="1"/>
    <s v="OK"/>
  </r>
  <r>
    <s v="TXN10890"/>
    <d v="2025-07-29T00:00:00"/>
    <x v="29"/>
    <x v="5"/>
    <x v="4"/>
    <x v="23"/>
    <n v="5"/>
    <s v="OK"/>
    <n v="3054.42"/>
    <s v="OK"/>
    <n v="1736.3"/>
    <x v="2"/>
    <s v="OK"/>
  </r>
  <r>
    <s v="TXN10668"/>
    <d v="2025-07-30T00:00:00"/>
    <x v="24"/>
    <x v="3"/>
    <x v="4"/>
    <x v="23"/>
    <n v="5"/>
    <s v="OK"/>
    <n v="1689.76"/>
    <s v="OK"/>
    <n v="1450.06"/>
    <x v="3"/>
    <s v="OK"/>
  </r>
  <r>
    <s v="TXN11112"/>
    <d v="2025-07-30T00:00:00"/>
    <x v="12"/>
    <x v="2"/>
    <x v="2"/>
    <x v="12"/>
    <n v="2"/>
    <s v="OK"/>
    <n v="1121.21"/>
    <s v="OK"/>
    <n v="828.53"/>
    <x v="3"/>
    <s v="OK"/>
  </r>
  <r>
    <s v="TXN10881"/>
    <d v="2025-07-30T00:00:00"/>
    <x v="4"/>
    <x v="5"/>
    <x v="4"/>
    <x v="23"/>
    <n v="6"/>
    <s v="OK"/>
    <n v="3045.6"/>
    <s v="OK"/>
    <n v="2590.8200000000002"/>
    <x v="4"/>
    <s v="OK"/>
  </r>
  <r>
    <s v="TXN10104"/>
    <d v="2025-07-30T00:00:00"/>
    <x v="12"/>
    <x v="3"/>
    <x v="3"/>
    <x v="19"/>
    <n v="8"/>
    <s v="OK"/>
    <n v="2085.1999999999998"/>
    <s v="OK"/>
    <n v="1797.26"/>
    <x v="2"/>
    <s v="OK"/>
  </r>
  <r>
    <s v="TXN10552"/>
    <d v="2025-07-30T00:00:00"/>
    <x v="27"/>
    <x v="2"/>
    <x v="3"/>
    <x v="25"/>
    <n v="3"/>
    <s v="OK"/>
    <n v="4870.3900000000003"/>
    <s v="OK"/>
    <n v="3997.37"/>
    <x v="4"/>
    <s v="OK"/>
  </r>
  <r>
    <s v="TXN10386"/>
    <d v="2025-07-31T00:00:00"/>
    <x v="25"/>
    <x v="3"/>
    <x v="3"/>
    <x v="21"/>
    <n v="6"/>
    <s v="OK"/>
    <n v="3021.52"/>
    <s v="OK"/>
    <n v="2407.5700000000002"/>
    <x v="2"/>
    <s v="OK"/>
  </r>
  <r>
    <s v="TXN10962"/>
    <d v="2025-07-31T00:00:00"/>
    <x v="28"/>
    <x v="5"/>
    <x v="3"/>
    <x v="17"/>
    <n v="7"/>
    <s v="OK"/>
    <n v="5439.36"/>
    <s v="OK"/>
    <n v="4700.1899999999996"/>
    <x v="2"/>
    <s v="OK"/>
  </r>
  <r>
    <s v="TXN10106"/>
    <d v="2025-07-31T00:00:00"/>
    <x v="22"/>
    <x v="3"/>
    <x v="2"/>
    <x v="4"/>
    <n v="1"/>
    <s v="OK"/>
    <n v="1638.04"/>
    <s v="OK"/>
    <n v="1096.48"/>
    <x v="0"/>
    <s v="OK"/>
  </r>
  <r>
    <s v="TXN10290"/>
    <d v="2025-07-31T00:00:00"/>
    <x v="10"/>
    <x v="5"/>
    <x v="4"/>
    <x v="14"/>
    <n v="1"/>
    <s v="OK"/>
    <n v="2078.21"/>
    <s v="OK"/>
    <n v="1294.77"/>
    <x v="4"/>
    <s v="OK"/>
  </r>
  <r>
    <s v="TXN10130"/>
    <d v="2025-08-01T00:00:00"/>
    <x v="10"/>
    <x v="0"/>
    <x v="4"/>
    <x v="29"/>
    <n v="3"/>
    <s v="OK"/>
    <n v="902.58"/>
    <s v="OK"/>
    <n v="730.68"/>
    <x v="3"/>
    <s v="OK"/>
  </r>
  <r>
    <s v="TXN10496"/>
    <d v="2025-08-01T00:00:00"/>
    <x v="22"/>
    <x v="5"/>
    <x v="4"/>
    <x v="6"/>
    <n v="1"/>
    <s v="OK"/>
    <n v="3261.54"/>
    <s v="OK"/>
    <n v="2695.22"/>
    <x v="2"/>
    <s v="OK"/>
  </r>
  <r>
    <s v="TXN10826"/>
    <d v="2025-08-01T00:00:00"/>
    <x v="25"/>
    <x v="5"/>
    <x v="0"/>
    <x v="11"/>
    <n v="8"/>
    <s v="OK"/>
    <n v="863.86"/>
    <s v="OK"/>
    <n v="704.8"/>
    <x v="0"/>
    <s v="OK"/>
  </r>
  <r>
    <s v="TXN11094"/>
    <d v="2025-08-01T00:00:00"/>
    <x v="5"/>
    <x v="3"/>
    <x v="1"/>
    <x v="9"/>
    <n v="5"/>
    <s v="OK"/>
    <n v="13734.42"/>
    <s v="OK"/>
    <n v="8591.89"/>
    <x v="3"/>
    <s v="OK"/>
  </r>
  <r>
    <s v="TXN11057"/>
    <d v="2025-08-02T00:00:00"/>
    <x v="5"/>
    <x v="5"/>
    <x v="0"/>
    <x v="11"/>
    <n v="4"/>
    <s v="OK"/>
    <n v="1208.97"/>
    <s v="OK"/>
    <n v="1005.22"/>
    <x v="1"/>
    <s v="OK"/>
  </r>
  <r>
    <s v="TXN10284"/>
    <d v="2025-08-02T00:00:00"/>
    <x v="10"/>
    <x v="3"/>
    <x v="2"/>
    <x v="4"/>
    <n v="3"/>
    <s v="OK"/>
    <n v="2963.57"/>
    <s v="OK"/>
    <n v="1879.34"/>
    <x v="3"/>
    <s v="OK"/>
  </r>
  <r>
    <s v="TXN10781"/>
    <d v="2025-08-02T00:00:00"/>
    <x v="29"/>
    <x v="3"/>
    <x v="2"/>
    <x v="12"/>
    <n v="8"/>
    <s v="OK"/>
    <n v="4969.5600000000004"/>
    <s v="OK"/>
    <n v="3071.35"/>
    <x v="3"/>
    <s v="OK"/>
  </r>
  <r>
    <s v="TXN10440"/>
    <d v="2025-08-02T00:00:00"/>
    <x v="24"/>
    <x v="2"/>
    <x v="4"/>
    <x v="14"/>
    <n v="2"/>
    <s v="OK"/>
    <n v="860.79"/>
    <s v="OK"/>
    <n v="533.48"/>
    <x v="0"/>
    <s v="OK"/>
  </r>
  <r>
    <s v="TXN10093"/>
    <d v="2025-08-02T00:00:00"/>
    <x v="25"/>
    <x v="5"/>
    <x v="1"/>
    <x v="9"/>
    <n v="4"/>
    <s v="OK"/>
    <n v="14164.36"/>
    <s v="OK"/>
    <n v="9568.3799999999992"/>
    <x v="0"/>
    <s v="OK"/>
  </r>
  <r>
    <s v="TXN11205"/>
    <d v="2025-08-03T00:00:00"/>
    <x v="10"/>
    <x v="2"/>
    <x v="1"/>
    <x v="28"/>
    <n v="1"/>
    <s v="OK"/>
    <n v="3754.59"/>
    <s v="OK"/>
    <n v="2404.6999999999998"/>
    <x v="4"/>
    <s v="OK"/>
  </r>
  <r>
    <s v="TXN10783"/>
    <d v="2025-08-03T00:00:00"/>
    <x v="25"/>
    <x v="3"/>
    <x v="4"/>
    <x v="14"/>
    <n v="1"/>
    <s v="OK"/>
    <n v="2062.56"/>
    <s v="OK"/>
    <n v="1265.03"/>
    <x v="2"/>
    <s v="OK"/>
  </r>
  <r>
    <s v="TXN10244"/>
    <d v="2025-08-03T00:00:00"/>
    <x v="23"/>
    <x v="3"/>
    <x v="0"/>
    <x v="13"/>
    <n v="3"/>
    <s v="OK"/>
    <n v="1149.81"/>
    <s v="OK"/>
    <n v="709.76"/>
    <x v="2"/>
    <s v="OK"/>
  </r>
  <r>
    <s v="TXN10557"/>
    <d v="2025-08-04T00:00:00"/>
    <x v="22"/>
    <x v="3"/>
    <x v="0"/>
    <x v="0"/>
    <n v="6"/>
    <s v="OK"/>
    <n v="2212.1"/>
    <s v="OK"/>
    <n v="1725.93"/>
    <x v="0"/>
    <s v="OK"/>
  </r>
  <r>
    <s v="TXN11221"/>
    <d v="2025-08-05T00:00:00"/>
    <x v="17"/>
    <x v="3"/>
    <x v="1"/>
    <x v="20"/>
    <n v="2"/>
    <s v="OK"/>
    <n v="5476.93"/>
    <s v="OK"/>
    <n v="4708.72"/>
    <x v="2"/>
    <s v="OK"/>
  </r>
  <r>
    <s v="TXN10897"/>
    <d v="2025-08-05T00:00:00"/>
    <x v="24"/>
    <x v="2"/>
    <x v="4"/>
    <x v="29"/>
    <n v="2"/>
    <s v="OK"/>
    <n v="2929.3"/>
    <s v="OK"/>
    <n v="2286.3200000000002"/>
    <x v="2"/>
    <s v="OK"/>
  </r>
  <r>
    <s v="TXN10807"/>
    <d v="2025-08-05T00:00:00"/>
    <x v="1"/>
    <x v="0"/>
    <x v="2"/>
    <x v="8"/>
    <n v="5"/>
    <s v="OK"/>
    <n v="759.44"/>
    <s v="OK"/>
    <n v="511.12"/>
    <x v="0"/>
    <s v="OK"/>
  </r>
  <r>
    <s v="TXN10014"/>
    <d v="2025-08-05T00:00:00"/>
    <x v="0"/>
    <x v="3"/>
    <x v="3"/>
    <x v="5"/>
    <n v="2"/>
    <s v="OK"/>
    <n v="2616.2199999999998"/>
    <s v="OK"/>
    <n v="1953.38"/>
    <x v="0"/>
    <s v="OK"/>
  </r>
  <r>
    <s v="TXN10975"/>
    <d v="2025-08-06T00:00:00"/>
    <x v="9"/>
    <x v="3"/>
    <x v="3"/>
    <x v="5"/>
    <n v="7"/>
    <s v="OK"/>
    <n v="950.71"/>
    <s v="OK"/>
    <n v="542.4"/>
    <x v="4"/>
    <s v="OK"/>
  </r>
  <r>
    <s v="TXN10060"/>
    <d v="2025-08-06T00:00:00"/>
    <x v="4"/>
    <x v="5"/>
    <x v="1"/>
    <x v="22"/>
    <n v="4"/>
    <s v="OK"/>
    <n v="3907.66"/>
    <s v="OK"/>
    <n v="3384.54"/>
    <x v="2"/>
    <s v="OK"/>
  </r>
  <r>
    <s v="TXN11111"/>
    <d v="2025-08-07T00:00:00"/>
    <x v="21"/>
    <x v="5"/>
    <x v="0"/>
    <x v="7"/>
    <n v="5"/>
    <s v="OK"/>
    <n v="1791.22"/>
    <s v="OK"/>
    <n v="1281.0999999999999"/>
    <x v="2"/>
    <s v="OK"/>
  </r>
  <r>
    <s v="TXN10463"/>
    <d v="2025-08-08T00:00:00"/>
    <x v="8"/>
    <x v="2"/>
    <x v="0"/>
    <x v="2"/>
    <n v="8"/>
    <s v="OK"/>
    <n v="1081.6300000000001"/>
    <s v="OK"/>
    <n v="608.36"/>
    <x v="4"/>
    <s v="OK"/>
  </r>
  <r>
    <s v="TXN10363"/>
    <d v="2025-08-08T00:00:00"/>
    <x v="3"/>
    <x v="3"/>
    <x v="0"/>
    <x v="13"/>
    <n v="6"/>
    <s v="OK"/>
    <n v="2019.48"/>
    <s v="OK"/>
    <n v="1275.8499999999999"/>
    <x v="1"/>
    <s v="OK"/>
  </r>
  <r>
    <s v="TXN11085"/>
    <d v="2025-08-08T00:00:00"/>
    <x v="8"/>
    <x v="5"/>
    <x v="2"/>
    <x v="4"/>
    <n v="2"/>
    <s v="OK"/>
    <n v="1933.89"/>
    <s v="OK"/>
    <n v="1131.21"/>
    <x v="5"/>
    <s v="OK"/>
  </r>
  <r>
    <s v="TXN10234"/>
    <d v="2025-08-09T00:00:00"/>
    <x v="30"/>
    <x v="4"/>
    <x v="1"/>
    <x v="22"/>
    <n v="3"/>
    <s v="OK"/>
    <n v="15989.99"/>
    <s v="OK"/>
    <n v="12633.33"/>
    <x v="0"/>
    <s v="OK"/>
  </r>
  <r>
    <s v="TXN10865"/>
    <d v="2025-08-09T00:00:00"/>
    <x v="7"/>
    <x v="3"/>
    <x v="3"/>
    <x v="17"/>
    <n v="3"/>
    <s v="OK"/>
    <n v="2218.5300000000002"/>
    <s v="OK"/>
    <n v="1505.04"/>
    <x v="1"/>
    <s v="OK"/>
  </r>
  <r>
    <s v="TXN10207"/>
    <d v="2025-08-09T00:00:00"/>
    <x v="28"/>
    <x v="3"/>
    <x v="0"/>
    <x v="10"/>
    <n v="3"/>
    <s v="OK"/>
    <n v="1454.59"/>
    <s v="OK"/>
    <n v="954.21"/>
    <x v="1"/>
    <s v="OK"/>
  </r>
  <r>
    <s v="TXN10588"/>
    <d v="2025-08-10T00:00:00"/>
    <x v="24"/>
    <x v="0"/>
    <x v="3"/>
    <x v="21"/>
    <n v="7"/>
    <s v="OK"/>
    <n v="1578.35"/>
    <s v="OK"/>
    <n v="1284.8"/>
    <x v="4"/>
    <s v="OK"/>
  </r>
  <r>
    <s v="TXN10153"/>
    <d v="2025-08-10T00:00:00"/>
    <x v="25"/>
    <x v="3"/>
    <x v="1"/>
    <x v="22"/>
    <n v="2"/>
    <s v="OK"/>
    <n v="13632.47"/>
    <s v="OK"/>
    <n v="9174.2900000000009"/>
    <x v="4"/>
    <s v="OK"/>
  </r>
  <r>
    <s v="TXN10079"/>
    <d v="2025-08-10T00:00:00"/>
    <x v="11"/>
    <x v="2"/>
    <x v="0"/>
    <x v="10"/>
    <n v="6"/>
    <s v="OK"/>
    <n v="1661.85"/>
    <s v="OK"/>
    <n v="1368.49"/>
    <x v="4"/>
    <s v="OK"/>
  </r>
  <r>
    <s v="TXN10485"/>
    <d v="2025-08-10T00:00:00"/>
    <x v="21"/>
    <x v="4"/>
    <x v="2"/>
    <x v="15"/>
    <n v="4"/>
    <s v="OK"/>
    <n v="3580.74"/>
    <s v="OK"/>
    <n v="2753.68"/>
    <x v="0"/>
    <s v="OK"/>
  </r>
  <r>
    <s v="TXN10880"/>
    <d v="2025-08-11T00:00:00"/>
    <x v="18"/>
    <x v="3"/>
    <x v="2"/>
    <x v="3"/>
    <n v="1"/>
    <s v="OK"/>
    <n v="3846.98"/>
    <s v="OK"/>
    <n v="2578.29"/>
    <x v="4"/>
    <s v="OK"/>
  </r>
  <r>
    <s v="TXN11130"/>
    <d v="2025-08-11T00:00:00"/>
    <x v="29"/>
    <x v="3"/>
    <x v="1"/>
    <x v="22"/>
    <n v="1"/>
    <s v="OK"/>
    <n v="3640.02"/>
    <s v="OK"/>
    <n v="3117.89"/>
    <x v="0"/>
    <s v="OK"/>
  </r>
  <r>
    <s v="TXN10645"/>
    <d v="2025-08-11T00:00:00"/>
    <x v="17"/>
    <x v="3"/>
    <x v="4"/>
    <x v="14"/>
    <n v="7"/>
    <s v="OK"/>
    <n v="3273.3"/>
    <s v="OK"/>
    <n v="1930.52"/>
    <x v="4"/>
    <s v="OK"/>
  </r>
  <r>
    <s v="TXN10209"/>
    <d v="2025-08-11T00:00:00"/>
    <x v="16"/>
    <x v="3"/>
    <x v="4"/>
    <x v="18"/>
    <n v="5"/>
    <s v="OK"/>
    <n v="2328.2800000000002"/>
    <s v="OK"/>
    <n v="1888.67"/>
    <x v="1"/>
    <s v="OK"/>
  </r>
  <r>
    <s v="TXN11028"/>
    <d v="2025-08-12T00:00:00"/>
    <x v="16"/>
    <x v="5"/>
    <x v="4"/>
    <x v="18"/>
    <n v="6"/>
    <s v="OK"/>
    <n v="1261.3599999999999"/>
    <s v="OK"/>
    <n v="1062.22"/>
    <x v="4"/>
    <s v="OK"/>
  </r>
  <r>
    <s v="TXN10948"/>
    <d v="2025-08-12T00:00:00"/>
    <x v="6"/>
    <x v="0"/>
    <x v="0"/>
    <x v="11"/>
    <n v="1"/>
    <s v="OK"/>
    <n v="571.07000000000005"/>
    <s v="OK"/>
    <n v="450.94"/>
    <x v="0"/>
    <s v="OK"/>
  </r>
  <r>
    <s v="TXN10735"/>
    <d v="2025-08-12T00:00:00"/>
    <x v="0"/>
    <x v="3"/>
    <x v="0"/>
    <x v="11"/>
    <n v="3"/>
    <s v="OK"/>
    <n v="394.73"/>
    <s v="OK"/>
    <n v="300.76"/>
    <x v="0"/>
    <s v="OK"/>
  </r>
  <r>
    <s v="TXN11106"/>
    <d v="2025-08-12T00:00:00"/>
    <x v="20"/>
    <x v="4"/>
    <x v="3"/>
    <x v="25"/>
    <n v="5"/>
    <s v="OK"/>
    <n v="4741.99"/>
    <s v="OK"/>
    <n v="3784.21"/>
    <x v="3"/>
    <s v="OK"/>
  </r>
  <r>
    <s v="TXN10278"/>
    <d v="2025-08-13T00:00:00"/>
    <x v="4"/>
    <x v="3"/>
    <x v="1"/>
    <x v="28"/>
    <n v="-2"/>
    <s v="Negative Quantity"/>
    <n v="10129.89"/>
    <s v="OK"/>
    <n v="8093.25"/>
    <x v="1"/>
    <s v="OK"/>
  </r>
  <r>
    <s v="TXN11207"/>
    <d v="2025-08-13T00:00:00"/>
    <x v="13"/>
    <x v="4"/>
    <x v="1"/>
    <x v="20"/>
    <n v="7"/>
    <s v="OK"/>
    <n v="10518.73"/>
    <s v="OK"/>
    <n v="7139.92"/>
    <x v="2"/>
    <s v="OK"/>
  </r>
  <r>
    <s v="TXN10623"/>
    <d v="2025-08-13T00:00:00"/>
    <x v="18"/>
    <x v="3"/>
    <x v="0"/>
    <x v="11"/>
    <n v="5"/>
    <s v="OK"/>
    <n v="1448.29"/>
    <s v="OK"/>
    <n v="1030.79"/>
    <x v="2"/>
    <s v="OK"/>
  </r>
  <r>
    <s v="TXN10129"/>
    <d v="2025-08-14T00:00:00"/>
    <x v="6"/>
    <x v="3"/>
    <x v="1"/>
    <x v="1"/>
    <n v="1"/>
    <s v="OK"/>
    <n v="10810.71"/>
    <s v="OK"/>
    <n v="8558.61"/>
    <x v="1"/>
    <s v="OK"/>
  </r>
  <r>
    <s v="TXN10343"/>
    <d v="2025-08-14T00:00:00"/>
    <x v="22"/>
    <x v="0"/>
    <x v="2"/>
    <x v="15"/>
    <n v="4"/>
    <s v="OK"/>
    <n v="6932.52"/>
    <s v="OK"/>
    <n v="4047.19"/>
    <x v="4"/>
    <s v="OK"/>
  </r>
  <r>
    <s v="TXN10850"/>
    <d v="2025-08-14T00:00:00"/>
    <x v="1"/>
    <x v="3"/>
    <x v="2"/>
    <x v="16"/>
    <n v="2"/>
    <s v="OK"/>
    <n v="1593.6"/>
    <s v="OK"/>
    <n v="1063.08"/>
    <x v="0"/>
    <s v="OK"/>
  </r>
  <r>
    <s v="TXN10317"/>
    <d v="2025-08-14T00:00:00"/>
    <x v="22"/>
    <x v="4"/>
    <x v="0"/>
    <x v="13"/>
    <n v="6"/>
    <s v="OK"/>
    <n v="1190.42"/>
    <s v="OK"/>
    <n v="978.25"/>
    <x v="2"/>
    <s v="OK"/>
  </r>
  <r>
    <s v="TXN10483"/>
    <d v="2025-08-14T00:00:00"/>
    <x v="27"/>
    <x v="2"/>
    <x v="1"/>
    <x v="28"/>
    <n v="1"/>
    <s v="OK"/>
    <n v="1983.05"/>
    <s v="OK"/>
    <n v="1519.3"/>
    <x v="1"/>
    <s v="OK"/>
  </r>
  <r>
    <s v="TXN11144"/>
    <d v="2025-08-15T00:00:00"/>
    <x v="6"/>
    <x v="5"/>
    <x v="2"/>
    <x v="16"/>
    <n v="8"/>
    <s v="OK"/>
    <n v="2321.14"/>
    <s v="OK"/>
    <n v="1387.56"/>
    <x v="4"/>
    <s v="OK"/>
  </r>
  <r>
    <s v="TXN10820"/>
    <d v="2025-08-15T00:00:00"/>
    <x v="19"/>
    <x v="5"/>
    <x v="2"/>
    <x v="8"/>
    <n v="6"/>
    <s v="OK"/>
    <n v="4948.37"/>
    <s v="OK"/>
    <n v="3916.34"/>
    <x v="1"/>
    <s v="OK"/>
  </r>
  <r>
    <s v="TXN10963"/>
    <d v="2025-08-15T00:00:00"/>
    <x v="28"/>
    <x v="3"/>
    <x v="4"/>
    <x v="6"/>
    <n v="3"/>
    <s v="OK"/>
    <n v="2752.99"/>
    <s v="OK"/>
    <n v="2166.1"/>
    <x v="2"/>
    <s v="OK"/>
  </r>
  <r>
    <s v="TXN10362"/>
    <d v="2025-08-15T00:00:00"/>
    <x v="10"/>
    <x v="2"/>
    <x v="2"/>
    <x v="8"/>
    <n v="4"/>
    <s v="OK"/>
    <n v="972.14"/>
    <s v="OK"/>
    <n v="566.91"/>
    <x v="5"/>
    <s v="OK"/>
  </r>
  <r>
    <s v="TXN10056"/>
    <d v="2025-08-15T00:00:00"/>
    <x v="8"/>
    <x v="3"/>
    <x v="4"/>
    <x v="23"/>
    <n v="8"/>
    <s v="OK"/>
    <n v="2445.79"/>
    <s v="OK"/>
    <n v="1757.76"/>
    <x v="4"/>
    <s v="OK"/>
  </r>
  <r>
    <s v="TXN10813"/>
    <d v="2025-08-16T00:00:00"/>
    <x v="27"/>
    <x v="4"/>
    <x v="2"/>
    <x v="3"/>
    <m/>
    <s v="Blank"/>
    <n v="2406.94"/>
    <s v="OK"/>
    <n v="1428.63"/>
    <x v="3"/>
    <s v="OK"/>
  </r>
  <r>
    <s v="TXN10139"/>
    <d v="2025-08-16T00:00:00"/>
    <x v="16"/>
    <x v="3"/>
    <x v="4"/>
    <x v="26"/>
    <n v="8"/>
    <s v="OK"/>
    <n v="3339.3"/>
    <s v="OK"/>
    <n v="2779.29"/>
    <x v="1"/>
    <s v="OK"/>
  </r>
  <r>
    <s v="TXN10899"/>
    <d v="2025-08-16T00:00:00"/>
    <x v="6"/>
    <x v="3"/>
    <x v="3"/>
    <x v="5"/>
    <n v="3"/>
    <s v="OK"/>
    <n v="516.91999999999996"/>
    <s v="OK"/>
    <n v="318.44"/>
    <x v="3"/>
    <s v="OK"/>
  </r>
  <r>
    <s v="TXN10208"/>
    <d v="2025-08-17T00:00:00"/>
    <x v="5"/>
    <x v="3"/>
    <x v="4"/>
    <x v="14"/>
    <n v="7"/>
    <s v="OK"/>
    <n v="791.6"/>
    <s v="OK"/>
    <n v="551.34"/>
    <x v="0"/>
    <s v="OK"/>
  </r>
  <r>
    <s v="TXN10594"/>
    <d v="2025-08-17T00:00:00"/>
    <x v="12"/>
    <x v="4"/>
    <x v="0"/>
    <x v="11"/>
    <n v="2"/>
    <s v="OK"/>
    <n v="1076.46"/>
    <s v="OK"/>
    <n v="693.84"/>
    <x v="4"/>
    <s v="OK"/>
  </r>
  <r>
    <s v="TXN10823"/>
    <d v="2025-08-17T00:00:00"/>
    <x v="23"/>
    <x v="3"/>
    <x v="1"/>
    <x v="9"/>
    <n v="2"/>
    <s v="OK"/>
    <n v="17586.86"/>
    <s v="OK"/>
    <n v="11961.88"/>
    <x v="0"/>
    <s v="OK"/>
  </r>
  <r>
    <s v="TXN11216"/>
    <d v="2025-08-17T00:00:00"/>
    <x v="23"/>
    <x v="4"/>
    <x v="0"/>
    <x v="7"/>
    <n v="4"/>
    <s v="OK"/>
    <n v="1878.57"/>
    <s v="OK"/>
    <n v="1302.2"/>
    <x v="4"/>
    <s v="OK"/>
  </r>
  <r>
    <s v="TXN10027"/>
    <d v="2025-08-18T00:00:00"/>
    <x v="4"/>
    <x v="5"/>
    <x v="3"/>
    <x v="21"/>
    <n v="3"/>
    <s v="OK"/>
    <n v="2820.35"/>
    <s v="OK"/>
    <n v="1810.44"/>
    <x v="4"/>
    <s v="OK"/>
  </r>
  <r>
    <s v="TXN11090"/>
    <d v="2025-08-18T00:00:00"/>
    <x v="5"/>
    <x v="3"/>
    <x v="2"/>
    <x v="3"/>
    <n v="7"/>
    <s v="OK"/>
    <n v="3772.77"/>
    <s v="OK"/>
    <n v="2998.59"/>
    <x v="2"/>
    <s v="OK"/>
  </r>
  <r>
    <s v="TXN10625"/>
    <d v="2025-08-19T00:00:00"/>
    <x v="29"/>
    <x v="3"/>
    <x v="2"/>
    <x v="16"/>
    <n v="5"/>
    <s v="OK"/>
    <n v="5808.16"/>
    <s v="OK"/>
    <n v="4232.58"/>
    <x v="0"/>
    <s v="OK"/>
  </r>
  <r>
    <s v="TXN10332"/>
    <d v="2025-08-19T00:00:00"/>
    <x v="11"/>
    <x v="3"/>
    <x v="2"/>
    <x v="16"/>
    <n v="7"/>
    <s v="OK"/>
    <n v="2966.32"/>
    <s v="OK"/>
    <n v="2321.33"/>
    <x v="4"/>
    <s v="OK"/>
  </r>
  <r>
    <s v="TXN10390"/>
    <d v="2025-08-20T00:00:00"/>
    <x v="15"/>
    <x v="4"/>
    <x v="4"/>
    <x v="26"/>
    <n v="5"/>
    <s v="OK"/>
    <n v="1755.88"/>
    <s v="OK"/>
    <n v="1459.7"/>
    <x v="1"/>
    <s v="OK"/>
  </r>
  <r>
    <s v="TXN10500"/>
    <d v="2025-08-20T00:00:00"/>
    <x v="18"/>
    <x v="2"/>
    <x v="4"/>
    <x v="14"/>
    <n v="3"/>
    <s v="OK"/>
    <n v="699.09"/>
    <s v="OK"/>
    <n v="523.5"/>
    <x v="2"/>
    <s v="OK"/>
  </r>
  <r>
    <s v="TXN10175"/>
    <d v="2025-08-20T00:00:00"/>
    <x v="21"/>
    <x v="3"/>
    <x v="4"/>
    <x v="23"/>
    <n v="1"/>
    <s v="OK"/>
    <n v="434.89"/>
    <s v="OK"/>
    <n v="358.55"/>
    <x v="1"/>
    <s v="OK"/>
  </r>
  <r>
    <s v="TXN10901"/>
    <d v="2025-08-20T00:00:00"/>
    <x v="13"/>
    <x v="4"/>
    <x v="0"/>
    <x v="13"/>
    <n v="8"/>
    <s v="OK"/>
    <n v="2209.06"/>
    <s v="OK"/>
    <n v="1312.31"/>
    <x v="4"/>
    <s v="OK"/>
  </r>
  <r>
    <s v="TXN10418"/>
    <d v="2025-08-20T00:00:00"/>
    <x v="6"/>
    <x v="3"/>
    <x v="3"/>
    <x v="25"/>
    <n v="2"/>
    <s v="OK"/>
    <n v="4895.57"/>
    <s v="OK"/>
    <n v="2746.54"/>
    <x v="1"/>
    <s v="OK"/>
  </r>
  <r>
    <s v="TXN10506"/>
    <d v="2025-08-20T00:00:00"/>
    <x v="23"/>
    <x v="4"/>
    <x v="1"/>
    <x v="1"/>
    <n v="2"/>
    <s v="OK"/>
    <n v="11435.46"/>
    <s v="OK"/>
    <n v="8838.74"/>
    <x v="2"/>
    <s v="OK"/>
  </r>
  <r>
    <s v="TXN10137"/>
    <d v="2025-08-21T00:00:00"/>
    <x v="4"/>
    <x v="4"/>
    <x v="3"/>
    <x v="17"/>
    <n v="6"/>
    <s v="OK"/>
    <n v="4187.67"/>
    <s v="OK"/>
    <n v="3330.19"/>
    <x v="2"/>
    <s v="OK"/>
  </r>
  <r>
    <s v="TXN10859"/>
    <d v="2025-08-21T00:00:00"/>
    <x v="27"/>
    <x v="4"/>
    <x v="4"/>
    <x v="26"/>
    <n v="2"/>
    <s v="OK"/>
    <n v="647.12"/>
    <s v="OK"/>
    <n v="460.41"/>
    <x v="4"/>
    <s v="OK"/>
  </r>
  <r>
    <s v="TXN10853"/>
    <d v="2025-08-22T00:00:00"/>
    <x v="27"/>
    <x v="3"/>
    <x v="0"/>
    <x v="13"/>
    <n v="5"/>
    <s v="OK"/>
    <n v="1780.21"/>
    <s v="OK"/>
    <n v="1473.23"/>
    <x v="4"/>
    <s v="OK"/>
  </r>
  <r>
    <s v="TXN10354"/>
    <d v="2025-08-22T00:00:00"/>
    <x v="11"/>
    <x v="3"/>
    <x v="3"/>
    <x v="17"/>
    <n v="1"/>
    <s v="OK"/>
    <n v="5955.11"/>
    <s v="OK"/>
    <n v="4116.0200000000004"/>
    <x v="4"/>
    <s v="OK"/>
  </r>
  <r>
    <s v="TXN10466"/>
    <d v="2025-08-22T00:00:00"/>
    <x v="25"/>
    <x v="3"/>
    <x v="4"/>
    <x v="14"/>
    <n v="6"/>
    <s v="OK"/>
    <n v="1659.41"/>
    <s v="OK"/>
    <n v="1288.76"/>
    <x v="4"/>
    <s v="OK"/>
  </r>
  <r>
    <s v="TXN10610"/>
    <d v="2025-08-22T00:00:00"/>
    <x v="0"/>
    <x v="0"/>
    <x v="1"/>
    <x v="27"/>
    <n v="8"/>
    <s v="OK"/>
    <n v="5553.49"/>
    <s v="OK"/>
    <n v="4195.71"/>
    <x v="4"/>
    <s v="OK"/>
  </r>
  <r>
    <s v="TXN10351"/>
    <d v="2025-08-23T00:00:00"/>
    <x v="11"/>
    <x v="3"/>
    <x v="1"/>
    <x v="27"/>
    <n v="6"/>
    <s v="OK"/>
    <n v="15436.82"/>
    <s v="OK"/>
    <n v="12543.55"/>
    <x v="0"/>
    <s v="OK"/>
  </r>
  <r>
    <s v="TXN10686"/>
    <d v="2025-08-23T00:00:00"/>
    <x v="11"/>
    <x v="4"/>
    <x v="4"/>
    <x v="6"/>
    <n v="8"/>
    <s v="OK"/>
    <n v="3030.09"/>
    <s v="OK"/>
    <n v="2210.0100000000002"/>
    <x v="1"/>
    <s v="OK"/>
  </r>
  <r>
    <s v="TXN10147"/>
    <d v="2025-08-23T00:00:00"/>
    <x v="24"/>
    <x v="3"/>
    <x v="2"/>
    <x v="12"/>
    <n v="1"/>
    <s v="OK"/>
    <n v="801.45"/>
    <s v="OK"/>
    <n v="567.48"/>
    <x v="0"/>
    <s v="OK"/>
  </r>
  <r>
    <s v="TXN10956"/>
    <d v="2025-08-23T00:00:00"/>
    <x v="12"/>
    <x v="3"/>
    <x v="1"/>
    <x v="28"/>
    <n v="2"/>
    <s v="OK"/>
    <n v="17566.68"/>
    <s v="OK"/>
    <n v="14192.92"/>
    <x v="2"/>
    <s v="OK"/>
  </r>
  <r>
    <s v="TXN10036"/>
    <d v="2025-08-23T00:00:00"/>
    <x v="9"/>
    <x v="0"/>
    <x v="1"/>
    <x v="22"/>
    <n v="2"/>
    <s v="OK"/>
    <n v="2152.7600000000002"/>
    <s v="OK"/>
    <n v="1335.45"/>
    <x v="3"/>
    <s v="OK"/>
  </r>
  <r>
    <s v="TXN10768"/>
    <d v="2025-08-24T00:00:00"/>
    <x v="1"/>
    <x v="4"/>
    <x v="4"/>
    <x v="6"/>
    <n v="5"/>
    <s v="OK"/>
    <n v="2355.33"/>
    <s v="OK"/>
    <n v="1432.71"/>
    <x v="1"/>
    <s v="OK"/>
  </r>
  <r>
    <s v="TXN10246"/>
    <d v="2025-08-24T00:00:00"/>
    <x v="21"/>
    <x v="2"/>
    <x v="4"/>
    <x v="26"/>
    <n v="6"/>
    <s v="OK"/>
    <n v="2025.39"/>
    <s v="OK"/>
    <n v="1565.7"/>
    <x v="3"/>
    <s v="OK"/>
  </r>
  <r>
    <s v="TXN11182"/>
    <d v="2025-08-24T00:00:00"/>
    <x v="16"/>
    <x v="0"/>
    <x v="1"/>
    <x v="9"/>
    <n v="6"/>
    <s v="OK"/>
    <n v="6001.8"/>
    <s v="OK"/>
    <n v="3513.24"/>
    <x v="3"/>
    <s v="OK"/>
  </r>
  <r>
    <s v="TXN10754"/>
    <d v="2025-08-25T00:00:00"/>
    <x v="18"/>
    <x v="3"/>
    <x v="2"/>
    <x v="4"/>
    <n v="4"/>
    <s v="OK"/>
    <n v="5246.47"/>
    <s v="OK"/>
    <n v="3904.84"/>
    <x v="4"/>
    <s v="OK"/>
  </r>
  <r>
    <s v="TXN10396"/>
    <d v="2025-08-25T00:00:00"/>
    <x v="25"/>
    <x v="0"/>
    <x v="1"/>
    <x v="22"/>
    <n v="1"/>
    <s v="OK"/>
    <n v="3772.62"/>
    <s v="OK"/>
    <n v="2789.41"/>
    <x v="0"/>
    <s v="OK"/>
  </r>
  <r>
    <s v="TXN11077"/>
    <d v="2025-08-25T00:00:00"/>
    <x v="5"/>
    <x v="3"/>
    <x v="0"/>
    <x v="2"/>
    <n v="2"/>
    <s v="OK"/>
    <n v="389.86"/>
    <s v="OK"/>
    <n v="298.95"/>
    <x v="0"/>
    <s v="OK"/>
  </r>
  <r>
    <s v="TXN10123"/>
    <d v="2025-08-25T00:00:00"/>
    <x v="27"/>
    <x v="4"/>
    <x v="3"/>
    <x v="25"/>
    <n v="5"/>
    <s v="OK"/>
    <n v="3027.64"/>
    <s v="OK"/>
    <n v="2331.46"/>
    <x v="0"/>
    <s v="OK"/>
  </r>
  <r>
    <s v="TXN10679"/>
    <d v="2025-08-26T00:00:00"/>
    <x v="10"/>
    <x v="3"/>
    <x v="2"/>
    <x v="16"/>
    <n v="8"/>
    <s v="OK"/>
    <n v="996.91"/>
    <s v="OK"/>
    <n v="713.01"/>
    <x v="4"/>
    <s v="OK"/>
  </r>
  <r>
    <s v="TXN10996"/>
    <d v="2025-08-26T00:00:00"/>
    <x v="15"/>
    <x v="0"/>
    <x v="1"/>
    <x v="1"/>
    <n v="7"/>
    <s v="OK"/>
    <n v="2019.34"/>
    <s v="OK"/>
    <n v="1129.9000000000001"/>
    <x v="4"/>
    <s v="OK"/>
  </r>
  <r>
    <s v="TXN10228"/>
    <d v="2025-08-26T00:00:00"/>
    <x v="29"/>
    <x v="2"/>
    <x v="0"/>
    <x v="2"/>
    <n v="4"/>
    <s v="OK"/>
    <m/>
    <s v="Missing Sales"/>
    <n v="586.91999999999996"/>
    <x v="3"/>
    <s v="Missing Data"/>
  </r>
  <r>
    <s v="TXN10717"/>
    <d v="2025-08-27T00:00:00"/>
    <x v="14"/>
    <x v="3"/>
    <x v="2"/>
    <x v="15"/>
    <n v="3"/>
    <s v="OK"/>
    <n v="1013.25"/>
    <s v="OK"/>
    <n v="825.57"/>
    <x v="0"/>
    <s v="OK"/>
  </r>
  <r>
    <s v="TXN10289"/>
    <d v="2025-08-27T00:00:00"/>
    <x v="18"/>
    <x v="0"/>
    <x v="2"/>
    <x v="4"/>
    <n v="2"/>
    <s v="OK"/>
    <n v="5698.59"/>
    <s v="OK"/>
    <n v="4492.75"/>
    <x v="3"/>
    <s v="OK"/>
  </r>
  <r>
    <s v="TXN10624"/>
    <d v="2025-08-28T00:00:00"/>
    <x v="29"/>
    <x v="4"/>
    <x v="4"/>
    <x v="14"/>
    <n v="5"/>
    <s v="OK"/>
    <n v="3069.9"/>
    <s v="OK"/>
    <n v="2294.9499999999998"/>
    <x v="2"/>
    <s v="OK"/>
  </r>
  <r>
    <s v="TXN10631"/>
    <d v="2025-08-28T00:00:00"/>
    <x v="11"/>
    <x v="5"/>
    <x v="0"/>
    <x v="10"/>
    <n v="1"/>
    <s v="OK"/>
    <n v="1030.1300000000001"/>
    <s v="OK"/>
    <n v="819.31"/>
    <x v="0"/>
    <s v="OK"/>
  </r>
  <r>
    <s v="TXN10458"/>
    <d v="2025-08-29T00:00:00"/>
    <x v="3"/>
    <x v="0"/>
    <x v="0"/>
    <x v="10"/>
    <n v="1"/>
    <s v="OK"/>
    <n v="2192.6999999999998"/>
    <s v="OK"/>
    <n v="1628.25"/>
    <x v="2"/>
    <s v="OK"/>
  </r>
  <r>
    <s v="TXN10072"/>
    <d v="2025-08-29T00:00:00"/>
    <x v="18"/>
    <x v="2"/>
    <x v="4"/>
    <x v="6"/>
    <n v="1"/>
    <s v="OK"/>
    <n v="2684.33"/>
    <s v="OK"/>
    <n v="1522.52"/>
    <x v="3"/>
    <s v="OK"/>
  </r>
  <r>
    <s v="TXN10188"/>
    <d v="2025-08-29T00:00:00"/>
    <x v="4"/>
    <x v="4"/>
    <x v="3"/>
    <x v="19"/>
    <n v="4"/>
    <s v="OK"/>
    <n v="2523.13"/>
    <s v="OK"/>
    <n v="2176.33"/>
    <x v="0"/>
    <s v="OK"/>
  </r>
  <r>
    <s v="TXN10808"/>
    <d v="2025-08-29T00:00:00"/>
    <x v="27"/>
    <x v="4"/>
    <x v="2"/>
    <x v="15"/>
    <n v="5"/>
    <s v="OK"/>
    <n v="3383.06"/>
    <s v="OK"/>
    <n v="2271.6799999999998"/>
    <x v="1"/>
    <s v="OK"/>
  </r>
  <r>
    <s v="TXN10943"/>
    <d v="2025-08-30T00:00:00"/>
    <x v="24"/>
    <x v="3"/>
    <x v="0"/>
    <x v="2"/>
    <n v="1"/>
    <s v="OK"/>
    <n v="2177.5300000000002"/>
    <s v="OK"/>
    <n v="1618.18"/>
    <x v="4"/>
    <s v="OK"/>
  </r>
  <r>
    <s v="TXN10110"/>
    <d v="2025-08-30T00:00:00"/>
    <x v="14"/>
    <x v="0"/>
    <x v="0"/>
    <x v="2"/>
    <n v="4"/>
    <s v="OK"/>
    <n v="1250.6099999999999"/>
    <s v="OK"/>
    <n v="747.53"/>
    <x v="4"/>
    <s v="OK"/>
  </r>
  <r>
    <s v="TXN10692"/>
    <d v="2025-08-30T00:00:00"/>
    <x v="22"/>
    <x v="4"/>
    <x v="1"/>
    <x v="1"/>
    <n v="3"/>
    <s v="OK"/>
    <n v="2986.6"/>
    <s v="OK"/>
    <n v="2489.64"/>
    <x v="3"/>
    <s v="OK"/>
  </r>
  <r>
    <s v="TXN10425"/>
    <d v="2025-08-30T00:00:00"/>
    <x v="13"/>
    <x v="3"/>
    <x v="4"/>
    <x v="23"/>
    <n v="8"/>
    <s v="OK"/>
    <n v="3158.35"/>
    <s v="OK"/>
    <n v="2013.29"/>
    <x v="2"/>
    <s v="OK"/>
  </r>
  <r>
    <s v="TXN10253"/>
    <d v="2025-08-30T00:00:00"/>
    <x v="16"/>
    <x v="3"/>
    <x v="0"/>
    <x v="13"/>
    <n v="2"/>
    <s v="OK"/>
    <n v="1766.74"/>
    <s v="OK"/>
    <n v="1051.8499999999999"/>
    <x v="2"/>
    <s v="OK"/>
  </r>
  <r>
    <s v="TXN10811"/>
    <d v="2025-08-31T00:00:00"/>
    <x v="30"/>
    <x v="2"/>
    <x v="2"/>
    <x v="16"/>
    <n v="6"/>
    <s v="OK"/>
    <n v="3172.86"/>
    <s v="OK"/>
    <n v="2517.4899999999998"/>
    <x v="1"/>
    <s v="OK"/>
  </r>
  <r>
    <s v="TXN11203"/>
    <d v="2025-08-31T00:00:00"/>
    <x v="26"/>
    <x v="4"/>
    <x v="4"/>
    <x v="14"/>
    <n v="4"/>
    <s v="OK"/>
    <n v="1984.06"/>
    <s v="OK"/>
    <n v="1191.8499999999999"/>
    <x v="4"/>
    <s v="OK"/>
  </r>
  <r>
    <s v="TXN11236"/>
    <d v="2025-08-31T00:00:00"/>
    <x v="23"/>
    <x v="3"/>
    <x v="4"/>
    <x v="18"/>
    <n v="3"/>
    <s v="OK"/>
    <n v="3242.94"/>
    <s v="OK"/>
    <n v="1847.37"/>
    <x v="3"/>
    <s v="OK"/>
  </r>
  <r>
    <s v="TXN10074"/>
    <d v="2025-08-31T00:00:00"/>
    <x v="8"/>
    <x v="5"/>
    <x v="3"/>
    <x v="25"/>
    <n v="2"/>
    <s v="OK"/>
    <n v="3601.83"/>
    <s v="OK"/>
    <n v="2240.08"/>
    <x v="3"/>
    <s v="OK"/>
  </r>
  <r>
    <s v="TXN11193"/>
    <d v="2025-08-31T00:00:00"/>
    <x v="14"/>
    <x v="5"/>
    <x v="0"/>
    <x v="7"/>
    <n v="2"/>
    <s v="OK"/>
    <n v="1812.63"/>
    <s v="OK"/>
    <n v="1297.43"/>
    <x v="4"/>
    <s v="OK"/>
  </r>
  <r>
    <s v="TXN11062"/>
    <d v="2025-09-01T00:00:00"/>
    <x v="25"/>
    <x v="4"/>
    <x v="0"/>
    <x v="7"/>
    <n v="2"/>
    <s v="OK"/>
    <n v="956.34"/>
    <s v="OK"/>
    <n v="829.57"/>
    <x v="3"/>
    <s v="OK"/>
  </r>
  <r>
    <s v="TXN10254"/>
    <d v="2025-09-01T00:00:00"/>
    <x v="10"/>
    <x v="5"/>
    <x v="0"/>
    <x v="11"/>
    <n v="8"/>
    <s v="OK"/>
    <n v="1696.24"/>
    <s v="OK"/>
    <n v="1356.06"/>
    <x v="3"/>
    <s v="OK"/>
  </r>
  <r>
    <s v="TXN10438"/>
    <d v="2025-09-01T00:00:00"/>
    <x v="14"/>
    <x v="5"/>
    <x v="1"/>
    <x v="27"/>
    <n v="5"/>
    <s v="OK"/>
    <n v="16239.24"/>
    <s v="OK"/>
    <n v="9040.01"/>
    <x v="3"/>
    <s v="OK"/>
  </r>
  <r>
    <s v="TXN10720"/>
    <d v="2025-09-01T00:00:00"/>
    <x v="9"/>
    <x v="2"/>
    <x v="1"/>
    <x v="22"/>
    <n v="2"/>
    <s v="OK"/>
    <n v="6909.64"/>
    <s v="OK"/>
    <n v="4852.0200000000004"/>
    <x v="4"/>
    <s v="OK"/>
  </r>
  <r>
    <s v="TXN11231"/>
    <d v="2025-09-02T00:00:00"/>
    <x v="5"/>
    <x v="5"/>
    <x v="0"/>
    <x v="2"/>
    <n v="2"/>
    <s v="OK"/>
    <n v="460.28"/>
    <s v="OK"/>
    <n v="318.08"/>
    <x v="3"/>
    <s v="OK"/>
  </r>
  <r>
    <s v="TXN10067"/>
    <d v="2025-09-02T00:00:00"/>
    <x v="14"/>
    <x v="3"/>
    <x v="2"/>
    <x v="4"/>
    <n v="1"/>
    <s v="OK"/>
    <n v="6622.09"/>
    <s v="OK"/>
    <n v="4294.7"/>
    <x v="0"/>
    <s v="OK"/>
  </r>
  <r>
    <s v="TXN10202"/>
    <d v="2025-09-03T00:00:00"/>
    <x v="22"/>
    <x v="3"/>
    <x v="0"/>
    <x v="11"/>
    <n v="3"/>
    <s v="OK"/>
    <n v="2066.44"/>
    <s v="OK"/>
    <n v="1179.57"/>
    <x v="0"/>
    <s v="OK"/>
  </r>
  <r>
    <s v="TXN10503"/>
    <d v="2025-09-03T00:00:00"/>
    <x v="14"/>
    <x v="3"/>
    <x v="4"/>
    <x v="18"/>
    <n v="7"/>
    <s v="OK"/>
    <n v="2441.29"/>
    <s v="OK"/>
    <n v="2062.83"/>
    <x v="2"/>
    <s v="OK"/>
  </r>
  <r>
    <s v="TXN11191"/>
    <d v="2025-09-03T00:00:00"/>
    <x v="8"/>
    <x v="3"/>
    <x v="1"/>
    <x v="28"/>
    <n v="5"/>
    <s v="OK"/>
    <n v="5726.02"/>
    <s v="OK"/>
    <n v="3305.42"/>
    <x v="0"/>
    <s v="OK"/>
  </r>
  <r>
    <s v="TXN10739"/>
    <d v="2025-09-04T00:00:00"/>
    <x v="14"/>
    <x v="0"/>
    <x v="1"/>
    <x v="9"/>
    <n v="2"/>
    <s v="OK"/>
    <n v="3329.7"/>
    <s v="OK"/>
    <n v="2634.88"/>
    <x v="3"/>
    <s v="OK"/>
  </r>
  <r>
    <s v="TXN10650"/>
    <d v="2025-09-04T00:00:00"/>
    <x v="21"/>
    <x v="2"/>
    <x v="3"/>
    <x v="25"/>
    <n v="4"/>
    <s v="OK"/>
    <n v="3183.24"/>
    <s v="OK"/>
    <n v="2435.9499999999998"/>
    <x v="4"/>
    <s v="OK"/>
  </r>
  <r>
    <s v="TXN11103"/>
    <d v="2025-09-04T00:00:00"/>
    <x v="30"/>
    <x v="2"/>
    <x v="2"/>
    <x v="3"/>
    <n v="2"/>
    <s v="OK"/>
    <n v="2599.35"/>
    <s v="OK"/>
    <n v="2042.84"/>
    <x v="4"/>
    <s v="OK"/>
  </r>
  <r>
    <s v="TXN10833"/>
    <d v="2025-09-04T00:00:00"/>
    <x v="25"/>
    <x v="4"/>
    <x v="4"/>
    <x v="18"/>
    <n v="7"/>
    <s v="OK"/>
    <n v="3072.12"/>
    <s v="OK"/>
    <n v="2326.33"/>
    <x v="0"/>
    <s v="OK"/>
  </r>
  <r>
    <s v="TXN11101"/>
    <d v="2025-09-04T00:00:00"/>
    <x v="8"/>
    <x v="3"/>
    <x v="0"/>
    <x v="7"/>
    <n v="1"/>
    <s v="OK"/>
    <n v="1952.44"/>
    <s v="OK"/>
    <n v="1349.22"/>
    <x v="1"/>
    <s v="OK"/>
  </r>
  <r>
    <s v="TXN10941"/>
    <d v="2025-09-04T00:00:00"/>
    <x v="14"/>
    <x v="5"/>
    <x v="1"/>
    <x v="20"/>
    <n v="3"/>
    <s v="OK"/>
    <n v="12010.55"/>
    <s v="OK"/>
    <n v="8333.0400000000009"/>
    <x v="2"/>
    <s v="OK"/>
  </r>
  <r>
    <s v="TXN10190"/>
    <d v="2025-09-04T00:00:00"/>
    <x v="0"/>
    <x v="0"/>
    <x v="1"/>
    <x v="27"/>
    <n v="6"/>
    <s v="OK"/>
    <n v="10382.65"/>
    <s v="OK"/>
    <n v="6061.96"/>
    <x v="2"/>
    <s v="OK"/>
  </r>
  <r>
    <s v="TXN10563"/>
    <d v="2025-09-05T00:00:00"/>
    <x v="29"/>
    <x v="0"/>
    <x v="2"/>
    <x v="3"/>
    <n v="5"/>
    <s v="OK"/>
    <n v="6924.15"/>
    <s v="OK"/>
    <n v="5128.2"/>
    <x v="0"/>
    <s v="OK"/>
  </r>
  <r>
    <s v="TXN10113"/>
    <d v="2025-09-05T00:00:00"/>
    <x v="13"/>
    <x v="5"/>
    <x v="0"/>
    <x v="0"/>
    <n v="6"/>
    <s v="OK"/>
    <n v="964.61"/>
    <s v="OK"/>
    <n v="773.37"/>
    <x v="0"/>
    <s v="OK"/>
  </r>
  <r>
    <s v="TXN11180"/>
    <d v="2025-09-05T00:00:00"/>
    <x v="13"/>
    <x v="3"/>
    <x v="4"/>
    <x v="14"/>
    <n v="5"/>
    <s v="OK"/>
    <n v="1110.44"/>
    <s v="OK"/>
    <n v="611.55999999999995"/>
    <x v="2"/>
    <s v="OK"/>
  </r>
  <r>
    <s v="TXN10660"/>
    <d v="2025-09-06T00:00:00"/>
    <x v="20"/>
    <x v="4"/>
    <x v="1"/>
    <x v="1"/>
    <n v="2"/>
    <s v="OK"/>
    <n v="4087.74"/>
    <s v="OK"/>
    <n v="2923.61"/>
    <x v="0"/>
    <s v="OK"/>
  </r>
  <r>
    <s v="TXN10029"/>
    <d v="2025-09-06T00:00:00"/>
    <x v="25"/>
    <x v="5"/>
    <x v="3"/>
    <x v="17"/>
    <n v="8"/>
    <s v="OK"/>
    <n v="1675.61"/>
    <s v="OK"/>
    <n v="1143.3399999999999"/>
    <x v="1"/>
    <s v="OK"/>
  </r>
  <r>
    <s v="TXN10946"/>
    <d v="2025-09-07T00:00:00"/>
    <x v="3"/>
    <x v="3"/>
    <x v="2"/>
    <x v="8"/>
    <n v="4"/>
    <s v="OK"/>
    <n v="5114.32"/>
    <s v="OK"/>
    <n v="3704.52"/>
    <x v="0"/>
    <s v="OK"/>
  </r>
  <r>
    <s v="TXN10939"/>
    <d v="2025-09-07T00:00:00"/>
    <x v="13"/>
    <x v="3"/>
    <x v="2"/>
    <x v="8"/>
    <n v="5"/>
    <s v="OK"/>
    <n v="4482.1000000000004"/>
    <s v="OK"/>
    <n v="3905.68"/>
    <x v="3"/>
    <s v="OK"/>
  </r>
  <r>
    <s v="TXN10040"/>
    <d v="2025-09-08T00:00:00"/>
    <x v="23"/>
    <x v="3"/>
    <x v="4"/>
    <x v="18"/>
    <n v="5"/>
    <s v="OK"/>
    <n v="3192.34"/>
    <s v="OK"/>
    <n v="2647.13"/>
    <x v="1"/>
    <s v="OK"/>
  </r>
  <r>
    <s v="TXN10103"/>
    <d v="2025-09-09T00:00:00"/>
    <x v="29"/>
    <x v="4"/>
    <x v="0"/>
    <x v="11"/>
    <n v="2"/>
    <s v="OK"/>
    <m/>
    <s v="Missing Sales"/>
    <n v="877.18"/>
    <x v="3"/>
    <s v="Missing Data"/>
  </r>
  <r>
    <s v="TXN10385"/>
    <d v="2025-09-09T00:00:00"/>
    <x v="19"/>
    <x v="4"/>
    <x v="3"/>
    <x v="17"/>
    <n v="1"/>
    <s v="OK"/>
    <n v="5849.08"/>
    <s v="OK"/>
    <n v="3491.8"/>
    <x v="3"/>
    <s v="OK"/>
  </r>
  <r>
    <s v="TXN10090"/>
    <d v="2025-09-09T00:00:00"/>
    <x v="30"/>
    <x v="3"/>
    <x v="3"/>
    <x v="5"/>
    <n v="2"/>
    <s v="OK"/>
    <n v="5299.96"/>
    <s v="OK"/>
    <n v="3919.01"/>
    <x v="0"/>
    <s v="OK"/>
  </r>
  <r>
    <s v="TXN11199"/>
    <d v="2025-09-09T00:00:00"/>
    <x v="15"/>
    <x v="2"/>
    <x v="3"/>
    <x v="19"/>
    <n v="6"/>
    <s v="OK"/>
    <n v="2338.5500000000002"/>
    <s v="OK"/>
    <n v="1372.27"/>
    <x v="1"/>
    <s v="OK"/>
  </r>
  <r>
    <s v="TXN11010"/>
    <d v="2025-09-10T00:00:00"/>
    <x v="28"/>
    <x v="3"/>
    <x v="3"/>
    <x v="25"/>
    <n v="6"/>
    <s v="OK"/>
    <n v="702.38"/>
    <s v="OK"/>
    <n v="500.54"/>
    <x v="2"/>
    <s v="OK"/>
  </r>
  <r>
    <s v="TXN10082"/>
    <d v="2025-09-11T00:00:00"/>
    <x v="12"/>
    <x v="2"/>
    <x v="4"/>
    <x v="6"/>
    <n v="6"/>
    <s v="OK"/>
    <n v="840.98"/>
    <s v="OK"/>
    <n v="521.41"/>
    <x v="3"/>
    <s v="OK"/>
  </r>
  <r>
    <s v="TXN10342"/>
    <d v="2025-09-11T00:00:00"/>
    <x v="30"/>
    <x v="5"/>
    <x v="0"/>
    <x v="0"/>
    <n v="2"/>
    <s v="OK"/>
    <n v="1517.24"/>
    <s v="OK"/>
    <n v="968.61"/>
    <x v="2"/>
    <s v="OK"/>
  </r>
  <r>
    <s v="TXN11050"/>
    <d v="2025-09-12T00:00:00"/>
    <x v="9"/>
    <x v="2"/>
    <x v="0"/>
    <x v="13"/>
    <n v="6"/>
    <s v="OK"/>
    <n v="827.94"/>
    <s v="OK"/>
    <n v="462.12"/>
    <x v="0"/>
    <s v="OK"/>
  </r>
  <r>
    <s v="TXN10473"/>
    <d v="2025-09-12T00:00:00"/>
    <x v="15"/>
    <x v="0"/>
    <x v="1"/>
    <x v="22"/>
    <n v="4"/>
    <s v="OK"/>
    <n v="11313.93"/>
    <s v="OK"/>
    <n v="9127.25"/>
    <x v="2"/>
    <s v="OK"/>
  </r>
  <r>
    <s v="TXN10206"/>
    <d v="2025-09-12T00:00:00"/>
    <x v="7"/>
    <x v="2"/>
    <x v="4"/>
    <x v="26"/>
    <n v="8"/>
    <s v="OK"/>
    <n v="1443.88"/>
    <s v="OK"/>
    <n v="1174.03"/>
    <x v="3"/>
    <s v="OK"/>
  </r>
  <r>
    <s v="TXN10366"/>
    <d v="2025-09-13T00:00:00"/>
    <x v="27"/>
    <x v="2"/>
    <x v="1"/>
    <x v="20"/>
    <n v="2"/>
    <s v="OK"/>
    <n v="9933.7000000000007"/>
    <s v="OK"/>
    <n v="8668.5400000000009"/>
    <x v="3"/>
    <s v="OK"/>
  </r>
  <r>
    <s v="TXN10589"/>
    <d v="2025-09-13T00:00:00"/>
    <x v="27"/>
    <x v="3"/>
    <x v="3"/>
    <x v="17"/>
    <n v="3"/>
    <s v="OK"/>
    <n v="5975.59"/>
    <s v="OK"/>
    <n v="4961.5200000000004"/>
    <x v="2"/>
    <s v="OK"/>
  </r>
  <r>
    <s v="TXN10914"/>
    <d v="2025-09-13T00:00:00"/>
    <x v="15"/>
    <x v="0"/>
    <x v="1"/>
    <x v="20"/>
    <n v="5"/>
    <s v="OK"/>
    <n v="13687.78"/>
    <s v="OK"/>
    <n v="11712.06"/>
    <x v="3"/>
    <s v="OK"/>
  </r>
  <r>
    <s v="TXN10586"/>
    <d v="2025-09-13T00:00:00"/>
    <x v="8"/>
    <x v="0"/>
    <x v="4"/>
    <x v="26"/>
    <n v="7"/>
    <s v="OK"/>
    <n v="934.23"/>
    <s v="OK"/>
    <n v="729.85"/>
    <x v="3"/>
    <s v="OK"/>
  </r>
  <r>
    <s v="TXN11137"/>
    <d v="2025-09-13T00:00:00"/>
    <x v="5"/>
    <x v="5"/>
    <x v="4"/>
    <x v="26"/>
    <n v="8"/>
    <s v="OK"/>
    <n v="729.13"/>
    <s v="OK"/>
    <n v="469.21"/>
    <x v="1"/>
    <s v="OK"/>
  </r>
  <r>
    <s v="TXN11244"/>
    <d v="2025-09-14T00:00:00"/>
    <x v="26"/>
    <x v="3"/>
    <x v="4"/>
    <x v="18"/>
    <n v="5"/>
    <s v="OK"/>
    <n v="2555.4"/>
    <s v="OK"/>
    <n v="1762.74"/>
    <x v="4"/>
    <s v="OK"/>
  </r>
  <r>
    <s v="TXN10539"/>
    <d v="2025-09-14T00:00:00"/>
    <x v="24"/>
    <x v="0"/>
    <x v="3"/>
    <x v="17"/>
    <n v="2"/>
    <s v="OK"/>
    <n v="2682.32"/>
    <s v="OK"/>
    <n v="1919.78"/>
    <x v="4"/>
    <s v="OK"/>
  </r>
  <r>
    <s v="TXN11104"/>
    <d v="2025-09-14T00:00:00"/>
    <x v="0"/>
    <x v="5"/>
    <x v="1"/>
    <x v="22"/>
    <n v="6"/>
    <s v="OK"/>
    <n v="9303.86"/>
    <s v="OK"/>
    <n v="7959.25"/>
    <x v="0"/>
    <s v="OK"/>
  </r>
  <r>
    <s v="TXN10546"/>
    <d v="2025-09-14T00:00:00"/>
    <x v="28"/>
    <x v="2"/>
    <x v="2"/>
    <x v="15"/>
    <n v="3"/>
    <s v="OK"/>
    <n v="3303.33"/>
    <s v="OK"/>
    <n v="2067.54"/>
    <x v="2"/>
    <s v="OK"/>
  </r>
  <r>
    <s v="TXN10647"/>
    <d v="2025-09-15T00:00:00"/>
    <x v="26"/>
    <x v="4"/>
    <x v="3"/>
    <x v="19"/>
    <n v="4"/>
    <s v="OK"/>
    <n v="1342.59"/>
    <s v="OK"/>
    <n v="1036.8800000000001"/>
    <x v="0"/>
    <s v="OK"/>
  </r>
  <r>
    <s v="TXN10934"/>
    <d v="2025-09-15T00:00:00"/>
    <x v="1"/>
    <x v="0"/>
    <x v="2"/>
    <x v="15"/>
    <n v="1"/>
    <s v="OK"/>
    <n v="1151.97"/>
    <s v="OK"/>
    <n v="885.08"/>
    <x v="4"/>
    <s v="OK"/>
  </r>
  <r>
    <s v="TXN11003"/>
    <d v="2025-09-16T00:00:00"/>
    <x v="7"/>
    <x v="2"/>
    <x v="3"/>
    <x v="21"/>
    <n v="6"/>
    <s v="OK"/>
    <n v="5361.62"/>
    <s v="OK"/>
    <n v="4621.63"/>
    <x v="3"/>
    <s v="OK"/>
  </r>
  <r>
    <s v="TXN10468"/>
    <d v="2025-09-16T00:00:00"/>
    <x v="23"/>
    <x v="3"/>
    <x v="1"/>
    <x v="9"/>
    <n v="3"/>
    <s v="OK"/>
    <n v="3006.07"/>
    <s v="OK"/>
    <n v="2358.7600000000002"/>
    <x v="1"/>
    <s v="OK"/>
  </r>
  <r>
    <s v="TXN10978"/>
    <d v="2025-09-16T00:00:00"/>
    <x v="24"/>
    <x v="2"/>
    <x v="3"/>
    <x v="25"/>
    <n v="3"/>
    <s v="OK"/>
    <n v="3166.2"/>
    <s v="OK"/>
    <n v="2219.65"/>
    <x v="2"/>
    <s v="OK"/>
  </r>
  <r>
    <s v="TXN10176"/>
    <d v="2025-09-17T00:00:00"/>
    <x v="6"/>
    <x v="3"/>
    <x v="2"/>
    <x v="3"/>
    <n v="7"/>
    <s v="OK"/>
    <n v="-626.35"/>
    <s v="Negative Sales"/>
    <n v="2531.4499999999998"/>
    <x v="1"/>
    <s v="Sales &lt; Cost"/>
  </r>
  <r>
    <s v="TXN10957"/>
    <d v="2025-09-17T00:00:00"/>
    <x v="28"/>
    <x v="3"/>
    <x v="2"/>
    <x v="15"/>
    <n v="2"/>
    <s v="OK"/>
    <n v="1502.51"/>
    <s v="OK"/>
    <n v="884.92"/>
    <x v="4"/>
    <s v="OK"/>
  </r>
  <r>
    <s v="TXN10784"/>
    <d v="2025-09-17T00:00:00"/>
    <x v="15"/>
    <x v="4"/>
    <x v="4"/>
    <x v="18"/>
    <n v="4"/>
    <s v="OK"/>
    <n v="1758.7"/>
    <s v="OK"/>
    <n v="1330.87"/>
    <x v="5"/>
    <s v="OK"/>
  </r>
  <r>
    <s v="TXN11175"/>
    <d v="2025-09-18T00:00:00"/>
    <x v="28"/>
    <x v="3"/>
    <x v="0"/>
    <x v="11"/>
    <n v="3"/>
    <s v="OK"/>
    <n v="1303.21"/>
    <s v="OK"/>
    <n v="938.25"/>
    <x v="2"/>
    <s v="OK"/>
  </r>
  <r>
    <s v="TXN10049"/>
    <d v="2025-09-18T00:00:00"/>
    <x v="17"/>
    <x v="0"/>
    <x v="4"/>
    <x v="29"/>
    <n v="7"/>
    <s v="OK"/>
    <n v="2458.4299999999998"/>
    <s v="OK"/>
    <n v="2036.58"/>
    <x v="3"/>
    <s v="OK"/>
  </r>
  <r>
    <s v="TXN10013"/>
    <d v="2025-09-18T00:00:00"/>
    <x v="20"/>
    <x v="0"/>
    <x v="3"/>
    <x v="25"/>
    <n v="8"/>
    <s v="OK"/>
    <n v="1000"/>
    <s v="OK"/>
    <n v="565.54999999999995"/>
    <x v="1"/>
    <s v="OK"/>
  </r>
  <r>
    <s v="TXN10498"/>
    <d v="2025-09-18T00:00:00"/>
    <x v="26"/>
    <x v="2"/>
    <x v="2"/>
    <x v="4"/>
    <n v="3"/>
    <s v="OK"/>
    <n v="4966"/>
    <s v="OK"/>
    <n v="3015.87"/>
    <x v="4"/>
    <s v="OK"/>
  </r>
  <r>
    <s v="TXN10051"/>
    <d v="2025-09-19T00:00:00"/>
    <x v="24"/>
    <x v="0"/>
    <x v="0"/>
    <x v="0"/>
    <n v="2"/>
    <s v="OK"/>
    <n v="1085.95"/>
    <s v="OK"/>
    <n v="803.9"/>
    <x v="3"/>
    <s v="OK"/>
  </r>
  <r>
    <s v="TXN10730"/>
    <d v="2025-09-19T00:00:00"/>
    <x v="25"/>
    <x v="4"/>
    <x v="1"/>
    <x v="9"/>
    <n v="7"/>
    <s v="OK"/>
    <n v="15394.59"/>
    <s v="OK"/>
    <n v="12797.93"/>
    <x v="1"/>
    <s v="OK"/>
  </r>
  <r>
    <s v="TXN11192"/>
    <d v="2025-09-19T00:00:00"/>
    <x v="4"/>
    <x v="4"/>
    <x v="3"/>
    <x v="5"/>
    <n v="3"/>
    <s v="OK"/>
    <n v="1872.07"/>
    <s v="OK"/>
    <n v="1503.31"/>
    <x v="3"/>
    <s v="OK"/>
  </r>
  <r>
    <s v="TXN10569"/>
    <d v="2025-09-19T00:00:00"/>
    <x v="30"/>
    <x v="5"/>
    <x v="1"/>
    <x v="9"/>
    <n v="4"/>
    <s v="OK"/>
    <n v="11419.75"/>
    <s v="OK"/>
    <n v="8820.94"/>
    <x v="3"/>
    <s v="OK"/>
  </r>
  <r>
    <s v="TXN11159"/>
    <d v="2025-09-19T00:00:00"/>
    <x v="21"/>
    <x v="0"/>
    <x v="2"/>
    <x v="3"/>
    <n v="4"/>
    <s v="OK"/>
    <n v="4940.34"/>
    <s v="OK"/>
    <n v="3797.46"/>
    <x v="1"/>
    <s v="OK"/>
  </r>
  <r>
    <s v="TXN11001"/>
    <d v="2025-09-19T00:00:00"/>
    <x v="1"/>
    <x v="3"/>
    <x v="3"/>
    <x v="21"/>
    <n v="5"/>
    <s v="OK"/>
    <n v="750.17"/>
    <s v="OK"/>
    <n v="595.58000000000004"/>
    <x v="2"/>
    <s v="OK"/>
  </r>
  <r>
    <s v="TXN10450"/>
    <d v="2025-09-19T00:00:00"/>
    <x v="20"/>
    <x v="4"/>
    <x v="1"/>
    <x v="22"/>
    <n v="6"/>
    <s v="OK"/>
    <m/>
    <s v="Missing Sales"/>
    <n v="7833.11"/>
    <x v="3"/>
    <s v="Missing Data"/>
  </r>
  <r>
    <s v="TXN10210"/>
    <d v="2025-09-20T00:00:00"/>
    <x v="19"/>
    <x v="3"/>
    <x v="0"/>
    <x v="13"/>
    <n v="3"/>
    <s v="OK"/>
    <n v="2391.42"/>
    <s v="OK"/>
    <n v="1427.96"/>
    <x v="2"/>
    <s v="OK"/>
  </r>
  <r>
    <s v="TXN10269"/>
    <d v="2025-09-20T00:00:00"/>
    <x v="9"/>
    <x v="3"/>
    <x v="0"/>
    <x v="7"/>
    <n v="7"/>
    <s v="OK"/>
    <n v="1250.6400000000001"/>
    <s v="OK"/>
    <n v="711.68"/>
    <x v="0"/>
    <s v="OK"/>
  </r>
  <r>
    <s v="TXN11084"/>
    <d v="2025-09-20T00:00:00"/>
    <x v="24"/>
    <x v="5"/>
    <x v="1"/>
    <x v="28"/>
    <n v="2"/>
    <s v="OK"/>
    <n v="14847.18"/>
    <s v="OK"/>
    <n v="9746.94"/>
    <x v="4"/>
    <s v="OK"/>
  </r>
  <r>
    <s v="TXN11181"/>
    <d v="2025-09-21T00:00:00"/>
    <x v="20"/>
    <x v="5"/>
    <x v="4"/>
    <x v="29"/>
    <n v="1"/>
    <s v="OK"/>
    <n v="3290.1"/>
    <s v="OK"/>
    <n v="2778.57"/>
    <x v="0"/>
    <s v="OK"/>
  </r>
  <r>
    <s v="TXN10709"/>
    <d v="2025-09-22T00:00:00"/>
    <x v="30"/>
    <x v="0"/>
    <x v="3"/>
    <x v="24"/>
    <n v="3"/>
    <s v="OK"/>
    <n v="1628.53"/>
    <s v="OK"/>
    <n v="915.34"/>
    <x v="0"/>
    <s v="OK"/>
  </r>
  <r>
    <s v="TXN10545"/>
    <d v="2025-09-22T00:00:00"/>
    <x v="21"/>
    <x v="0"/>
    <x v="0"/>
    <x v="7"/>
    <n v="7"/>
    <s v="OK"/>
    <n v="1011.67"/>
    <s v="OK"/>
    <n v="846.11"/>
    <x v="0"/>
    <s v="OK"/>
  </r>
  <r>
    <s v="TXN10915"/>
    <d v="2025-09-22T00:00:00"/>
    <x v="7"/>
    <x v="0"/>
    <x v="2"/>
    <x v="12"/>
    <n v="6"/>
    <s v="OK"/>
    <n v="3276.12"/>
    <s v="OK"/>
    <n v="1980.23"/>
    <x v="0"/>
    <s v="OK"/>
  </r>
  <r>
    <s v="TXN11065"/>
    <d v="2025-09-23T00:00:00"/>
    <x v="25"/>
    <x v="2"/>
    <x v="1"/>
    <x v="1"/>
    <n v="1"/>
    <s v="OK"/>
    <n v="3838.22"/>
    <s v="OK"/>
    <n v="3199.94"/>
    <x v="0"/>
    <s v="OK"/>
  </r>
  <r>
    <s v="TXN10214"/>
    <d v="2025-09-23T00:00:00"/>
    <x v="11"/>
    <x v="3"/>
    <x v="3"/>
    <x v="17"/>
    <n v="7"/>
    <s v="OK"/>
    <n v="5524.48"/>
    <s v="OK"/>
    <n v="3253.15"/>
    <x v="3"/>
    <s v="OK"/>
  </r>
  <r>
    <s v="TXN10052"/>
    <d v="2025-09-24T00:00:00"/>
    <x v="16"/>
    <x v="3"/>
    <x v="0"/>
    <x v="10"/>
    <n v="4"/>
    <s v="OK"/>
    <n v="1037.71"/>
    <s v="OK"/>
    <n v="594.70000000000005"/>
    <x v="3"/>
    <s v="OK"/>
  </r>
  <r>
    <s v="TXN10711"/>
    <d v="2025-09-24T00:00:00"/>
    <x v="5"/>
    <x v="2"/>
    <x v="1"/>
    <x v="22"/>
    <n v="5"/>
    <s v="OK"/>
    <n v="1284.4100000000001"/>
    <s v="OK"/>
    <n v="1027.92"/>
    <x v="4"/>
    <s v="OK"/>
  </r>
  <r>
    <s v="TXN10280"/>
    <d v="2025-09-24T00:00:00"/>
    <x v="4"/>
    <x v="0"/>
    <x v="3"/>
    <x v="5"/>
    <n v="4"/>
    <s v="OK"/>
    <n v="2774.58"/>
    <s v="OK"/>
    <n v="1777.95"/>
    <x v="2"/>
    <s v="OK"/>
  </r>
  <r>
    <s v="TXN11013"/>
    <d v="2025-09-25T00:00:00"/>
    <x v="0"/>
    <x v="0"/>
    <x v="2"/>
    <x v="16"/>
    <n v="5"/>
    <s v="OK"/>
    <n v="1666.22"/>
    <s v="OK"/>
    <n v="1289.21"/>
    <x v="2"/>
    <s v="OK"/>
  </r>
  <r>
    <s v="TXN10434"/>
    <d v="2025-09-25T00:00:00"/>
    <x v="28"/>
    <x v="3"/>
    <x v="2"/>
    <x v="3"/>
    <n v="7"/>
    <s v="OK"/>
    <n v="1142.6199999999999"/>
    <s v="OK"/>
    <n v="684.87"/>
    <x v="2"/>
    <s v="OK"/>
  </r>
  <r>
    <s v="TXN10605"/>
    <d v="2025-09-25T00:00:00"/>
    <x v="0"/>
    <x v="0"/>
    <x v="1"/>
    <x v="22"/>
    <n v="3"/>
    <s v="OK"/>
    <n v="6780.43"/>
    <s v="OK"/>
    <n v="4779.09"/>
    <x v="1"/>
    <s v="OK"/>
  </r>
  <r>
    <s v="TXN10905"/>
    <d v="2025-09-27T00:00:00"/>
    <x v="29"/>
    <x v="4"/>
    <x v="1"/>
    <x v="22"/>
    <n v="7"/>
    <s v="OK"/>
    <n v="14124.44"/>
    <s v="OK"/>
    <n v="12095.24"/>
    <x v="0"/>
    <s v="OK"/>
  </r>
  <r>
    <s v="TXN11167"/>
    <d v="2025-09-27T00:00:00"/>
    <x v="20"/>
    <x v="3"/>
    <x v="1"/>
    <x v="20"/>
    <n v="5"/>
    <s v="OK"/>
    <n v="10968.94"/>
    <s v="OK"/>
    <n v="8953.32"/>
    <x v="1"/>
    <s v="OK"/>
  </r>
  <r>
    <s v="TXN10601"/>
    <d v="2025-09-27T00:00:00"/>
    <x v="9"/>
    <x v="3"/>
    <x v="3"/>
    <x v="25"/>
    <n v="3"/>
    <s v="OK"/>
    <n v="657.14"/>
    <s v="OK"/>
    <n v="505.32"/>
    <x v="3"/>
    <s v="OK"/>
  </r>
  <r>
    <s v="TXN10163"/>
    <d v="2025-09-27T00:00:00"/>
    <x v="15"/>
    <x v="0"/>
    <x v="2"/>
    <x v="4"/>
    <n v="5"/>
    <s v="OK"/>
    <n v="699.75"/>
    <s v="OK"/>
    <n v="476.14"/>
    <x v="2"/>
    <s v="OK"/>
  </r>
  <r>
    <s v="TXN10185"/>
    <d v="2025-09-27T00:00:00"/>
    <x v="13"/>
    <x v="3"/>
    <x v="2"/>
    <x v="3"/>
    <n v="1"/>
    <s v="OK"/>
    <n v="4768.7299999999996"/>
    <s v="OK"/>
    <n v="4001.96"/>
    <x v="2"/>
    <s v="OK"/>
  </r>
  <r>
    <s v="TXN11142"/>
    <d v="2025-09-28T00:00:00"/>
    <x v="1"/>
    <x v="2"/>
    <x v="0"/>
    <x v="10"/>
    <n v="5"/>
    <s v="OK"/>
    <n v="849.44"/>
    <s v="OK"/>
    <n v="725.94"/>
    <x v="2"/>
    <s v="OK"/>
  </r>
  <r>
    <s v="TXN10189"/>
    <d v="2025-09-28T00:00:00"/>
    <x v="9"/>
    <x v="0"/>
    <x v="0"/>
    <x v="0"/>
    <n v="7"/>
    <s v="OK"/>
    <n v="2422.42"/>
    <s v="OK"/>
    <n v="1985.35"/>
    <x v="2"/>
    <s v="OK"/>
  </r>
  <r>
    <s v="TXN10464"/>
    <d v="2025-09-29T00:00:00"/>
    <x v="24"/>
    <x v="0"/>
    <x v="1"/>
    <x v="1"/>
    <n v="4"/>
    <s v="OK"/>
    <n v="1206.3699999999999"/>
    <s v="OK"/>
    <n v="665.15"/>
    <x v="4"/>
    <s v="OK"/>
  </r>
  <r>
    <s v="TXN10018"/>
    <d v="2025-09-29T00:00:00"/>
    <x v="0"/>
    <x v="0"/>
    <x v="3"/>
    <x v="21"/>
    <n v="1"/>
    <s v="OK"/>
    <n v="3794.2"/>
    <s v="OK"/>
    <n v="2698.59"/>
    <x v="1"/>
    <s v="OK"/>
  </r>
  <r>
    <s v="TXN10402"/>
    <d v="2025-09-29T00:00:00"/>
    <x v="11"/>
    <x v="0"/>
    <x v="1"/>
    <x v="28"/>
    <n v="6"/>
    <s v="OK"/>
    <n v="14013"/>
    <s v="OK"/>
    <n v="12329.62"/>
    <x v="4"/>
    <s v="OK"/>
  </r>
  <r>
    <s v="TXN10797"/>
    <d v="2025-09-29T00:00:00"/>
    <x v="24"/>
    <x v="4"/>
    <x v="1"/>
    <x v="28"/>
    <n v="7"/>
    <s v="OK"/>
    <n v="9095.51"/>
    <s v="OK"/>
    <n v="7397.79"/>
    <x v="1"/>
    <s v="OK"/>
  </r>
  <r>
    <s v="TXN11080"/>
    <d v="2025-09-30T00:00:00"/>
    <x v="29"/>
    <x v="5"/>
    <x v="1"/>
    <x v="27"/>
    <n v="4"/>
    <s v="OK"/>
    <n v="8459.19"/>
    <s v="OK"/>
    <n v="4785.87"/>
    <x v="2"/>
    <s v="OK"/>
  </r>
  <r>
    <s v="TXN10722"/>
    <d v="2025-09-30T00:00:00"/>
    <x v="5"/>
    <x v="4"/>
    <x v="1"/>
    <x v="1"/>
    <n v="8"/>
    <s v="OK"/>
    <n v="7753.96"/>
    <s v="OK"/>
    <n v="5322.6"/>
    <x v="2"/>
    <s v="OK"/>
  </r>
  <r>
    <s v="TXN10078"/>
    <d v="2025-09-30T00:00:00"/>
    <x v="28"/>
    <x v="4"/>
    <x v="1"/>
    <x v="1"/>
    <n v="7"/>
    <s v="OK"/>
    <n v="12212.01"/>
    <s v="OK"/>
    <n v="6994.5"/>
    <x v="3"/>
    <s v="OK"/>
  </r>
  <r>
    <s v="TXN10989"/>
    <d v="2025-09-30T00:00:00"/>
    <x v="21"/>
    <x v="3"/>
    <x v="1"/>
    <x v="27"/>
    <n v="3"/>
    <s v="OK"/>
    <n v="17356.64"/>
    <s v="OK"/>
    <n v="11121.05"/>
    <x v="4"/>
    <s v="OK"/>
  </r>
  <r>
    <s v="TXN10728"/>
    <d v="2025-09-30T00:00:00"/>
    <x v="17"/>
    <x v="5"/>
    <x v="3"/>
    <x v="17"/>
    <n v="5"/>
    <s v="OK"/>
    <n v="2644.9"/>
    <s v="OK"/>
    <n v="1959.12"/>
    <x v="4"/>
    <s v="OK"/>
  </r>
  <r>
    <s v="TXN10275"/>
    <d v="2025-09-30T00:00:00"/>
    <x v="12"/>
    <x v="3"/>
    <x v="2"/>
    <x v="4"/>
    <n v="7"/>
    <s v="OK"/>
    <n v="5834.18"/>
    <s v="OK"/>
    <n v="3685.33"/>
    <x v="3"/>
    <s v="OK"/>
  </r>
  <r>
    <s v="TXN10240"/>
    <d v="2025-09-30T00:00:00"/>
    <x v="3"/>
    <x v="0"/>
    <x v="2"/>
    <x v="3"/>
    <n v="8"/>
    <s v="OK"/>
    <n v="5077.68"/>
    <s v="OK"/>
    <n v="3295.06"/>
    <x v="1"/>
    <s v="OK"/>
  </r>
  <r>
    <s v="TXN10838"/>
    <d v="2025-10-01T00:00:00"/>
    <x v="18"/>
    <x v="3"/>
    <x v="4"/>
    <x v="6"/>
    <n v="6"/>
    <s v="OK"/>
    <n v="2925.77"/>
    <s v="OK"/>
    <n v="1621.63"/>
    <x v="2"/>
    <s v="OK"/>
  </r>
  <r>
    <s v="TXN10519"/>
    <d v="2025-10-01T00:00:00"/>
    <x v="25"/>
    <x v="3"/>
    <x v="3"/>
    <x v="21"/>
    <n v="1"/>
    <s v="OK"/>
    <n v="3948.13"/>
    <s v="OK"/>
    <n v="2446.1"/>
    <x v="4"/>
    <s v="OK"/>
  </r>
  <r>
    <s v="TXN10611"/>
    <d v="2025-10-01T00:00:00"/>
    <x v="5"/>
    <x v="3"/>
    <x v="3"/>
    <x v="24"/>
    <n v="1"/>
    <s v="OK"/>
    <n v="1522.66"/>
    <s v="OK"/>
    <n v="888.85"/>
    <x v="3"/>
    <s v="OK"/>
  </r>
  <r>
    <s v="TXN10403"/>
    <d v="2025-10-01T00:00:00"/>
    <x v="15"/>
    <x v="5"/>
    <x v="3"/>
    <x v="19"/>
    <n v="1"/>
    <s v="OK"/>
    <n v="4702.2700000000004"/>
    <s v="OK"/>
    <n v="4057"/>
    <x v="2"/>
    <s v="OK"/>
  </r>
  <r>
    <s v="TXN11066"/>
    <d v="2025-10-02T00:00:00"/>
    <x v="20"/>
    <x v="5"/>
    <x v="1"/>
    <x v="20"/>
    <n v="7"/>
    <s v="OK"/>
    <n v="9078.09"/>
    <s v="OK"/>
    <n v="5198.95"/>
    <x v="4"/>
    <s v="OK"/>
  </r>
  <r>
    <s v="TXN10324"/>
    <d v="2025-10-02T00:00:00"/>
    <x v="26"/>
    <x v="3"/>
    <x v="4"/>
    <x v="29"/>
    <n v="2"/>
    <s v="OK"/>
    <n v="605.45000000000005"/>
    <s v="OK"/>
    <n v="382.59"/>
    <x v="3"/>
    <s v="OK"/>
  </r>
  <r>
    <s v="TXN10621"/>
    <d v="2025-10-02T00:00:00"/>
    <x v="16"/>
    <x v="0"/>
    <x v="3"/>
    <x v="5"/>
    <n v="2"/>
    <s v="OK"/>
    <n v="1192.05"/>
    <s v="OK"/>
    <n v="747.16"/>
    <x v="2"/>
    <s v="OK"/>
  </r>
  <r>
    <s v="TXN11154"/>
    <d v="2025-10-03T00:00:00"/>
    <x v="27"/>
    <x v="3"/>
    <x v="2"/>
    <x v="3"/>
    <n v="2"/>
    <s v="OK"/>
    <n v="5373.15"/>
    <s v="OK"/>
    <n v="3323.09"/>
    <x v="1"/>
    <s v="OK"/>
  </r>
  <r>
    <s v="TXN11234"/>
    <d v="2025-10-03T00:00:00"/>
    <x v="20"/>
    <x v="2"/>
    <x v="2"/>
    <x v="4"/>
    <n v="8"/>
    <s v="OK"/>
    <n v="3914.33"/>
    <s v="OK"/>
    <n v="3213.91"/>
    <x v="0"/>
    <s v="OK"/>
  </r>
  <r>
    <s v="TXN11006"/>
    <d v="2025-10-03T00:00:00"/>
    <x v="2"/>
    <x v="4"/>
    <x v="0"/>
    <x v="2"/>
    <n v="2"/>
    <s v="OK"/>
    <n v="2010.8"/>
    <s v="OK"/>
    <n v="1536.66"/>
    <x v="1"/>
    <s v="OK"/>
  </r>
  <r>
    <s v="TXN11073"/>
    <d v="2025-10-03T00:00:00"/>
    <x v="4"/>
    <x v="5"/>
    <x v="4"/>
    <x v="29"/>
    <n v="5"/>
    <s v="OK"/>
    <n v="2416.64"/>
    <s v="OK"/>
    <n v="1382.38"/>
    <x v="4"/>
    <s v="OK"/>
  </r>
  <r>
    <s v="TXN10251"/>
    <d v="2025-10-03T00:00:00"/>
    <x v="24"/>
    <x v="2"/>
    <x v="3"/>
    <x v="25"/>
    <n v="5"/>
    <s v="OK"/>
    <n v="5631.63"/>
    <s v="OK"/>
    <n v="4391.1899999999996"/>
    <x v="4"/>
    <s v="OK"/>
  </r>
  <r>
    <s v="TXN10627"/>
    <d v="2025-10-03T00:00:00"/>
    <x v="4"/>
    <x v="0"/>
    <x v="1"/>
    <x v="27"/>
    <n v="7"/>
    <s v="OK"/>
    <n v="4146.7700000000004"/>
    <s v="OK"/>
    <n v="3215.67"/>
    <x v="2"/>
    <s v="OK"/>
  </r>
  <r>
    <s v="TXN10986"/>
    <d v="2025-10-04T00:00:00"/>
    <x v="20"/>
    <x v="5"/>
    <x v="0"/>
    <x v="13"/>
    <n v="1"/>
    <s v="OK"/>
    <n v="2403.58"/>
    <s v="OK"/>
    <n v="2027.93"/>
    <x v="3"/>
    <s v="OK"/>
  </r>
  <r>
    <s v="TXN10771"/>
    <d v="2025-10-04T00:00:00"/>
    <x v="4"/>
    <x v="2"/>
    <x v="0"/>
    <x v="10"/>
    <n v="5"/>
    <s v="OK"/>
    <n v="1349.27"/>
    <s v="OK"/>
    <n v="1171.75"/>
    <x v="0"/>
    <s v="OK"/>
  </r>
  <r>
    <s v="TXN10100"/>
    <d v="2025-10-04T00:00:00"/>
    <x v="14"/>
    <x v="2"/>
    <x v="4"/>
    <x v="18"/>
    <n v="8"/>
    <s v="OK"/>
    <n v="1672.72"/>
    <s v="OK"/>
    <n v="1250.1099999999999"/>
    <x v="0"/>
    <s v="OK"/>
  </r>
  <r>
    <s v="TXN10878"/>
    <d v="2025-10-04T00:00:00"/>
    <x v="21"/>
    <x v="0"/>
    <x v="0"/>
    <x v="11"/>
    <n v="6"/>
    <s v="OK"/>
    <n v="660.18"/>
    <s v="OK"/>
    <n v="450.74"/>
    <x v="2"/>
    <s v="OK"/>
  </r>
  <r>
    <s v="TXN10583"/>
    <d v="2025-10-04T00:00:00"/>
    <x v="16"/>
    <x v="4"/>
    <x v="0"/>
    <x v="2"/>
    <n v="1"/>
    <s v="OK"/>
    <n v="1355.69"/>
    <s v="OK"/>
    <n v="921.77"/>
    <x v="4"/>
    <s v="OK"/>
  </r>
  <r>
    <s v="TXN10517"/>
    <d v="2025-10-04T00:00:00"/>
    <x v="20"/>
    <x v="3"/>
    <x v="0"/>
    <x v="13"/>
    <n v="5"/>
    <s v="OK"/>
    <n v="256.82"/>
    <s v="OK"/>
    <n v="185.06"/>
    <x v="3"/>
    <s v="OK"/>
  </r>
  <r>
    <s v="TXN10665"/>
    <d v="2025-10-05T00:00:00"/>
    <x v="30"/>
    <x v="4"/>
    <x v="4"/>
    <x v="23"/>
    <n v="3"/>
    <s v="OK"/>
    <n v="921.96"/>
    <s v="OK"/>
    <n v="549.24"/>
    <x v="2"/>
    <s v="OK"/>
  </r>
  <r>
    <s v="TXN10231"/>
    <d v="2025-10-06T00:00:00"/>
    <x v="4"/>
    <x v="5"/>
    <x v="4"/>
    <x v="18"/>
    <n v="4"/>
    <s v="OK"/>
    <n v="2730.14"/>
    <s v="OK"/>
    <n v="1950.49"/>
    <x v="2"/>
    <s v="OK"/>
  </r>
  <r>
    <s v="TXN10559"/>
    <d v="2025-10-06T00:00:00"/>
    <x v="10"/>
    <x v="3"/>
    <x v="4"/>
    <x v="18"/>
    <n v="7"/>
    <s v="OK"/>
    <n v="1087.8699999999999"/>
    <s v="OK"/>
    <n v="600.29"/>
    <x v="5"/>
    <s v="OK"/>
  </r>
  <r>
    <s v="TXN10837"/>
    <d v="2025-10-06T00:00:00"/>
    <x v="17"/>
    <x v="3"/>
    <x v="2"/>
    <x v="16"/>
    <n v="6"/>
    <s v="OK"/>
    <n v="6158.12"/>
    <s v="OK"/>
    <n v="5067.22"/>
    <x v="3"/>
    <s v="OK"/>
  </r>
  <r>
    <s v="TXN10724"/>
    <d v="2025-10-06T00:00:00"/>
    <x v="2"/>
    <x v="2"/>
    <x v="2"/>
    <x v="12"/>
    <n v="4"/>
    <s v="OK"/>
    <n v="1542.36"/>
    <s v="OK"/>
    <n v="1189.1099999999999"/>
    <x v="2"/>
    <s v="OK"/>
  </r>
  <r>
    <s v="TXN10249"/>
    <d v="2025-10-06T00:00:00"/>
    <x v="30"/>
    <x v="3"/>
    <x v="2"/>
    <x v="8"/>
    <n v="7"/>
    <s v="OK"/>
    <n v="6312.02"/>
    <s v="OK"/>
    <n v="4293.41"/>
    <x v="3"/>
    <s v="OK"/>
  </r>
  <r>
    <s v="TXN10199"/>
    <d v="2025-10-06T00:00:00"/>
    <x v="21"/>
    <x v="0"/>
    <x v="1"/>
    <x v="9"/>
    <n v="1"/>
    <s v="OK"/>
    <n v="7576.76"/>
    <s v="OK"/>
    <n v="5342.71"/>
    <x v="0"/>
    <s v="OK"/>
  </r>
  <r>
    <s v="TXN10891"/>
    <d v="2025-10-07T00:00:00"/>
    <x v="1"/>
    <x v="3"/>
    <x v="1"/>
    <x v="1"/>
    <n v="7"/>
    <s v="OK"/>
    <n v="9020.01"/>
    <s v="OK"/>
    <n v="5694.28"/>
    <x v="3"/>
    <s v="OK"/>
  </r>
  <r>
    <s v="TXN10509"/>
    <d v="2025-10-07T00:00:00"/>
    <x v="22"/>
    <x v="5"/>
    <x v="4"/>
    <x v="18"/>
    <n v="4"/>
    <s v="OK"/>
    <n v="2772.48"/>
    <s v="OK"/>
    <n v="2407.11"/>
    <x v="3"/>
    <s v="OK"/>
  </r>
  <r>
    <s v="TXN10068"/>
    <d v="2025-10-07T00:00:00"/>
    <x v="13"/>
    <x v="2"/>
    <x v="2"/>
    <x v="8"/>
    <n v="4"/>
    <s v="OK"/>
    <n v="3622.31"/>
    <s v="OK"/>
    <n v="2318.5300000000002"/>
    <x v="0"/>
    <s v="OK"/>
  </r>
  <r>
    <s v="TXN10738"/>
    <d v="2025-10-07T00:00:00"/>
    <x v="14"/>
    <x v="4"/>
    <x v="4"/>
    <x v="23"/>
    <n v="6"/>
    <s v="OK"/>
    <n v="358.75"/>
    <s v="OK"/>
    <n v="201.8"/>
    <x v="0"/>
    <s v="OK"/>
  </r>
  <r>
    <s v="TXN10267"/>
    <d v="2025-10-08T00:00:00"/>
    <x v="19"/>
    <x v="4"/>
    <x v="1"/>
    <x v="22"/>
    <n v="4"/>
    <s v="OK"/>
    <n v="10693.2"/>
    <s v="OK"/>
    <n v="6410.05"/>
    <x v="3"/>
    <s v="OK"/>
  </r>
  <r>
    <s v="TXN10755"/>
    <d v="2025-10-08T00:00:00"/>
    <x v="21"/>
    <x v="0"/>
    <x v="3"/>
    <x v="19"/>
    <n v="1"/>
    <s v="OK"/>
    <n v="4200.41"/>
    <s v="OK"/>
    <n v="3463.06"/>
    <x v="1"/>
    <s v="OK"/>
  </r>
  <r>
    <s v="TXN10898"/>
    <d v="2025-10-08T00:00:00"/>
    <x v="25"/>
    <x v="0"/>
    <x v="0"/>
    <x v="0"/>
    <n v="6"/>
    <s v="OK"/>
    <n v="1242.5"/>
    <s v="OK"/>
    <n v="694.59"/>
    <x v="1"/>
    <s v="OK"/>
  </r>
  <r>
    <s v="TXN11048"/>
    <d v="2025-10-09T00:00:00"/>
    <x v="3"/>
    <x v="5"/>
    <x v="4"/>
    <x v="14"/>
    <n v="2"/>
    <s v="OK"/>
    <n v="686.57"/>
    <s v="OK"/>
    <n v="396.65"/>
    <x v="0"/>
    <s v="OK"/>
  </r>
  <r>
    <s v="TXN10393"/>
    <d v="2025-10-09T00:00:00"/>
    <x v="11"/>
    <x v="2"/>
    <x v="0"/>
    <x v="0"/>
    <n v="4"/>
    <s v="OK"/>
    <n v="417.87"/>
    <s v="OK"/>
    <n v="243.88"/>
    <x v="4"/>
    <s v="OK"/>
  </r>
  <r>
    <s v="TXN10086"/>
    <d v="2025-10-09T00:00:00"/>
    <x v="26"/>
    <x v="4"/>
    <x v="4"/>
    <x v="23"/>
    <n v="6"/>
    <s v="OK"/>
    <n v="1393.38"/>
    <s v="OK"/>
    <n v="975"/>
    <x v="3"/>
    <s v="OK"/>
  </r>
  <r>
    <s v="TXN10565"/>
    <d v="2025-10-09T00:00:00"/>
    <x v="23"/>
    <x v="4"/>
    <x v="0"/>
    <x v="13"/>
    <n v="1"/>
    <s v="OK"/>
    <n v="569.70000000000005"/>
    <s v="OK"/>
    <n v="494.68"/>
    <x v="1"/>
    <s v="OK"/>
  </r>
  <r>
    <s v="TXN10292"/>
    <d v="2025-10-09T00:00:00"/>
    <x v="20"/>
    <x v="4"/>
    <x v="3"/>
    <x v="17"/>
    <n v="6"/>
    <s v="OK"/>
    <n v="1915.3"/>
    <s v="OK"/>
    <n v="1572.7"/>
    <x v="0"/>
    <s v="OK"/>
  </r>
  <r>
    <s v="TXN10043"/>
    <d v="2025-10-10T00:00:00"/>
    <x v="26"/>
    <x v="3"/>
    <x v="4"/>
    <x v="18"/>
    <n v="3"/>
    <s v="OK"/>
    <n v="1646.81"/>
    <s v="OK"/>
    <n v="928.48"/>
    <x v="3"/>
    <s v="OK"/>
  </r>
  <r>
    <s v="TXN11249"/>
    <d v="2025-10-10T00:00:00"/>
    <x v="8"/>
    <x v="3"/>
    <x v="4"/>
    <x v="26"/>
    <n v="4"/>
    <s v="OK"/>
    <n v="2324.7600000000002"/>
    <s v="OK"/>
    <n v="1303.45"/>
    <x v="3"/>
    <s v="OK"/>
  </r>
  <r>
    <s v="TXN10433"/>
    <d v="2025-10-10T00:00:00"/>
    <x v="25"/>
    <x v="2"/>
    <x v="2"/>
    <x v="4"/>
    <n v="6"/>
    <s v="OK"/>
    <n v="6053.72"/>
    <s v="OK"/>
    <n v="4367.74"/>
    <x v="1"/>
    <s v="OK"/>
  </r>
  <r>
    <s v="TXN11056"/>
    <d v="2025-10-10T00:00:00"/>
    <x v="27"/>
    <x v="5"/>
    <x v="2"/>
    <x v="3"/>
    <n v="8"/>
    <s v="OK"/>
    <n v="5168.57"/>
    <s v="OK"/>
    <n v="3629.69"/>
    <x v="1"/>
    <s v="OK"/>
  </r>
  <r>
    <s v="TXN11168"/>
    <d v="2025-10-10T00:00:00"/>
    <x v="21"/>
    <x v="0"/>
    <x v="2"/>
    <x v="12"/>
    <n v="5"/>
    <s v="OK"/>
    <n v="4409.28"/>
    <s v="OK"/>
    <n v="3729.67"/>
    <x v="4"/>
    <s v="OK"/>
  </r>
  <r>
    <s v="TXN10142"/>
    <d v="2025-10-11T00:00:00"/>
    <x v="28"/>
    <x v="4"/>
    <x v="3"/>
    <x v="24"/>
    <n v="4"/>
    <s v="OK"/>
    <n v="3725.11"/>
    <s v="OK"/>
    <n v="3048.29"/>
    <x v="4"/>
    <s v="OK"/>
  </r>
  <r>
    <s v="TXN10866"/>
    <d v="2025-10-11T00:00:00"/>
    <x v="3"/>
    <x v="3"/>
    <x v="0"/>
    <x v="11"/>
    <n v="8"/>
    <s v="OK"/>
    <n v="1294.5999999999999"/>
    <s v="OK"/>
    <n v="1077.02"/>
    <x v="5"/>
    <s v="OK"/>
  </r>
  <r>
    <s v="TXN10945"/>
    <d v="2025-10-11T00:00:00"/>
    <x v="2"/>
    <x v="1"/>
    <x v="2"/>
    <x v="3"/>
    <n v="5"/>
    <s v="OK"/>
    <n v="-294.05"/>
    <s v="Negative Sales"/>
    <n v="439.35"/>
    <x v="2"/>
    <s v="Sales &lt; Cost"/>
  </r>
  <r>
    <s v="TXN10039"/>
    <d v="2025-10-11T00:00:00"/>
    <x v="18"/>
    <x v="3"/>
    <x v="1"/>
    <x v="27"/>
    <n v="3"/>
    <s v="OK"/>
    <n v="5557.15"/>
    <s v="OK"/>
    <n v="4165.6099999999997"/>
    <x v="3"/>
    <s v="OK"/>
  </r>
  <r>
    <s v="TXN11063"/>
    <d v="2025-10-11T00:00:00"/>
    <x v="25"/>
    <x v="5"/>
    <x v="1"/>
    <x v="27"/>
    <n v="3"/>
    <s v="OK"/>
    <m/>
    <s v="Missing Sales"/>
    <n v="1125.81"/>
    <x v="0"/>
    <s v="Missing Data"/>
  </r>
  <r>
    <s v="TXN10999"/>
    <d v="2025-10-12T00:00:00"/>
    <x v="29"/>
    <x v="5"/>
    <x v="2"/>
    <x v="4"/>
    <n v="8"/>
    <s v="OK"/>
    <n v="675.83"/>
    <s v="OK"/>
    <n v="552.95000000000005"/>
    <x v="2"/>
    <s v="OK"/>
  </r>
  <r>
    <s v="TXN11155"/>
    <d v="2025-10-12T00:00:00"/>
    <x v="29"/>
    <x v="4"/>
    <x v="3"/>
    <x v="24"/>
    <n v="0"/>
    <s v="Zero Quantity"/>
    <n v="4902.82"/>
    <s v="OK"/>
    <n v="2895.63"/>
    <x v="4"/>
    <s v="OK"/>
  </r>
  <r>
    <s v="TXN10798"/>
    <d v="2025-10-13T00:00:00"/>
    <x v="9"/>
    <x v="2"/>
    <x v="3"/>
    <x v="24"/>
    <n v="1"/>
    <s v="OK"/>
    <n v="4312.38"/>
    <s v="OK"/>
    <n v="2950.46"/>
    <x v="4"/>
    <s v="OK"/>
  </r>
  <r>
    <s v="TXN10634"/>
    <d v="2025-10-13T00:00:00"/>
    <x v="3"/>
    <x v="3"/>
    <x v="3"/>
    <x v="21"/>
    <n v="7"/>
    <s v="OK"/>
    <n v="4603.6000000000004"/>
    <s v="OK"/>
    <n v="3696.11"/>
    <x v="2"/>
    <s v="OK"/>
  </r>
  <r>
    <s v="TXN10492"/>
    <d v="2025-10-14T00:00:00"/>
    <x v="22"/>
    <x v="5"/>
    <x v="0"/>
    <x v="13"/>
    <n v="8"/>
    <s v="OK"/>
    <n v="1848.31"/>
    <s v="OK"/>
    <n v="1238.1600000000001"/>
    <x v="0"/>
    <s v="OK"/>
  </r>
  <r>
    <s v="TXN10912"/>
    <d v="2025-10-14T00:00:00"/>
    <x v="30"/>
    <x v="2"/>
    <x v="4"/>
    <x v="26"/>
    <n v="1"/>
    <s v="OK"/>
    <n v="2136.58"/>
    <s v="OK"/>
    <n v="1358.64"/>
    <x v="2"/>
    <s v="OK"/>
  </r>
  <r>
    <s v="TXN11156"/>
    <d v="2025-10-15T00:00:00"/>
    <x v="3"/>
    <x v="5"/>
    <x v="3"/>
    <x v="24"/>
    <n v="5"/>
    <s v="OK"/>
    <n v="5182.9799999999996"/>
    <s v="OK"/>
    <n v="2910.51"/>
    <x v="1"/>
    <s v="OK"/>
  </r>
  <r>
    <s v="TXN10154"/>
    <d v="2025-10-15T00:00:00"/>
    <x v="26"/>
    <x v="3"/>
    <x v="2"/>
    <x v="3"/>
    <n v="6"/>
    <s v="OK"/>
    <n v="4822.09"/>
    <s v="OK"/>
    <n v="3305.87"/>
    <x v="0"/>
    <s v="OK"/>
  </r>
  <r>
    <s v="TXN10607"/>
    <d v="2025-10-15T00:00:00"/>
    <x v="26"/>
    <x v="0"/>
    <x v="3"/>
    <x v="17"/>
    <n v="7"/>
    <s v="OK"/>
    <n v="2671.14"/>
    <s v="OK"/>
    <n v="1613.05"/>
    <x v="0"/>
    <s v="OK"/>
  </r>
  <r>
    <s v="TXN10918"/>
    <d v="2025-10-15T00:00:00"/>
    <x v="16"/>
    <x v="2"/>
    <x v="4"/>
    <x v="29"/>
    <n v="8"/>
    <s v="OK"/>
    <n v="1737.72"/>
    <s v="OK"/>
    <n v="1020.25"/>
    <x v="4"/>
    <s v="OK"/>
  </r>
  <r>
    <s v="TXN10411"/>
    <d v="2025-10-15T00:00:00"/>
    <x v="6"/>
    <x v="0"/>
    <x v="3"/>
    <x v="5"/>
    <n v="6"/>
    <s v="OK"/>
    <n v="1727.8"/>
    <s v="OK"/>
    <n v="1286.0899999999999"/>
    <x v="4"/>
    <s v="OK"/>
  </r>
  <r>
    <s v="TXN10012"/>
    <d v="2025-10-15T00:00:00"/>
    <x v="0"/>
    <x v="0"/>
    <x v="3"/>
    <x v="25"/>
    <n v="5"/>
    <s v="OK"/>
    <n v="4608.58"/>
    <s v="OK"/>
    <n v="3186.29"/>
    <x v="2"/>
    <s v="OK"/>
  </r>
  <r>
    <s v="TXN10225"/>
    <d v="2025-10-16T00:00:00"/>
    <x v="12"/>
    <x v="4"/>
    <x v="2"/>
    <x v="12"/>
    <n v="1"/>
    <s v="OK"/>
    <n v="5846.56"/>
    <s v="OK"/>
    <n v="3270.35"/>
    <x v="1"/>
    <s v="OK"/>
  </r>
  <r>
    <s v="TXN10435"/>
    <d v="2025-10-16T00:00:00"/>
    <x v="3"/>
    <x v="4"/>
    <x v="1"/>
    <x v="22"/>
    <m/>
    <s v="Blank"/>
    <n v="14336.25"/>
    <s v="OK"/>
    <n v="11988.93"/>
    <x v="3"/>
    <s v="OK"/>
  </r>
  <r>
    <s v="TXN10305"/>
    <d v="2025-10-16T00:00:00"/>
    <x v="10"/>
    <x v="3"/>
    <x v="4"/>
    <x v="26"/>
    <n v="4"/>
    <s v="OK"/>
    <n v="2091.7600000000002"/>
    <s v="OK"/>
    <n v="1736.82"/>
    <x v="2"/>
    <s v="OK"/>
  </r>
  <r>
    <s v="TXN10325"/>
    <d v="2025-10-16T00:00:00"/>
    <x v="29"/>
    <x v="3"/>
    <x v="2"/>
    <x v="15"/>
    <n v="7"/>
    <s v="OK"/>
    <n v="6780.95"/>
    <s v="OK"/>
    <n v="4471.54"/>
    <x v="0"/>
    <s v="OK"/>
  </r>
  <r>
    <s v="TXN11250"/>
    <d v="2025-10-16T00:00:00"/>
    <x v="25"/>
    <x v="4"/>
    <x v="2"/>
    <x v="15"/>
    <n v="8"/>
    <s v="OK"/>
    <n v="701.49"/>
    <s v="OK"/>
    <n v="458.64"/>
    <x v="3"/>
    <s v="OK"/>
  </r>
  <r>
    <s v="TXN11012"/>
    <d v="2025-10-17T00:00:00"/>
    <x v="29"/>
    <x v="4"/>
    <x v="3"/>
    <x v="5"/>
    <n v="3"/>
    <s v="OK"/>
    <n v="859.48"/>
    <s v="OK"/>
    <n v="509.09"/>
    <x v="1"/>
    <s v="OK"/>
  </r>
  <r>
    <s v="TXN10829"/>
    <d v="2025-10-18T00:00:00"/>
    <x v="29"/>
    <x v="4"/>
    <x v="0"/>
    <x v="11"/>
    <n v="3"/>
    <s v="OK"/>
    <n v="658.29"/>
    <s v="OK"/>
    <n v="542.86"/>
    <x v="3"/>
    <s v="OK"/>
  </r>
  <r>
    <s v="TXN10257"/>
    <d v="2025-10-18T00:00:00"/>
    <x v="7"/>
    <x v="3"/>
    <x v="1"/>
    <x v="1"/>
    <n v="2"/>
    <s v="OK"/>
    <n v="16776.580000000002"/>
    <s v="OK"/>
    <n v="11082"/>
    <x v="0"/>
    <s v="OK"/>
  </r>
  <r>
    <s v="TXN10529"/>
    <d v="2025-10-18T00:00:00"/>
    <x v="23"/>
    <x v="3"/>
    <x v="3"/>
    <x v="5"/>
    <n v="1"/>
    <s v="OK"/>
    <n v="5182.63"/>
    <s v="OK"/>
    <n v="4445.05"/>
    <x v="2"/>
    <s v="OK"/>
  </r>
  <r>
    <s v="TXN10235"/>
    <d v="2025-10-19T00:00:00"/>
    <x v="1"/>
    <x v="3"/>
    <x v="0"/>
    <x v="10"/>
    <n v="4"/>
    <s v="OK"/>
    <n v="1033.8"/>
    <s v="OK"/>
    <n v="667.05"/>
    <x v="0"/>
    <s v="OK"/>
  </r>
  <r>
    <s v="TXN10099"/>
    <d v="2025-10-19T00:00:00"/>
    <x v="16"/>
    <x v="5"/>
    <x v="4"/>
    <x v="18"/>
    <n v="5"/>
    <s v="OK"/>
    <n v="1677.25"/>
    <s v="OK"/>
    <n v="1181.9100000000001"/>
    <x v="3"/>
    <s v="OK"/>
  </r>
  <r>
    <s v="TXN10367"/>
    <d v="2025-10-19T00:00:00"/>
    <x v="10"/>
    <x v="0"/>
    <x v="3"/>
    <x v="17"/>
    <n v="7"/>
    <s v="OK"/>
    <n v="2509.77"/>
    <s v="OK"/>
    <n v="1946"/>
    <x v="0"/>
    <s v="OK"/>
  </r>
  <r>
    <s v="TXN10460"/>
    <d v="2025-10-19T00:00:00"/>
    <x v="0"/>
    <x v="5"/>
    <x v="4"/>
    <x v="23"/>
    <n v="8"/>
    <s v="OK"/>
    <n v="715.48"/>
    <s v="OK"/>
    <n v="597.13"/>
    <x v="4"/>
    <s v="OK"/>
  </r>
  <r>
    <s v="TXN10729"/>
    <d v="2025-10-19T00:00:00"/>
    <x v="23"/>
    <x v="3"/>
    <x v="4"/>
    <x v="14"/>
    <n v="5"/>
    <s v="OK"/>
    <n v="3235.13"/>
    <s v="OK"/>
    <n v="2779.31"/>
    <x v="3"/>
    <s v="OK"/>
  </r>
  <r>
    <s v="TXN10094"/>
    <d v="2025-10-19T00:00:00"/>
    <x v="30"/>
    <x v="4"/>
    <x v="0"/>
    <x v="13"/>
    <n v="1"/>
    <s v="OK"/>
    <n v="1602.15"/>
    <s v="OK"/>
    <n v="1272.47"/>
    <x v="4"/>
    <s v="OK"/>
  </r>
  <r>
    <s v="TXN10649"/>
    <d v="2025-10-20T00:00:00"/>
    <x v="0"/>
    <x v="0"/>
    <x v="1"/>
    <x v="28"/>
    <n v="1"/>
    <s v="OK"/>
    <n v="10273.41"/>
    <s v="OK"/>
    <n v="6540.51"/>
    <x v="0"/>
    <s v="OK"/>
  </r>
  <r>
    <s v="TXN10641"/>
    <d v="2025-10-20T00:00:00"/>
    <x v="10"/>
    <x v="4"/>
    <x v="2"/>
    <x v="3"/>
    <n v="3"/>
    <s v="OK"/>
    <n v="1022.3"/>
    <s v="OK"/>
    <n v="717.57"/>
    <x v="4"/>
    <s v="OK"/>
  </r>
  <r>
    <s v="TXN11151"/>
    <d v="2025-10-21T00:00:00"/>
    <x v="4"/>
    <x v="3"/>
    <x v="2"/>
    <x v="3"/>
    <n v="8"/>
    <s v="OK"/>
    <n v="2206.58"/>
    <s v="OK"/>
    <n v="1756.37"/>
    <x v="2"/>
    <s v="OK"/>
  </r>
  <r>
    <s v="TXN10527"/>
    <d v="2025-10-21T00:00:00"/>
    <x v="0"/>
    <x v="3"/>
    <x v="1"/>
    <x v="22"/>
    <n v="7"/>
    <s v="OK"/>
    <n v="10085.299999999999"/>
    <s v="OK"/>
    <n v="8698.6"/>
    <x v="3"/>
    <s v="OK"/>
  </r>
  <r>
    <s v="TXN10167"/>
    <d v="2025-10-21T00:00:00"/>
    <x v="13"/>
    <x v="0"/>
    <x v="2"/>
    <x v="4"/>
    <n v="7"/>
    <s v="OK"/>
    <n v="5082.6899999999996"/>
    <s v="OK"/>
    <n v="3496.07"/>
    <x v="1"/>
    <s v="OK"/>
  </r>
  <r>
    <s v="TXN10744"/>
    <d v="2025-10-21T00:00:00"/>
    <x v="6"/>
    <x v="2"/>
    <x v="2"/>
    <x v="16"/>
    <n v="1"/>
    <s v="OK"/>
    <n v="4731.71"/>
    <s v="OK"/>
    <n v="3058"/>
    <x v="2"/>
    <s v="OK"/>
  </r>
  <r>
    <s v="TXN10742"/>
    <d v="2025-10-21T00:00:00"/>
    <x v="27"/>
    <x v="2"/>
    <x v="2"/>
    <x v="4"/>
    <n v="6"/>
    <s v="OK"/>
    <n v="3178.71"/>
    <s v="OK"/>
    <n v="2755.92"/>
    <x v="3"/>
    <s v="OK"/>
  </r>
  <r>
    <s v="TXN11174"/>
    <d v="2025-10-22T00:00:00"/>
    <x v="24"/>
    <x v="5"/>
    <x v="1"/>
    <x v="20"/>
    <n v="1"/>
    <s v="OK"/>
    <n v="2346.41"/>
    <s v="OK"/>
    <n v="1511.86"/>
    <x v="0"/>
    <s v="OK"/>
  </r>
  <r>
    <s v="TXN10126"/>
    <d v="2025-10-22T00:00:00"/>
    <x v="4"/>
    <x v="2"/>
    <x v="2"/>
    <x v="12"/>
    <n v="5"/>
    <s v="OK"/>
    <n v="6951.77"/>
    <s v="OK"/>
    <n v="4500.76"/>
    <x v="0"/>
    <s v="OK"/>
  </r>
  <r>
    <s v="TXN10076"/>
    <d v="2025-10-22T00:00:00"/>
    <x v="15"/>
    <x v="4"/>
    <x v="1"/>
    <x v="1"/>
    <n v="7"/>
    <s v="OK"/>
    <n v="7682.79"/>
    <s v="OK"/>
    <n v="6038.33"/>
    <x v="1"/>
    <s v="OK"/>
  </r>
  <r>
    <s v="TXN10279"/>
    <d v="2025-10-22T00:00:00"/>
    <x v="0"/>
    <x v="4"/>
    <x v="4"/>
    <x v="26"/>
    <n v="6"/>
    <s v="OK"/>
    <n v="2126.79"/>
    <s v="OK"/>
    <n v="1711.93"/>
    <x v="3"/>
    <s v="OK"/>
  </r>
  <r>
    <s v="TXN10574"/>
    <d v="2025-10-22T00:00:00"/>
    <x v="15"/>
    <x v="4"/>
    <x v="4"/>
    <x v="18"/>
    <n v="5"/>
    <s v="OK"/>
    <n v="2506.12"/>
    <s v="OK"/>
    <n v="2177.31"/>
    <x v="2"/>
    <s v="OK"/>
  </r>
  <r>
    <s v="TXN10834"/>
    <d v="2025-10-22T00:00:00"/>
    <x v="14"/>
    <x v="3"/>
    <x v="4"/>
    <x v="18"/>
    <n v="1"/>
    <s v="OK"/>
    <n v="2997.16"/>
    <s v="OK"/>
    <n v="1809.5"/>
    <x v="1"/>
    <s v="OK"/>
  </r>
  <r>
    <s v="TXN10484"/>
    <d v="2025-10-23T00:00:00"/>
    <x v="14"/>
    <x v="3"/>
    <x v="2"/>
    <x v="8"/>
    <n v="4"/>
    <s v="OK"/>
    <n v="6854.11"/>
    <s v="OK"/>
    <n v="5284.85"/>
    <x v="3"/>
    <s v="OK"/>
  </r>
  <r>
    <s v="TXN10988"/>
    <d v="2025-10-23T00:00:00"/>
    <x v="25"/>
    <x v="5"/>
    <x v="2"/>
    <x v="3"/>
    <n v="1"/>
    <s v="OK"/>
    <n v="6718.13"/>
    <s v="OK"/>
    <n v="4851.6899999999996"/>
    <x v="0"/>
    <s v="OK"/>
  </r>
  <r>
    <s v="TXN10593"/>
    <d v="2025-10-23T00:00:00"/>
    <x v="13"/>
    <x v="3"/>
    <x v="2"/>
    <x v="16"/>
    <n v="3"/>
    <s v="OK"/>
    <n v="6863.86"/>
    <s v="OK"/>
    <n v="4419.78"/>
    <x v="3"/>
    <s v="OK"/>
  </r>
  <r>
    <s v="TXN10689"/>
    <d v="2025-10-23T00:00:00"/>
    <x v="16"/>
    <x v="5"/>
    <x v="1"/>
    <x v="27"/>
    <n v="5"/>
    <s v="OK"/>
    <n v="6562"/>
    <s v="OK"/>
    <n v="3799.02"/>
    <x v="1"/>
    <s v="OK"/>
  </r>
  <r>
    <s v="TXN11235"/>
    <d v="2025-10-23T00:00:00"/>
    <x v="25"/>
    <x v="4"/>
    <x v="0"/>
    <x v="0"/>
    <n v="4"/>
    <s v="OK"/>
    <n v="1817.11"/>
    <s v="OK"/>
    <n v="1140.44"/>
    <x v="1"/>
    <s v="OK"/>
  </r>
  <r>
    <s v="TXN10788"/>
    <d v="2025-10-24T00:00:00"/>
    <x v="25"/>
    <x v="5"/>
    <x v="0"/>
    <x v="0"/>
    <n v="6"/>
    <s v="OK"/>
    <n v="1163.8499999999999"/>
    <s v="OK"/>
    <n v="927.05"/>
    <x v="3"/>
    <s v="OK"/>
  </r>
  <r>
    <s v="TXN10242"/>
    <d v="2025-10-24T00:00:00"/>
    <x v="8"/>
    <x v="2"/>
    <x v="4"/>
    <x v="29"/>
    <n v="4"/>
    <s v="OK"/>
    <n v="2594.5500000000002"/>
    <s v="OK"/>
    <n v="1926.62"/>
    <x v="4"/>
    <s v="OK"/>
  </r>
  <r>
    <s v="TXN10773"/>
    <d v="2025-10-24T00:00:00"/>
    <x v="9"/>
    <x v="3"/>
    <x v="2"/>
    <x v="16"/>
    <n v="4"/>
    <s v="OK"/>
    <n v="6503.78"/>
    <s v="OK"/>
    <n v="3656.23"/>
    <x v="4"/>
    <s v="OK"/>
  </r>
  <r>
    <s v="TXN11143"/>
    <d v="2025-10-25T00:00:00"/>
    <x v="20"/>
    <x v="3"/>
    <x v="3"/>
    <x v="19"/>
    <n v="1"/>
    <s v="OK"/>
    <n v="5173.95"/>
    <s v="OK"/>
    <n v="4057.22"/>
    <x v="0"/>
    <s v="OK"/>
  </r>
  <r>
    <s v="TXN10806"/>
    <d v="2025-10-25T00:00:00"/>
    <x v="15"/>
    <x v="3"/>
    <x v="0"/>
    <x v="11"/>
    <n v="4"/>
    <s v="OK"/>
    <n v="1932.3"/>
    <s v="OK"/>
    <n v="1547.95"/>
    <x v="3"/>
    <s v="OK"/>
  </r>
  <r>
    <s v="TXN11046"/>
    <d v="2025-10-25T00:00:00"/>
    <x v="14"/>
    <x v="2"/>
    <x v="0"/>
    <x v="13"/>
    <n v="7"/>
    <s v="OK"/>
    <n v="1667.64"/>
    <s v="OK"/>
    <n v="1352.3"/>
    <x v="1"/>
    <s v="OK"/>
  </r>
  <r>
    <s v="TXN10050"/>
    <d v="2025-10-25T00:00:00"/>
    <x v="11"/>
    <x v="3"/>
    <x v="4"/>
    <x v="26"/>
    <n v="5"/>
    <s v="OK"/>
    <n v="374.34"/>
    <s v="OK"/>
    <n v="279.58"/>
    <x v="3"/>
    <s v="OK"/>
  </r>
  <r>
    <s v="TXN11239"/>
    <d v="2025-10-25T00:00:00"/>
    <x v="1"/>
    <x v="3"/>
    <x v="1"/>
    <x v="27"/>
    <n v="2"/>
    <s v="OK"/>
    <n v="9053.73"/>
    <s v="OK"/>
    <n v="6754.04"/>
    <x v="4"/>
    <s v="OK"/>
  </r>
  <r>
    <s v="TXN10800"/>
    <d v="2025-10-26T00:00:00"/>
    <x v="14"/>
    <x v="2"/>
    <x v="2"/>
    <x v="8"/>
    <n v="1"/>
    <s v="OK"/>
    <n v="6844.38"/>
    <s v="OK"/>
    <n v="4811.88"/>
    <x v="4"/>
    <s v="OK"/>
  </r>
  <r>
    <s v="TXN10657"/>
    <d v="2025-10-26T00:00:00"/>
    <x v="14"/>
    <x v="3"/>
    <x v="1"/>
    <x v="28"/>
    <n v="1"/>
    <s v="OK"/>
    <n v="5268.3"/>
    <s v="OK"/>
    <n v="3002.07"/>
    <x v="4"/>
    <s v="OK"/>
  </r>
  <r>
    <s v="TXN10241"/>
    <d v="2025-10-26T00:00:00"/>
    <x v="1"/>
    <x v="0"/>
    <x v="1"/>
    <x v="28"/>
    <n v="5"/>
    <s v="OK"/>
    <n v="14524.51"/>
    <s v="OK"/>
    <n v="11465.02"/>
    <x v="1"/>
    <s v="OK"/>
  </r>
  <r>
    <s v="TXN10920"/>
    <d v="2025-10-26T00:00:00"/>
    <x v="3"/>
    <x v="3"/>
    <x v="2"/>
    <x v="16"/>
    <n v="1"/>
    <s v="OK"/>
    <n v="3871.7"/>
    <s v="OK"/>
    <n v="2858.71"/>
    <x v="0"/>
    <s v="OK"/>
  </r>
  <r>
    <s v="TXN10830"/>
    <d v="2025-10-27T00:00:00"/>
    <x v="26"/>
    <x v="2"/>
    <x v="1"/>
    <x v="1"/>
    <n v="5"/>
    <s v="OK"/>
    <n v="9349.1200000000008"/>
    <s v="OK"/>
    <n v="7424.63"/>
    <x v="4"/>
    <s v="OK"/>
  </r>
  <r>
    <s v="TXN10790"/>
    <d v="2025-10-27T00:00:00"/>
    <x v="19"/>
    <x v="5"/>
    <x v="1"/>
    <x v="28"/>
    <n v="8"/>
    <s v="OK"/>
    <n v="1829.2"/>
    <s v="OK"/>
    <n v="1269.1600000000001"/>
    <x v="4"/>
    <s v="OK"/>
  </r>
  <r>
    <s v="TXN11201"/>
    <d v="2025-10-27T00:00:00"/>
    <x v="1"/>
    <x v="5"/>
    <x v="4"/>
    <x v="26"/>
    <n v="7"/>
    <s v="OK"/>
    <n v="533.5"/>
    <s v="OK"/>
    <n v="312.14999999999998"/>
    <x v="2"/>
    <s v="OK"/>
  </r>
  <r>
    <s v="TXN11043"/>
    <d v="2025-10-27T00:00:00"/>
    <x v="6"/>
    <x v="0"/>
    <x v="3"/>
    <x v="21"/>
    <n v="8"/>
    <s v="OK"/>
    <n v="1650.81"/>
    <s v="OK"/>
    <n v="952.29"/>
    <x v="0"/>
    <s v="OK"/>
  </r>
  <r>
    <s v="TXN10286"/>
    <d v="2025-10-28T00:00:00"/>
    <x v="8"/>
    <x v="3"/>
    <x v="1"/>
    <x v="20"/>
    <n v="-3"/>
    <s v="Negative Quantity"/>
    <n v="9097.64"/>
    <s v="OK"/>
    <n v="7614.05"/>
    <x v="3"/>
    <s v="OK"/>
  </r>
  <r>
    <s v="TXN10597"/>
    <d v="2025-10-28T00:00:00"/>
    <x v="18"/>
    <x v="2"/>
    <x v="4"/>
    <x v="29"/>
    <n v="8"/>
    <s v="OK"/>
    <n v="1595.46"/>
    <s v="OK"/>
    <n v="974.32"/>
    <x v="1"/>
    <s v="OK"/>
  </r>
  <r>
    <s v="TXN10995"/>
    <d v="2025-10-28T00:00:00"/>
    <x v="16"/>
    <x v="5"/>
    <x v="3"/>
    <x v="21"/>
    <n v="4"/>
    <s v="OK"/>
    <n v="3211.39"/>
    <s v="OK"/>
    <n v="2563.62"/>
    <x v="0"/>
    <s v="OK"/>
  </r>
  <r>
    <s v="TXN10221"/>
    <d v="2025-10-28T00:00:00"/>
    <x v="1"/>
    <x v="5"/>
    <x v="2"/>
    <x v="8"/>
    <n v="3"/>
    <s v="OK"/>
    <n v="5467.36"/>
    <s v="OK"/>
    <n v="3239.85"/>
    <x v="2"/>
    <s v="OK"/>
  </r>
  <r>
    <s v="TXN10304"/>
    <d v="2025-10-28T00:00:00"/>
    <x v="29"/>
    <x v="0"/>
    <x v="1"/>
    <x v="20"/>
    <n v="3"/>
    <s v="OK"/>
    <n v="13763.55"/>
    <s v="OK"/>
    <n v="10807.07"/>
    <x v="0"/>
    <s v="OK"/>
  </r>
  <r>
    <s v="TXN10687"/>
    <d v="2025-10-29T00:00:00"/>
    <x v="8"/>
    <x v="2"/>
    <x v="3"/>
    <x v="25"/>
    <n v="8"/>
    <s v="OK"/>
    <n v="2995.56"/>
    <s v="OK"/>
    <n v="2084.37"/>
    <x v="2"/>
    <s v="OK"/>
  </r>
  <r>
    <s v="TXN10428"/>
    <d v="2025-10-29T00:00:00"/>
    <x v="12"/>
    <x v="0"/>
    <x v="2"/>
    <x v="4"/>
    <n v="4"/>
    <s v="OK"/>
    <n v="4053.77"/>
    <s v="OK"/>
    <n v="3354.34"/>
    <x v="2"/>
    <s v="OK"/>
  </r>
  <r>
    <s v="TXN10169"/>
    <d v="2025-10-29T00:00:00"/>
    <x v="2"/>
    <x v="3"/>
    <x v="3"/>
    <x v="17"/>
    <n v="7"/>
    <s v="OK"/>
    <n v="3381.79"/>
    <s v="OK"/>
    <n v="2301.66"/>
    <x v="3"/>
    <s v="OK"/>
  </r>
  <r>
    <s v="TXN10497"/>
    <d v="2025-10-29T00:00:00"/>
    <x v="15"/>
    <x v="2"/>
    <x v="0"/>
    <x v="11"/>
    <n v="3"/>
    <s v="OK"/>
    <n v="2416.87"/>
    <s v="OK"/>
    <n v="1332.74"/>
    <x v="1"/>
    <s v="OK"/>
  </r>
  <r>
    <s v="TXN10088"/>
    <d v="2025-10-29T00:00:00"/>
    <x v="23"/>
    <x v="5"/>
    <x v="0"/>
    <x v="13"/>
    <n v="5"/>
    <s v="OK"/>
    <n v="2455.17"/>
    <s v="OK"/>
    <n v="2024.94"/>
    <x v="3"/>
    <s v="OK"/>
  </r>
  <r>
    <s v="TXN10558"/>
    <d v="2025-10-29T00:00:00"/>
    <x v="4"/>
    <x v="2"/>
    <x v="0"/>
    <x v="13"/>
    <n v="2"/>
    <s v="OK"/>
    <n v="1178.6300000000001"/>
    <s v="OK"/>
    <n v="747.24"/>
    <x v="4"/>
    <s v="OK"/>
  </r>
  <r>
    <s v="TXN10867"/>
    <d v="2025-10-30T00:00:00"/>
    <x v="19"/>
    <x v="2"/>
    <x v="4"/>
    <x v="23"/>
    <n v="7"/>
    <s v="OK"/>
    <n v="2255.0500000000002"/>
    <s v="OK"/>
    <n v="1502.79"/>
    <x v="3"/>
    <s v="OK"/>
  </r>
  <r>
    <s v="TXN10116"/>
    <d v="2025-10-30T00:00:00"/>
    <x v="27"/>
    <x v="3"/>
    <x v="3"/>
    <x v="21"/>
    <n v="6"/>
    <s v="OK"/>
    <n v="5283.35"/>
    <s v="OK"/>
    <n v="4430"/>
    <x v="0"/>
    <s v="OK"/>
  </r>
  <r>
    <s v="TXN10320"/>
    <d v="2025-10-31T00:00:00"/>
    <x v="1"/>
    <x v="3"/>
    <x v="2"/>
    <x v="16"/>
    <n v="3"/>
    <s v="OK"/>
    <n v="4899.3"/>
    <s v="OK"/>
    <n v="3584"/>
    <x v="0"/>
    <s v="OK"/>
  </r>
  <r>
    <s v="TXN10070"/>
    <d v="2025-10-31T00:00:00"/>
    <x v="8"/>
    <x v="4"/>
    <x v="1"/>
    <x v="28"/>
    <n v="1"/>
    <s v="OK"/>
    <n v="2335.5"/>
    <s v="OK"/>
    <n v="1614.86"/>
    <x v="0"/>
    <s v="OK"/>
  </r>
  <r>
    <s v="TXN10776"/>
    <d v="2025-11-01T00:00:00"/>
    <x v="22"/>
    <x v="3"/>
    <x v="1"/>
    <x v="28"/>
    <n v="4"/>
    <s v="OK"/>
    <n v="1979.18"/>
    <s v="OK"/>
    <n v="1220.9000000000001"/>
    <x v="3"/>
    <s v="OK"/>
  </r>
  <r>
    <s v="TXN10034"/>
    <d v="2025-11-01T00:00:00"/>
    <x v="7"/>
    <x v="1"/>
    <x v="3"/>
    <x v="21"/>
    <n v="1"/>
    <s v="OK"/>
    <n v="3906.6"/>
    <s v="OK"/>
    <n v="2689.09"/>
    <x v="2"/>
    <s v="OK"/>
  </r>
  <r>
    <s v="TXN10277"/>
    <d v="2025-11-01T00:00:00"/>
    <x v="4"/>
    <x v="5"/>
    <x v="1"/>
    <x v="22"/>
    <n v="1"/>
    <s v="OK"/>
    <n v="8534.14"/>
    <s v="OK"/>
    <n v="6586.37"/>
    <x v="1"/>
    <s v="OK"/>
  </r>
  <r>
    <s v="TXN10096"/>
    <d v="2025-11-01T00:00:00"/>
    <x v="11"/>
    <x v="2"/>
    <x v="0"/>
    <x v="11"/>
    <n v="8"/>
    <s v="OK"/>
    <n v="869.9"/>
    <s v="OK"/>
    <n v="544.89"/>
    <x v="3"/>
    <s v="OK"/>
  </r>
  <r>
    <s v="TXN10182"/>
    <d v="2025-11-01T00:00:00"/>
    <x v="30"/>
    <x v="3"/>
    <x v="0"/>
    <x v="7"/>
    <n v="2"/>
    <s v="OK"/>
    <n v="912.04"/>
    <s v="OK"/>
    <n v="614.99"/>
    <x v="3"/>
    <s v="OK"/>
  </r>
  <r>
    <s v="TXN10670"/>
    <d v="2025-11-02T00:00:00"/>
    <x v="8"/>
    <x v="4"/>
    <x v="2"/>
    <x v="16"/>
    <n v="4"/>
    <s v="OK"/>
    <n v="1924.02"/>
    <s v="OK"/>
    <n v="1074.77"/>
    <x v="1"/>
    <s v="OK"/>
  </r>
  <r>
    <s v="TXN10743"/>
    <d v="2025-11-02T00:00:00"/>
    <x v="30"/>
    <x v="5"/>
    <x v="1"/>
    <x v="27"/>
    <n v="5"/>
    <s v="OK"/>
    <n v="13331.22"/>
    <s v="OK"/>
    <n v="9812.09"/>
    <x v="1"/>
    <s v="OK"/>
  </r>
  <r>
    <s v="TXN10197"/>
    <d v="2025-11-02T00:00:00"/>
    <x v="9"/>
    <x v="3"/>
    <x v="1"/>
    <x v="28"/>
    <n v="1"/>
    <s v="OK"/>
    <n v="11706.43"/>
    <s v="OK"/>
    <n v="8660.01"/>
    <x v="4"/>
    <s v="OK"/>
  </r>
  <r>
    <s v="TXN10725"/>
    <d v="2025-11-02T00:00:00"/>
    <x v="22"/>
    <x v="2"/>
    <x v="1"/>
    <x v="9"/>
    <n v="8"/>
    <s v="OK"/>
    <n v="6463.97"/>
    <s v="OK"/>
    <n v="3763.49"/>
    <x v="0"/>
    <s v="OK"/>
  </r>
  <r>
    <s v="TXN10726"/>
    <d v="2025-11-03T00:00:00"/>
    <x v="29"/>
    <x v="0"/>
    <x v="0"/>
    <x v="10"/>
    <m/>
    <s v="Blank"/>
    <n v="1776.67"/>
    <s v="OK"/>
    <n v="1326.84"/>
    <x v="0"/>
    <s v="OK"/>
  </r>
  <r>
    <s v="TXN10911"/>
    <d v="2025-11-03T00:00:00"/>
    <x v="10"/>
    <x v="0"/>
    <x v="2"/>
    <x v="8"/>
    <n v="1"/>
    <s v="OK"/>
    <n v="435.38"/>
    <s v="OK"/>
    <n v="311.95"/>
    <x v="0"/>
    <s v="OK"/>
  </r>
  <r>
    <s v="TXN10323"/>
    <d v="2025-11-03T00:00:00"/>
    <x v="28"/>
    <x v="2"/>
    <x v="1"/>
    <x v="28"/>
    <n v="8"/>
    <s v="OK"/>
    <n v="10856.37"/>
    <s v="OK"/>
    <n v="7885.43"/>
    <x v="0"/>
    <s v="OK"/>
  </r>
  <r>
    <s v="TXN10827"/>
    <d v="2025-11-03T00:00:00"/>
    <x v="24"/>
    <x v="2"/>
    <x v="3"/>
    <x v="21"/>
    <n v="2"/>
    <s v="OK"/>
    <n v="1290.02"/>
    <s v="OK"/>
    <n v="838.6"/>
    <x v="2"/>
    <s v="OK"/>
  </r>
  <r>
    <s v="TXN11093"/>
    <d v="2025-11-03T00:00:00"/>
    <x v="6"/>
    <x v="3"/>
    <x v="3"/>
    <x v="5"/>
    <n v="8"/>
    <s v="OK"/>
    <n v="4565.91"/>
    <s v="OK"/>
    <n v="3006.5"/>
    <x v="3"/>
    <s v="OK"/>
  </r>
  <r>
    <s v="TXN10566"/>
    <d v="2025-11-04T00:00:00"/>
    <x v="28"/>
    <x v="3"/>
    <x v="3"/>
    <x v="17"/>
    <n v="7"/>
    <s v="OK"/>
    <n v="984.77"/>
    <s v="OK"/>
    <n v="627.12"/>
    <x v="5"/>
    <s v="OK"/>
  </r>
  <r>
    <s v="TXN10155"/>
    <d v="2025-11-04T00:00:00"/>
    <x v="13"/>
    <x v="3"/>
    <x v="1"/>
    <x v="1"/>
    <n v="5"/>
    <s v="OK"/>
    <n v="6913.15"/>
    <s v="OK"/>
    <n v="5120.66"/>
    <x v="4"/>
    <s v="OK"/>
  </r>
  <r>
    <s v="TXN10413"/>
    <d v="2025-11-05T00:00:00"/>
    <x v="13"/>
    <x v="4"/>
    <x v="1"/>
    <x v="20"/>
    <n v="6"/>
    <s v="OK"/>
    <n v="16649.75"/>
    <s v="OK"/>
    <n v="14473.39"/>
    <x v="4"/>
    <s v="OK"/>
  </r>
  <r>
    <s v="TXN10671"/>
    <d v="2025-11-06T00:00:00"/>
    <x v="14"/>
    <x v="2"/>
    <x v="3"/>
    <x v="21"/>
    <n v="8"/>
    <s v="OK"/>
    <n v="4416.1099999999997"/>
    <s v="OK"/>
    <n v="2973.84"/>
    <x v="0"/>
    <s v="OK"/>
  </r>
  <r>
    <s v="TXN10937"/>
    <d v="2025-11-06T00:00:00"/>
    <x v="23"/>
    <x v="5"/>
    <x v="1"/>
    <x v="27"/>
    <n v="5"/>
    <s v="OK"/>
    <n v="15804.63"/>
    <s v="OK"/>
    <n v="9247.1200000000008"/>
    <x v="2"/>
    <s v="OK"/>
  </r>
  <r>
    <s v="TXN11212"/>
    <d v="2025-11-06T00:00:00"/>
    <x v="11"/>
    <x v="3"/>
    <x v="4"/>
    <x v="29"/>
    <n v="6"/>
    <s v="OK"/>
    <n v="1304.83"/>
    <s v="OK"/>
    <n v="1125.18"/>
    <x v="2"/>
    <s v="OK"/>
  </r>
  <r>
    <s v="TXN10177"/>
    <d v="2025-11-06T00:00:00"/>
    <x v="9"/>
    <x v="4"/>
    <x v="3"/>
    <x v="19"/>
    <n v="8"/>
    <s v="OK"/>
    <n v="3257.52"/>
    <s v="OK"/>
    <n v="2821.17"/>
    <x v="0"/>
    <s v="OK"/>
  </r>
  <r>
    <s v="TXN10075"/>
    <d v="2025-11-07T00:00:00"/>
    <x v="17"/>
    <x v="0"/>
    <x v="3"/>
    <x v="21"/>
    <n v="2"/>
    <s v="OK"/>
    <n v="4777.8599999999997"/>
    <s v="OK"/>
    <n v="2886.03"/>
    <x v="3"/>
    <s v="OK"/>
  </r>
  <r>
    <s v="TXN10984"/>
    <d v="2025-11-07T00:00:00"/>
    <x v="9"/>
    <x v="0"/>
    <x v="0"/>
    <x v="2"/>
    <n v="3"/>
    <s v="OK"/>
    <n v="1952.49"/>
    <s v="OK"/>
    <n v="1399.1"/>
    <x v="0"/>
    <s v="OK"/>
  </r>
  <r>
    <s v="TXN10265"/>
    <d v="2025-11-07T00:00:00"/>
    <x v="27"/>
    <x v="5"/>
    <x v="0"/>
    <x v="11"/>
    <n v="6"/>
    <s v="OK"/>
    <n v="1156.44"/>
    <s v="OK"/>
    <n v="845.64"/>
    <x v="0"/>
    <s v="OK"/>
  </r>
  <r>
    <s v="TXN10448"/>
    <d v="2025-11-08T00:00:00"/>
    <x v="8"/>
    <x v="3"/>
    <x v="3"/>
    <x v="19"/>
    <n v="5"/>
    <s v="OK"/>
    <n v="4420.07"/>
    <s v="OK"/>
    <n v="3465.74"/>
    <x v="3"/>
    <s v="OK"/>
  </r>
  <r>
    <s v="TXN10437"/>
    <d v="2025-11-08T00:00:00"/>
    <x v="18"/>
    <x v="2"/>
    <x v="3"/>
    <x v="21"/>
    <n v="7"/>
    <s v="OK"/>
    <n v="713.3"/>
    <s v="OK"/>
    <n v="601.71"/>
    <x v="3"/>
    <s v="OK"/>
  </r>
  <r>
    <s v="TXN10822"/>
    <d v="2025-11-08T00:00:00"/>
    <x v="1"/>
    <x v="3"/>
    <x v="4"/>
    <x v="6"/>
    <n v="4"/>
    <s v="OK"/>
    <n v="2146.15"/>
    <s v="OK"/>
    <n v="1337.71"/>
    <x v="3"/>
    <s v="OK"/>
  </r>
  <r>
    <s v="TXN10364"/>
    <d v="2025-11-08T00:00:00"/>
    <x v="4"/>
    <x v="4"/>
    <x v="2"/>
    <x v="3"/>
    <n v="5"/>
    <s v="OK"/>
    <n v="5541.2"/>
    <s v="OK"/>
    <n v="4310.26"/>
    <x v="3"/>
    <s v="OK"/>
  </r>
  <r>
    <s v="TXN10260"/>
    <d v="2025-11-09T00:00:00"/>
    <x v="3"/>
    <x v="3"/>
    <x v="3"/>
    <x v="25"/>
    <n v="7"/>
    <s v="OK"/>
    <n v="5048.4399999999996"/>
    <s v="OK"/>
    <n v="3635.09"/>
    <x v="1"/>
    <s v="OK"/>
  </r>
  <r>
    <s v="TXN10753"/>
    <d v="2025-11-09T00:00:00"/>
    <x v="15"/>
    <x v="4"/>
    <x v="4"/>
    <x v="23"/>
    <n v="5"/>
    <s v="OK"/>
    <n v="1338.64"/>
    <s v="OK"/>
    <n v="854.24"/>
    <x v="1"/>
    <s v="OK"/>
  </r>
  <r>
    <s v="TXN10740"/>
    <d v="2025-11-09T00:00:00"/>
    <x v="9"/>
    <x v="4"/>
    <x v="1"/>
    <x v="9"/>
    <n v="2"/>
    <s v="OK"/>
    <n v="5093.46"/>
    <s v="OK"/>
    <n v="3861.45"/>
    <x v="1"/>
    <s v="OK"/>
  </r>
  <r>
    <s v="TXN10762"/>
    <d v="2025-11-09T00:00:00"/>
    <x v="9"/>
    <x v="3"/>
    <x v="0"/>
    <x v="7"/>
    <n v="7"/>
    <s v="OK"/>
    <n v="610.41999999999996"/>
    <s v="OK"/>
    <n v="434.85"/>
    <x v="4"/>
    <s v="OK"/>
  </r>
  <r>
    <s v="TXN11126"/>
    <d v="2025-11-10T00:00:00"/>
    <x v="4"/>
    <x v="4"/>
    <x v="0"/>
    <x v="2"/>
    <n v="2"/>
    <s v="OK"/>
    <n v="1001.17"/>
    <s v="OK"/>
    <n v="860.9"/>
    <x v="0"/>
    <s v="OK"/>
  </r>
  <r>
    <s v="TXN11213"/>
    <d v="2025-11-10T00:00:00"/>
    <x v="18"/>
    <x v="3"/>
    <x v="3"/>
    <x v="17"/>
    <n v="5"/>
    <s v="OK"/>
    <n v="2285.4899999999998"/>
    <s v="OK"/>
    <n v="1300.21"/>
    <x v="1"/>
    <s v="OK"/>
  </r>
  <r>
    <s v="TXN11071"/>
    <d v="2025-11-10T00:00:00"/>
    <x v="14"/>
    <x v="3"/>
    <x v="4"/>
    <x v="23"/>
    <n v="3"/>
    <s v="OK"/>
    <n v="1598.92"/>
    <s v="OK"/>
    <n v="974.16"/>
    <x v="2"/>
    <s v="OK"/>
  </r>
  <r>
    <s v="TXN10062"/>
    <d v="2025-11-10T00:00:00"/>
    <x v="26"/>
    <x v="4"/>
    <x v="4"/>
    <x v="23"/>
    <n v="7"/>
    <s v="OK"/>
    <n v="2949.35"/>
    <s v="OK"/>
    <n v="2155.38"/>
    <x v="4"/>
    <s v="OK"/>
  </r>
  <r>
    <s v="TXN10398"/>
    <d v="2025-11-11T00:00:00"/>
    <x v="18"/>
    <x v="2"/>
    <x v="3"/>
    <x v="24"/>
    <n v="4"/>
    <s v="OK"/>
    <n v="4060.03"/>
    <s v="OK"/>
    <n v="2901.44"/>
    <x v="5"/>
    <s v="OK"/>
  </r>
  <r>
    <s v="TXN10420"/>
    <d v="2025-11-11T00:00:00"/>
    <x v="26"/>
    <x v="3"/>
    <x v="4"/>
    <x v="18"/>
    <n v="8"/>
    <s v="OK"/>
    <n v="2539.64"/>
    <s v="OK"/>
    <n v="1758.29"/>
    <x v="4"/>
    <s v="OK"/>
  </r>
  <r>
    <s v="TXN10695"/>
    <d v="2025-11-11T00:00:00"/>
    <x v="3"/>
    <x v="4"/>
    <x v="4"/>
    <x v="26"/>
    <n v="8"/>
    <s v="OK"/>
    <n v="1939.04"/>
    <s v="OK"/>
    <n v="1470.79"/>
    <x v="0"/>
    <s v="OK"/>
  </r>
  <r>
    <s v="TXN10874"/>
    <d v="2025-11-11T00:00:00"/>
    <x v="27"/>
    <x v="4"/>
    <x v="4"/>
    <x v="26"/>
    <n v="5"/>
    <s v="OK"/>
    <n v="1430.84"/>
    <s v="OK"/>
    <n v="992.83"/>
    <x v="0"/>
    <s v="OK"/>
  </r>
  <r>
    <s v="TXN11176"/>
    <d v="2025-11-12T00:00:00"/>
    <x v="14"/>
    <x v="3"/>
    <x v="0"/>
    <x v="10"/>
    <n v="4"/>
    <s v="OK"/>
    <n v="2295.04"/>
    <s v="OK"/>
    <n v="1827.2"/>
    <x v="0"/>
    <s v="OK"/>
  </r>
  <r>
    <s v="TXN11195"/>
    <d v="2025-11-12T00:00:00"/>
    <x v="10"/>
    <x v="5"/>
    <x v="0"/>
    <x v="10"/>
    <n v="4"/>
    <s v="OK"/>
    <n v="409.15"/>
    <s v="OK"/>
    <n v="231.91"/>
    <x v="0"/>
    <s v="OK"/>
  </r>
  <r>
    <s v="TXN10532"/>
    <d v="2025-11-12T00:00:00"/>
    <x v="5"/>
    <x v="2"/>
    <x v="0"/>
    <x v="13"/>
    <n v="5"/>
    <s v="OK"/>
    <n v="1794.95"/>
    <s v="OK"/>
    <n v="1077.49"/>
    <x v="2"/>
    <s v="OK"/>
  </r>
  <r>
    <s v="TXN10653"/>
    <d v="2025-11-12T00:00:00"/>
    <x v="17"/>
    <x v="0"/>
    <x v="3"/>
    <x v="19"/>
    <n v="8"/>
    <s v="OK"/>
    <n v="3927.5"/>
    <s v="OK"/>
    <n v="2731"/>
    <x v="4"/>
    <s v="OK"/>
  </r>
  <r>
    <s v="TXN10168"/>
    <d v="2025-11-13T00:00:00"/>
    <x v="20"/>
    <x v="3"/>
    <x v="4"/>
    <x v="26"/>
    <n v="8"/>
    <s v="OK"/>
    <n v="2954.08"/>
    <s v="OK"/>
    <n v="2521.38"/>
    <x v="1"/>
    <s v="OK"/>
  </r>
  <r>
    <s v="TXN10515"/>
    <d v="2025-11-13T00:00:00"/>
    <x v="5"/>
    <x v="0"/>
    <x v="4"/>
    <x v="26"/>
    <n v="8"/>
    <s v="OK"/>
    <n v="3489.05"/>
    <s v="OK"/>
    <n v="2867.36"/>
    <x v="1"/>
    <s v="OK"/>
  </r>
  <r>
    <s v="TXN10908"/>
    <d v="2025-11-13T00:00:00"/>
    <x v="11"/>
    <x v="0"/>
    <x v="4"/>
    <x v="26"/>
    <n v="8"/>
    <s v="OK"/>
    <n v="3198.82"/>
    <s v="OK"/>
    <n v="2149.54"/>
    <x v="0"/>
    <s v="OK"/>
  </r>
  <r>
    <s v="TXN11124"/>
    <d v="2025-11-13T00:00:00"/>
    <x v="14"/>
    <x v="5"/>
    <x v="4"/>
    <x v="23"/>
    <n v="8"/>
    <s v="OK"/>
    <n v="1923.47"/>
    <s v="OK"/>
    <n v="1476.99"/>
    <x v="1"/>
    <s v="OK"/>
  </r>
  <r>
    <s v="TXN10335"/>
    <d v="2025-11-13T00:00:00"/>
    <x v="15"/>
    <x v="0"/>
    <x v="4"/>
    <x v="23"/>
    <n v="3"/>
    <s v="OK"/>
    <n v="2894.65"/>
    <s v="OK"/>
    <n v="2266.44"/>
    <x v="3"/>
    <s v="OK"/>
  </r>
  <r>
    <s v="TXN11027"/>
    <d v="2025-11-14T00:00:00"/>
    <x v="18"/>
    <x v="0"/>
    <x v="0"/>
    <x v="2"/>
    <n v="8"/>
    <s v="OK"/>
    <n v="627.62"/>
    <s v="OK"/>
    <n v="373.71"/>
    <x v="1"/>
    <s v="OK"/>
  </r>
  <r>
    <s v="TXN11161"/>
    <d v="2025-11-15T00:00:00"/>
    <x v="3"/>
    <x v="0"/>
    <x v="4"/>
    <x v="26"/>
    <n v="7"/>
    <s v="OK"/>
    <n v="-711.65"/>
    <s v="Negative Sales"/>
    <n v="311.79000000000002"/>
    <x v="0"/>
    <s v="Sales &lt; Cost"/>
  </r>
  <r>
    <s v="TXN10157"/>
    <d v="2025-11-15T00:00:00"/>
    <x v="3"/>
    <x v="5"/>
    <x v="0"/>
    <x v="0"/>
    <n v="1"/>
    <s v="OK"/>
    <n v="1600.69"/>
    <s v="OK"/>
    <n v="1227.8599999999999"/>
    <x v="3"/>
    <s v="OK"/>
  </r>
  <r>
    <s v="TXN10382"/>
    <d v="2025-11-15T00:00:00"/>
    <x v="23"/>
    <x v="0"/>
    <x v="2"/>
    <x v="12"/>
    <n v="4"/>
    <s v="OK"/>
    <n v="3461.92"/>
    <s v="OK"/>
    <n v="2580.02"/>
    <x v="0"/>
    <s v="OK"/>
  </r>
  <r>
    <s v="TXN10236"/>
    <d v="2025-11-16T00:00:00"/>
    <x v="21"/>
    <x v="2"/>
    <x v="2"/>
    <x v="12"/>
    <n v="2"/>
    <s v="OK"/>
    <m/>
    <s v="Missing Sales"/>
    <n v="726.9"/>
    <x v="3"/>
    <s v="Missing Data"/>
  </r>
  <r>
    <s v="TXN10469"/>
    <d v="2025-11-16T00:00:00"/>
    <x v="20"/>
    <x v="3"/>
    <x v="4"/>
    <x v="18"/>
    <n v="1"/>
    <s v="OK"/>
    <n v="2180.25"/>
    <s v="OK"/>
    <n v="1233.6400000000001"/>
    <x v="1"/>
    <s v="OK"/>
  </r>
  <r>
    <s v="TXN10630"/>
    <d v="2025-11-16T00:00:00"/>
    <x v="19"/>
    <x v="2"/>
    <x v="0"/>
    <x v="0"/>
    <n v="5"/>
    <s v="OK"/>
    <n v="312.89999999999998"/>
    <s v="OK"/>
    <n v="194.89"/>
    <x v="1"/>
    <s v="OK"/>
  </r>
  <r>
    <s v="TXN10149"/>
    <d v="2025-11-16T00:00:00"/>
    <x v="0"/>
    <x v="3"/>
    <x v="3"/>
    <x v="19"/>
    <n v="6"/>
    <s v="OK"/>
    <n v="2594.9699999999998"/>
    <s v="OK"/>
    <n v="1938.8"/>
    <x v="3"/>
    <s v="OK"/>
  </r>
  <r>
    <s v="TXN10736"/>
    <d v="2025-11-16T00:00:00"/>
    <x v="13"/>
    <x v="2"/>
    <x v="2"/>
    <x v="4"/>
    <n v="3"/>
    <s v="OK"/>
    <n v="3399"/>
    <s v="OK"/>
    <n v="2345.1799999999998"/>
    <x v="0"/>
    <s v="OK"/>
  </r>
  <r>
    <s v="TXN11117"/>
    <d v="2025-11-16T00:00:00"/>
    <x v="18"/>
    <x v="2"/>
    <x v="0"/>
    <x v="11"/>
    <n v="2"/>
    <s v="OK"/>
    <n v="2197.23"/>
    <s v="OK"/>
    <n v="1328.93"/>
    <x v="3"/>
    <s v="OK"/>
  </r>
  <r>
    <s v="TXN10017"/>
    <d v="2025-11-17T00:00:00"/>
    <x v="21"/>
    <x v="5"/>
    <x v="2"/>
    <x v="15"/>
    <n v="5"/>
    <s v="OK"/>
    <n v="5955.02"/>
    <s v="OK"/>
    <n v="4272.8999999999996"/>
    <x v="4"/>
    <s v="OK"/>
  </r>
  <r>
    <s v="TXN10685"/>
    <d v="2025-11-17T00:00:00"/>
    <x v="30"/>
    <x v="3"/>
    <x v="0"/>
    <x v="13"/>
    <n v="3"/>
    <s v="OK"/>
    <n v="470.37"/>
    <s v="OK"/>
    <n v="279.13"/>
    <x v="4"/>
    <s v="OK"/>
  </r>
  <r>
    <s v="TXN11019"/>
    <d v="2025-11-17T00:00:00"/>
    <x v="27"/>
    <x v="2"/>
    <x v="1"/>
    <x v="9"/>
    <n v="6"/>
    <s v="OK"/>
    <n v="15272.68"/>
    <s v="OK"/>
    <n v="9645.6200000000008"/>
    <x v="0"/>
    <s v="OK"/>
  </r>
  <r>
    <s v="TXN10662"/>
    <d v="2025-11-17T00:00:00"/>
    <x v="11"/>
    <x v="0"/>
    <x v="4"/>
    <x v="14"/>
    <n v="5"/>
    <s v="OK"/>
    <n v="1017.67"/>
    <s v="OK"/>
    <n v="888.24"/>
    <x v="2"/>
    <s v="OK"/>
  </r>
  <r>
    <s v="TXN10536"/>
    <d v="2025-11-17T00:00:00"/>
    <x v="7"/>
    <x v="4"/>
    <x v="3"/>
    <x v="19"/>
    <n v="0"/>
    <s v="Zero Quantity"/>
    <n v="4500.84"/>
    <s v="OK"/>
    <n v="3800.49"/>
    <x v="2"/>
    <s v="OK"/>
  </r>
  <r>
    <s v="TXN10369"/>
    <d v="2025-11-18T00:00:00"/>
    <x v="28"/>
    <x v="2"/>
    <x v="2"/>
    <x v="12"/>
    <n v="7"/>
    <s v="OK"/>
    <n v="3195.6"/>
    <s v="OK"/>
    <n v="2181.8000000000002"/>
    <x v="2"/>
    <s v="OK"/>
  </r>
  <r>
    <s v="TXN10092"/>
    <d v="2025-11-19T00:00:00"/>
    <x v="20"/>
    <x v="2"/>
    <x v="1"/>
    <x v="9"/>
    <n v="1"/>
    <s v="OK"/>
    <n v="3494.53"/>
    <s v="OK"/>
    <n v="2857.4"/>
    <x v="3"/>
    <s v="OK"/>
  </r>
  <r>
    <s v="TXN10059"/>
    <d v="2025-11-19T00:00:00"/>
    <x v="13"/>
    <x v="1"/>
    <x v="0"/>
    <x v="2"/>
    <n v="4"/>
    <s v="OK"/>
    <n v="1852.2"/>
    <s v="OK"/>
    <n v="1253.4100000000001"/>
    <x v="0"/>
    <s v="OK"/>
  </r>
  <r>
    <s v="TXN10603"/>
    <d v="2025-11-20T00:00:00"/>
    <x v="29"/>
    <x v="4"/>
    <x v="2"/>
    <x v="4"/>
    <n v="7"/>
    <s v="OK"/>
    <n v="3854.83"/>
    <s v="OK"/>
    <n v="2933.7"/>
    <x v="5"/>
    <s v="OK"/>
  </r>
  <r>
    <s v="TXN10595"/>
    <d v="2025-11-20T00:00:00"/>
    <x v="13"/>
    <x v="5"/>
    <x v="4"/>
    <x v="23"/>
    <n v="7"/>
    <s v="OK"/>
    <n v="3008.93"/>
    <s v="OK"/>
    <n v="1725.75"/>
    <x v="4"/>
    <s v="OK"/>
  </r>
  <r>
    <s v="TXN10174"/>
    <d v="2025-11-20T00:00:00"/>
    <x v="9"/>
    <x v="3"/>
    <x v="0"/>
    <x v="2"/>
    <n v="5"/>
    <s v="OK"/>
    <n v="2031.56"/>
    <s v="OK"/>
    <n v="1513.85"/>
    <x v="3"/>
    <s v="OK"/>
  </r>
  <r>
    <s v="TXN10461"/>
    <d v="2025-11-20T00:00:00"/>
    <x v="17"/>
    <x v="3"/>
    <x v="0"/>
    <x v="13"/>
    <n v="3"/>
    <s v="OK"/>
    <n v="920.85"/>
    <s v="OK"/>
    <n v="524.1"/>
    <x v="0"/>
    <s v="OK"/>
  </r>
  <r>
    <s v="TXN10646"/>
    <d v="2025-11-21T00:00:00"/>
    <x v="24"/>
    <x v="3"/>
    <x v="2"/>
    <x v="15"/>
    <n v="7"/>
    <s v="OK"/>
    <n v="757.24"/>
    <s v="OK"/>
    <n v="547.52"/>
    <x v="3"/>
    <s v="OK"/>
  </r>
  <r>
    <s v="TXN10371"/>
    <d v="2025-11-21T00:00:00"/>
    <x v="26"/>
    <x v="0"/>
    <x v="0"/>
    <x v="0"/>
    <n v="2"/>
    <s v="OK"/>
    <n v="913.39"/>
    <s v="OK"/>
    <n v="634.23"/>
    <x v="4"/>
    <s v="OK"/>
  </r>
  <r>
    <s v="TXN10576"/>
    <d v="2025-11-21T00:00:00"/>
    <x v="15"/>
    <x v="0"/>
    <x v="1"/>
    <x v="28"/>
    <n v="4"/>
    <s v="OK"/>
    <n v="12475.21"/>
    <s v="OK"/>
    <n v="7807.95"/>
    <x v="3"/>
    <s v="OK"/>
  </r>
  <r>
    <s v="TXN10916"/>
    <d v="2025-11-22T00:00:00"/>
    <x v="17"/>
    <x v="5"/>
    <x v="2"/>
    <x v="8"/>
    <n v="8"/>
    <s v="OK"/>
    <n v="751.27"/>
    <s v="OK"/>
    <n v="450.04"/>
    <x v="4"/>
    <s v="OK"/>
  </r>
  <r>
    <s v="TXN10977"/>
    <d v="2025-11-22T00:00:00"/>
    <x v="13"/>
    <x v="0"/>
    <x v="2"/>
    <x v="4"/>
    <n v="7"/>
    <s v="OK"/>
    <n v="6976.98"/>
    <s v="OK"/>
    <n v="5423.74"/>
    <x v="0"/>
    <s v="OK"/>
  </r>
  <r>
    <s v="TXN10749"/>
    <d v="2025-11-23T00:00:00"/>
    <x v="4"/>
    <x v="3"/>
    <x v="0"/>
    <x v="11"/>
    <n v="3"/>
    <s v="OK"/>
    <n v="684.97"/>
    <s v="OK"/>
    <n v="542.73"/>
    <x v="3"/>
    <s v="OK"/>
  </r>
  <r>
    <s v="TXN10698"/>
    <d v="2025-11-24T00:00:00"/>
    <x v="28"/>
    <x v="3"/>
    <x v="3"/>
    <x v="24"/>
    <n v="4"/>
    <s v="OK"/>
    <n v="4295.09"/>
    <s v="OK"/>
    <n v="2722.91"/>
    <x v="1"/>
    <s v="OK"/>
  </r>
  <r>
    <s v="TXN10334"/>
    <d v="2025-11-24T00:00:00"/>
    <x v="18"/>
    <x v="3"/>
    <x v="0"/>
    <x v="0"/>
    <n v="6"/>
    <s v="OK"/>
    <n v="1573.03"/>
    <s v="OK"/>
    <n v="1182.5"/>
    <x v="2"/>
    <s v="OK"/>
  </r>
  <r>
    <s v="TXN11211"/>
    <d v="2025-11-25T00:00:00"/>
    <x v="10"/>
    <x v="5"/>
    <x v="4"/>
    <x v="6"/>
    <n v="4"/>
    <s v="OK"/>
    <n v="3465.99"/>
    <s v="OK"/>
    <n v="2146.46"/>
    <x v="1"/>
    <s v="OK"/>
  </r>
  <r>
    <s v="TXN10718"/>
    <d v="2025-11-26T00:00:00"/>
    <x v="15"/>
    <x v="2"/>
    <x v="4"/>
    <x v="29"/>
    <n v="8"/>
    <s v="OK"/>
    <n v="1779.27"/>
    <s v="OK"/>
    <n v="1534.9"/>
    <x v="4"/>
    <s v="OK"/>
  </r>
  <r>
    <s v="TXN10885"/>
    <d v="2025-11-26T00:00:00"/>
    <x v="28"/>
    <x v="0"/>
    <x v="2"/>
    <x v="16"/>
    <n v="1"/>
    <s v="OK"/>
    <n v="6760.99"/>
    <s v="OK"/>
    <n v="4802.5200000000004"/>
    <x v="1"/>
    <s v="OK"/>
  </r>
  <r>
    <s v="TXN10763"/>
    <d v="2025-11-26T00:00:00"/>
    <x v="26"/>
    <x v="2"/>
    <x v="3"/>
    <x v="21"/>
    <n v="2"/>
    <s v="OK"/>
    <n v="5519.35"/>
    <s v="OK"/>
    <n v="4338.66"/>
    <x v="1"/>
    <s v="OK"/>
  </r>
  <r>
    <s v="TXN10272"/>
    <d v="2025-11-27T00:00:00"/>
    <x v="2"/>
    <x v="5"/>
    <x v="3"/>
    <x v="5"/>
    <n v="7"/>
    <s v="OK"/>
    <n v="2559.54"/>
    <s v="OK"/>
    <n v="2160.61"/>
    <x v="0"/>
    <s v="OK"/>
  </r>
  <r>
    <s v="TXN10178"/>
    <d v="2025-11-27T00:00:00"/>
    <x v="15"/>
    <x v="0"/>
    <x v="1"/>
    <x v="9"/>
    <n v="3"/>
    <s v="OK"/>
    <n v="1569.33"/>
    <s v="OK"/>
    <n v="1229.5899999999999"/>
    <x v="0"/>
    <s v="OK"/>
  </r>
  <r>
    <s v="TXN10535"/>
    <d v="2025-11-27T00:00:00"/>
    <x v="27"/>
    <x v="4"/>
    <x v="1"/>
    <x v="20"/>
    <n v="2"/>
    <s v="OK"/>
    <n v="15294.66"/>
    <s v="OK"/>
    <n v="12746.2"/>
    <x v="4"/>
    <s v="OK"/>
  </r>
  <r>
    <s v="TXN10882"/>
    <d v="2025-11-27T00:00:00"/>
    <x v="13"/>
    <x v="2"/>
    <x v="4"/>
    <x v="14"/>
    <n v="3"/>
    <s v="OK"/>
    <n v="1083.45"/>
    <s v="OK"/>
    <n v="810.86"/>
    <x v="0"/>
    <s v="OK"/>
  </r>
  <r>
    <s v="TXN10832"/>
    <d v="2025-11-27T00:00:00"/>
    <x v="2"/>
    <x v="5"/>
    <x v="0"/>
    <x v="11"/>
    <n v="4"/>
    <s v="OK"/>
    <n v="265.42"/>
    <s v="OK"/>
    <n v="212.96"/>
    <x v="0"/>
    <s v="OK"/>
  </r>
  <r>
    <s v="TXN10338"/>
    <d v="2025-11-27T00:00:00"/>
    <x v="29"/>
    <x v="2"/>
    <x v="2"/>
    <x v="8"/>
    <n v="3"/>
    <s v="OK"/>
    <n v="4062.42"/>
    <s v="OK"/>
    <n v="2890.74"/>
    <x v="4"/>
    <s v="OK"/>
  </r>
  <r>
    <s v="TXN10171"/>
    <d v="2025-11-27T00:00:00"/>
    <x v="23"/>
    <x v="0"/>
    <x v="4"/>
    <x v="29"/>
    <n v="3"/>
    <s v="OK"/>
    <n v="1017.87"/>
    <s v="OK"/>
    <n v="609.02"/>
    <x v="4"/>
    <s v="OK"/>
  </r>
  <r>
    <s v="TXN10799"/>
    <d v="2025-11-28T00:00:00"/>
    <x v="0"/>
    <x v="0"/>
    <x v="4"/>
    <x v="26"/>
    <n v="2"/>
    <s v="OK"/>
    <n v="301.77"/>
    <s v="OK"/>
    <n v="232.6"/>
    <x v="4"/>
    <s v="OK"/>
  </r>
  <r>
    <s v="TXN10180"/>
    <d v="2025-11-28T00:00:00"/>
    <x v="12"/>
    <x v="4"/>
    <x v="1"/>
    <x v="27"/>
    <n v="6"/>
    <s v="OK"/>
    <n v="2027.09"/>
    <s v="OK"/>
    <n v="1178.1199999999999"/>
    <x v="0"/>
    <s v="OK"/>
  </r>
  <r>
    <s v="TXN10098"/>
    <d v="2025-11-28T00:00:00"/>
    <x v="2"/>
    <x v="3"/>
    <x v="2"/>
    <x v="16"/>
    <n v="3"/>
    <s v="OK"/>
    <n v="6395.52"/>
    <s v="OK"/>
    <n v="5262.16"/>
    <x v="1"/>
    <s v="OK"/>
  </r>
  <r>
    <s v="TXN11147"/>
    <d v="2025-11-29T00:00:00"/>
    <x v="29"/>
    <x v="3"/>
    <x v="1"/>
    <x v="9"/>
    <n v="6"/>
    <s v="OK"/>
    <n v="11047.01"/>
    <s v="OK"/>
    <n v="9611.01"/>
    <x v="0"/>
    <s v="OK"/>
  </r>
  <r>
    <s v="TXN10300"/>
    <d v="2025-11-29T00:00:00"/>
    <x v="30"/>
    <x v="3"/>
    <x v="1"/>
    <x v="27"/>
    <n v="1"/>
    <s v="OK"/>
    <n v="2498.86"/>
    <s v="OK"/>
    <n v="1687.12"/>
    <x v="2"/>
    <s v="OK"/>
  </r>
  <r>
    <s v="TXN10361"/>
    <d v="2025-11-29T00:00:00"/>
    <x v="21"/>
    <x v="4"/>
    <x v="1"/>
    <x v="9"/>
    <n v="3"/>
    <s v="OK"/>
    <n v="8425.7000000000007"/>
    <s v="OK"/>
    <n v="6642.84"/>
    <x v="4"/>
    <s v="OK"/>
  </r>
  <r>
    <s v="TXN10502"/>
    <d v="2025-11-29T00:00:00"/>
    <x v="12"/>
    <x v="0"/>
    <x v="3"/>
    <x v="5"/>
    <n v="3"/>
    <s v="OK"/>
    <n v="3271.41"/>
    <s v="OK"/>
    <n v="2548.83"/>
    <x v="3"/>
    <s v="OK"/>
  </r>
  <r>
    <s v="TXN10609"/>
    <d v="2025-11-29T00:00:00"/>
    <x v="28"/>
    <x v="3"/>
    <x v="4"/>
    <x v="14"/>
    <n v="5"/>
    <s v="OK"/>
    <n v="-1326.29"/>
    <s v="Negative Sales"/>
    <n v="1323.94"/>
    <x v="4"/>
    <s v="Sales &lt; Cost"/>
  </r>
  <r>
    <s v="TXN10255"/>
    <d v="2025-11-30T00:00:00"/>
    <x v="5"/>
    <x v="0"/>
    <x v="1"/>
    <x v="22"/>
    <n v="4"/>
    <s v="OK"/>
    <n v="10051.1"/>
    <s v="OK"/>
    <n v="7926.59"/>
    <x v="1"/>
    <s v="OK"/>
  </r>
  <r>
    <s v="TXN11145"/>
    <d v="2025-11-30T00:00:00"/>
    <x v="28"/>
    <x v="3"/>
    <x v="3"/>
    <x v="5"/>
    <n v="1"/>
    <s v="OK"/>
    <n v="2492.2399999999998"/>
    <s v="OK"/>
    <n v="2074.86"/>
    <x v="1"/>
    <s v="OK"/>
  </r>
  <r>
    <s v="TXN11055"/>
    <d v="2025-12-01T00:00:00"/>
    <x v="20"/>
    <x v="4"/>
    <x v="1"/>
    <x v="28"/>
    <n v="3"/>
    <s v="OK"/>
    <n v="15699.47"/>
    <s v="OK"/>
    <n v="9813.75"/>
    <x v="4"/>
    <s v="OK"/>
  </r>
  <r>
    <s v="TXN10596"/>
    <d v="2025-12-01T00:00:00"/>
    <x v="5"/>
    <x v="5"/>
    <x v="4"/>
    <x v="14"/>
    <n v="5"/>
    <s v="OK"/>
    <n v="2558.91"/>
    <s v="OK"/>
    <n v="1918.61"/>
    <x v="0"/>
    <s v="OK"/>
  </r>
  <r>
    <s v="TXN10340"/>
    <d v="2025-12-01T00:00:00"/>
    <x v="22"/>
    <x v="2"/>
    <x v="2"/>
    <x v="3"/>
    <n v="8"/>
    <s v="OK"/>
    <n v="3100.29"/>
    <s v="OK"/>
    <n v="2208.2399999999998"/>
    <x v="0"/>
    <s v="OK"/>
  </r>
  <r>
    <s v="TXN10011"/>
    <d v="2025-12-02T00:00:00"/>
    <x v="23"/>
    <x v="4"/>
    <x v="4"/>
    <x v="26"/>
    <n v="8"/>
    <s v="OK"/>
    <n v="1535.8"/>
    <s v="OK"/>
    <n v="1308.2"/>
    <x v="0"/>
    <s v="OK"/>
  </r>
  <r>
    <s v="TXN10436"/>
    <d v="2025-12-02T00:00:00"/>
    <x v="7"/>
    <x v="2"/>
    <x v="4"/>
    <x v="23"/>
    <n v="8"/>
    <s v="OK"/>
    <n v="2109.08"/>
    <s v="OK"/>
    <n v="1489.23"/>
    <x v="4"/>
    <s v="OK"/>
  </r>
  <r>
    <s v="TXN10138"/>
    <d v="2025-12-02T00:00:00"/>
    <x v="2"/>
    <x v="4"/>
    <x v="3"/>
    <x v="17"/>
    <n v="2"/>
    <s v="OK"/>
    <n v="5085.3100000000004"/>
    <s v="OK"/>
    <n v="3830.08"/>
    <x v="3"/>
    <s v="OK"/>
  </r>
  <r>
    <s v="TXN10600"/>
    <d v="2025-12-02T00:00:00"/>
    <x v="18"/>
    <x v="4"/>
    <x v="3"/>
    <x v="24"/>
    <n v="7"/>
    <s v="OK"/>
    <n v="2201.54"/>
    <s v="OK"/>
    <n v="1390.58"/>
    <x v="3"/>
    <s v="OK"/>
  </r>
  <r>
    <s v="TXN10491"/>
    <d v="2025-12-02T00:00:00"/>
    <x v="7"/>
    <x v="4"/>
    <x v="2"/>
    <x v="16"/>
    <n v="8"/>
    <s v="OK"/>
    <n v="6672.34"/>
    <s v="OK"/>
    <n v="4469.82"/>
    <x v="1"/>
    <s v="OK"/>
  </r>
  <r>
    <s v="TXN10636"/>
    <d v="2025-12-03T00:00:00"/>
    <x v="26"/>
    <x v="2"/>
    <x v="2"/>
    <x v="12"/>
    <n v="3"/>
    <s v="OK"/>
    <n v="3923.74"/>
    <s v="OK"/>
    <n v="2934.85"/>
    <x v="3"/>
    <s v="OK"/>
  </r>
  <r>
    <s v="TXN10923"/>
    <d v="2025-12-03T00:00:00"/>
    <x v="9"/>
    <x v="3"/>
    <x v="4"/>
    <x v="18"/>
    <n v="1"/>
    <s v="OK"/>
    <n v="1320.64"/>
    <s v="OK"/>
    <n v="745.46"/>
    <x v="2"/>
    <s v="OK"/>
  </r>
  <r>
    <s v="TXN11158"/>
    <d v="2025-12-04T00:00:00"/>
    <x v="30"/>
    <x v="3"/>
    <x v="2"/>
    <x v="12"/>
    <n v="8"/>
    <s v="OK"/>
    <n v="1323.04"/>
    <s v="OK"/>
    <n v="941.8"/>
    <x v="3"/>
    <s v="OK"/>
  </r>
  <r>
    <s v="TXN11072"/>
    <d v="2025-12-04T00:00:00"/>
    <x v="24"/>
    <x v="2"/>
    <x v="0"/>
    <x v="2"/>
    <n v="3"/>
    <s v="OK"/>
    <n v="1806.6"/>
    <s v="OK"/>
    <n v="1050.5899999999999"/>
    <x v="1"/>
    <s v="OK"/>
  </r>
  <r>
    <s v="TXN11024"/>
    <d v="2025-12-04T00:00:00"/>
    <x v="17"/>
    <x v="2"/>
    <x v="3"/>
    <x v="21"/>
    <n v="1"/>
    <s v="OK"/>
    <n v="2993.76"/>
    <s v="OK"/>
    <n v="2105.1799999999998"/>
    <x v="0"/>
    <s v="OK"/>
  </r>
  <r>
    <s v="TXN10422"/>
    <d v="2025-12-05T00:00:00"/>
    <x v="24"/>
    <x v="3"/>
    <x v="2"/>
    <x v="12"/>
    <n v="5"/>
    <s v="OK"/>
    <n v="2362.84"/>
    <s v="OK"/>
    <n v="1374.35"/>
    <x v="0"/>
    <s v="OK"/>
  </r>
  <r>
    <s v="TXN11177"/>
    <d v="2025-12-05T00:00:00"/>
    <x v="14"/>
    <x v="4"/>
    <x v="4"/>
    <x v="26"/>
    <n v="1"/>
    <s v="OK"/>
    <n v="2223.96"/>
    <s v="OK"/>
    <n v="1931.14"/>
    <x v="2"/>
    <s v="OK"/>
  </r>
  <r>
    <s v="TXN11198"/>
    <d v="2025-12-05T00:00:00"/>
    <x v="29"/>
    <x v="3"/>
    <x v="1"/>
    <x v="22"/>
    <n v="6"/>
    <s v="OK"/>
    <n v="4524.82"/>
    <s v="OK"/>
    <n v="3193.52"/>
    <x v="2"/>
    <s v="OK"/>
  </r>
  <r>
    <s v="TXN10057"/>
    <d v="2025-12-06T00:00:00"/>
    <x v="12"/>
    <x v="3"/>
    <x v="4"/>
    <x v="18"/>
    <n v="6"/>
    <s v="OK"/>
    <n v="553.51"/>
    <s v="OK"/>
    <n v="478.32"/>
    <x v="4"/>
    <s v="OK"/>
  </r>
  <r>
    <s v="TXN10616"/>
    <d v="2025-12-07T00:00:00"/>
    <x v="23"/>
    <x v="2"/>
    <x v="1"/>
    <x v="9"/>
    <n v="4"/>
    <s v="OK"/>
    <n v="8985.32"/>
    <s v="OK"/>
    <n v="6962.51"/>
    <x v="3"/>
    <s v="OK"/>
  </r>
  <r>
    <s v="TXN10054"/>
    <d v="2025-12-07T00:00:00"/>
    <x v="26"/>
    <x v="5"/>
    <x v="3"/>
    <x v="17"/>
    <n v="7"/>
    <s v="OK"/>
    <n v="4225.25"/>
    <s v="OK"/>
    <n v="3582.7"/>
    <x v="2"/>
    <s v="OK"/>
  </r>
  <r>
    <s v="TXN10961"/>
    <d v="2025-12-07T00:00:00"/>
    <x v="14"/>
    <x v="2"/>
    <x v="4"/>
    <x v="29"/>
    <n v="4"/>
    <s v="OK"/>
    <n v="742.74"/>
    <s v="OK"/>
    <n v="593.19000000000005"/>
    <x v="0"/>
    <s v="OK"/>
  </r>
  <r>
    <s v="TXN11188"/>
    <d v="2025-12-07T00:00:00"/>
    <x v="29"/>
    <x v="3"/>
    <x v="3"/>
    <x v="17"/>
    <n v="5"/>
    <s v="OK"/>
    <n v="1153.3599999999999"/>
    <s v="OK"/>
    <n v="820.49"/>
    <x v="0"/>
    <s v="OK"/>
  </r>
  <r>
    <s v="TXN10635"/>
    <d v="2025-12-07T00:00:00"/>
    <x v="1"/>
    <x v="3"/>
    <x v="0"/>
    <x v="11"/>
    <n v="7"/>
    <s v="OK"/>
    <n v="2230.5"/>
    <s v="OK"/>
    <n v="1349.56"/>
    <x v="4"/>
    <s v="OK"/>
  </r>
  <r>
    <s v="TXN10263"/>
    <d v="2025-12-08T00:00:00"/>
    <x v="6"/>
    <x v="0"/>
    <x v="3"/>
    <x v="24"/>
    <n v="2"/>
    <s v="OK"/>
    <n v="3059.67"/>
    <s v="OK"/>
    <n v="1844.08"/>
    <x v="2"/>
    <s v="OK"/>
  </r>
  <r>
    <s v="TXN10038"/>
    <d v="2025-12-08T00:00:00"/>
    <x v="8"/>
    <x v="3"/>
    <x v="2"/>
    <x v="15"/>
    <n v="5"/>
    <s v="OK"/>
    <n v="6549.59"/>
    <s v="OK"/>
    <n v="3826.16"/>
    <x v="4"/>
    <s v="OK"/>
  </r>
  <r>
    <s v="TXN11083"/>
    <d v="2025-12-09T00:00:00"/>
    <x v="11"/>
    <x v="0"/>
    <x v="3"/>
    <x v="5"/>
    <n v="2"/>
    <s v="OK"/>
    <n v="1713.12"/>
    <s v="OK"/>
    <n v="1441"/>
    <x v="4"/>
    <s v="OK"/>
  </r>
  <r>
    <s v="TXN10024"/>
    <d v="2025-12-09T00:00:00"/>
    <x v="25"/>
    <x v="4"/>
    <x v="3"/>
    <x v="19"/>
    <n v="8"/>
    <s v="OK"/>
    <n v="1678.3"/>
    <s v="OK"/>
    <n v="996.34"/>
    <x v="2"/>
    <s v="OK"/>
  </r>
  <r>
    <s v="TXN10531"/>
    <d v="2025-12-10T00:00:00"/>
    <x v="27"/>
    <x v="0"/>
    <x v="4"/>
    <x v="26"/>
    <n v="4"/>
    <s v="OK"/>
    <n v="575.15"/>
    <s v="OK"/>
    <n v="433.92"/>
    <x v="4"/>
    <s v="OK"/>
  </r>
  <r>
    <s v="TXN10673"/>
    <d v="2025-12-10T00:00:00"/>
    <x v="10"/>
    <x v="0"/>
    <x v="0"/>
    <x v="7"/>
    <n v="4"/>
    <s v="OK"/>
    <n v="1942.89"/>
    <s v="OK"/>
    <n v="1110.99"/>
    <x v="0"/>
    <s v="OK"/>
  </r>
  <r>
    <s v="TXN10475"/>
    <d v="2025-12-10T00:00:00"/>
    <x v="5"/>
    <x v="5"/>
    <x v="1"/>
    <x v="22"/>
    <n v="2"/>
    <s v="OK"/>
    <n v="16407.650000000001"/>
    <s v="OK"/>
    <n v="13546.59"/>
    <x v="0"/>
    <s v="OK"/>
  </r>
  <r>
    <s v="TXN10008"/>
    <d v="2025-12-10T00:00:00"/>
    <x v="29"/>
    <x v="0"/>
    <x v="4"/>
    <x v="26"/>
    <n v="5"/>
    <s v="OK"/>
    <n v="2530.92"/>
    <s v="OK"/>
    <n v="1962.91"/>
    <x v="1"/>
    <s v="OK"/>
  </r>
  <r>
    <s v="TXN11149"/>
    <d v="2025-12-10T00:00:00"/>
    <x v="6"/>
    <x v="3"/>
    <x v="0"/>
    <x v="11"/>
    <n v="2"/>
    <s v="OK"/>
    <n v="1988.78"/>
    <s v="OK"/>
    <n v="1661.46"/>
    <x v="0"/>
    <s v="OK"/>
  </r>
  <r>
    <s v="TXN10734"/>
    <d v="2025-12-10T00:00:00"/>
    <x v="22"/>
    <x v="2"/>
    <x v="3"/>
    <x v="19"/>
    <n v="3"/>
    <s v="OK"/>
    <n v="1238.53"/>
    <s v="OK"/>
    <n v="710.52"/>
    <x v="1"/>
    <s v="OK"/>
  </r>
  <r>
    <s v="TXN10415"/>
    <d v="2025-12-10T00:00:00"/>
    <x v="29"/>
    <x v="3"/>
    <x v="1"/>
    <x v="27"/>
    <n v="6"/>
    <s v="OK"/>
    <n v="8537.3700000000008"/>
    <s v="OK"/>
    <n v="5442.75"/>
    <x v="4"/>
    <s v="OK"/>
  </r>
  <r>
    <s v="TXN10893"/>
    <d v="2025-12-10T00:00:00"/>
    <x v="16"/>
    <x v="3"/>
    <x v="1"/>
    <x v="27"/>
    <n v="0"/>
    <s v="Zero Quantity"/>
    <n v="5226.01"/>
    <s v="OK"/>
    <n v="3537.74"/>
    <x v="3"/>
    <s v="OK"/>
  </r>
  <r>
    <s v="TXN10336"/>
    <d v="2025-12-11T00:00:00"/>
    <x v="10"/>
    <x v="4"/>
    <x v="2"/>
    <x v="15"/>
    <n v="3"/>
    <s v="OK"/>
    <n v="2467.0300000000002"/>
    <s v="OK"/>
    <n v="1551.09"/>
    <x v="1"/>
    <s v="OK"/>
  </r>
  <r>
    <s v="TXN10950"/>
    <d v="2025-12-11T00:00:00"/>
    <x v="0"/>
    <x v="0"/>
    <x v="0"/>
    <x v="2"/>
    <n v="6"/>
    <s v="OK"/>
    <n v="2030.74"/>
    <s v="OK"/>
    <n v="1652.86"/>
    <x v="4"/>
    <s v="OK"/>
  </r>
  <r>
    <s v="TXN10526"/>
    <d v="2025-12-13T00:00:00"/>
    <x v="30"/>
    <x v="3"/>
    <x v="3"/>
    <x v="19"/>
    <n v="6"/>
    <s v="OK"/>
    <n v="5765.65"/>
    <s v="OK"/>
    <n v="3192.32"/>
    <x v="2"/>
    <s v="OK"/>
  </r>
  <r>
    <s v="TXN10921"/>
    <d v="2025-12-13T00:00:00"/>
    <x v="10"/>
    <x v="3"/>
    <x v="3"/>
    <x v="17"/>
    <n v="2"/>
    <s v="OK"/>
    <n v="5380.52"/>
    <s v="OK"/>
    <n v="3005.38"/>
    <x v="1"/>
    <s v="OK"/>
  </r>
  <r>
    <s v="TXN10430"/>
    <d v="2025-12-13T00:00:00"/>
    <x v="21"/>
    <x v="4"/>
    <x v="2"/>
    <x v="3"/>
    <n v="3"/>
    <s v="OK"/>
    <n v="1193.8599999999999"/>
    <s v="OK"/>
    <n v="954.94"/>
    <x v="4"/>
    <s v="OK"/>
  </r>
  <r>
    <s v="TXN10212"/>
    <d v="2025-12-14T00:00:00"/>
    <x v="3"/>
    <x v="3"/>
    <x v="2"/>
    <x v="16"/>
    <n v="8"/>
    <s v="OK"/>
    <n v="6662.24"/>
    <s v="OK"/>
    <n v="4482.12"/>
    <x v="1"/>
    <s v="OK"/>
  </r>
  <r>
    <s v="TXN11169"/>
    <d v="2025-12-14T00:00:00"/>
    <x v="5"/>
    <x v="2"/>
    <x v="3"/>
    <x v="19"/>
    <n v="7"/>
    <s v="OK"/>
    <n v="3122.74"/>
    <s v="OK"/>
    <n v="1848.97"/>
    <x v="1"/>
    <s v="OK"/>
  </r>
  <r>
    <s v="TXN10347"/>
    <d v="2025-12-14T00:00:00"/>
    <x v="30"/>
    <x v="4"/>
    <x v="4"/>
    <x v="18"/>
    <n v="2"/>
    <s v="OK"/>
    <n v="690.66"/>
    <s v="OK"/>
    <n v="550.82000000000005"/>
    <x v="0"/>
    <s v="OK"/>
  </r>
  <r>
    <s v="TXN10752"/>
    <d v="2025-12-14T00:00:00"/>
    <x v="11"/>
    <x v="0"/>
    <x v="0"/>
    <x v="2"/>
    <n v="6"/>
    <s v="OK"/>
    <n v="2412.0500000000002"/>
    <s v="OK"/>
    <n v="1870.18"/>
    <x v="1"/>
    <s v="OK"/>
  </r>
  <r>
    <s v="TXN10281"/>
    <d v="2025-12-14T00:00:00"/>
    <x v="3"/>
    <x v="3"/>
    <x v="3"/>
    <x v="5"/>
    <n v="7"/>
    <s v="OK"/>
    <n v="3557.18"/>
    <s v="OK"/>
    <n v="2011.48"/>
    <x v="3"/>
    <s v="OK"/>
  </r>
  <r>
    <s v="TXN11146"/>
    <d v="2025-12-14T00:00:00"/>
    <x v="12"/>
    <x v="5"/>
    <x v="0"/>
    <x v="2"/>
    <n v="3"/>
    <s v="OK"/>
    <n v="2329.77"/>
    <s v="OK"/>
    <n v="1355.22"/>
    <x v="0"/>
    <s v="OK"/>
  </r>
  <r>
    <s v="TXN10069"/>
    <d v="2025-12-14T00:00:00"/>
    <x v="11"/>
    <x v="2"/>
    <x v="4"/>
    <x v="29"/>
    <n v="7"/>
    <s v="OK"/>
    <n v="2603.59"/>
    <s v="OK"/>
    <n v="2154.12"/>
    <x v="4"/>
    <s v="OK"/>
  </r>
  <r>
    <s v="TXN10575"/>
    <d v="2025-12-15T00:00:00"/>
    <x v="27"/>
    <x v="5"/>
    <x v="4"/>
    <x v="23"/>
    <n v="8"/>
    <s v="OK"/>
    <n v="3163.7"/>
    <s v="OK"/>
    <n v="2640.01"/>
    <x v="0"/>
    <s v="OK"/>
  </r>
  <r>
    <s v="TXN10173"/>
    <d v="2025-12-15T00:00:00"/>
    <x v="17"/>
    <x v="4"/>
    <x v="2"/>
    <x v="4"/>
    <m/>
    <s v="Blank"/>
    <n v="6104.03"/>
    <s v="OK"/>
    <n v="4620.6400000000003"/>
    <x v="4"/>
    <s v="OK"/>
  </r>
  <r>
    <s v="TXN11009"/>
    <d v="2025-12-15T00:00:00"/>
    <x v="11"/>
    <x v="5"/>
    <x v="1"/>
    <x v="1"/>
    <n v="6"/>
    <s v="OK"/>
    <n v="4174.8500000000004"/>
    <s v="OK"/>
    <n v="3420.76"/>
    <x v="3"/>
    <s v="OK"/>
  </r>
  <r>
    <s v="TXN10268"/>
    <d v="2025-12-15T00:00:00"/>
    <x v="13"/>
    <x v="4"/>
    <x v="0"/>
    <x v="10"/>
    <n v="4"/>
    <s v="OK"/>
    <n v="1848.91"/>
    <s v="OK"/>
    <n v="1315.15"/>
    <x v="2"/>
    <s v="OK"/>
  </r>
  <r>
    <s v="TXN10015"/>
    <d v="2025-12-15T00:00:00"/>
    <x v="21"/>
    <x v="0"/>
    <x v="2"/>
    <x v="15"/>
    <n v="2"/>
    <s v="OK"/>
    <n v="4899.29"/>
    <s v="OK"/>
    <n v="3562.76"/>
    <x v="3"/>
    <s v="OK"/>
  </r>
  <r>
    <s v="TXN10266"/>
    <d v="2025-12-15T00:00:00"/>
    <x v="17"/>
    <x v="4"/>
    <x v="3"/>
    <x v="25"/>
    <n v="2"/>
    <s v="OK"/>
    <n v="3390.29"/>
    <s v="OK"/>
    <n v="2455.58"/>
    <x v="3"/>
    <s v="OK"/>
  </r>
  <r>
    <s v="TXN10505"/>
    <d v="2025-12-16T00:00:00"/>
    <x v="23"/>
    <x v="0"/>
    <x v="3"/>
    <x v="19"/>
    <n v="5"/>
    <s v="OK"/>
    <n v="1305.3599999999999"/>
    <s v="OK"/>
    <n v="744.67"/>
    <x v="3"/>
    <s v="OK"/>
  </r>
  <r>
    <s v="TXN10273"/>
    <d v="2025-12-16T00:00:00"/>
    <x v="13"/>
    <x v="2"/>
    <x v="0"/>
    <x v="10"/>
    <n v="3"/>
    <s v="OK"/>
    <n v="1703.13"/>
    <s v="OK"/>
    <n v="1132.18"/>
    <x v="4"/>
    <s v="OK"/>
  </r>
  <r>
    <s v="TXN10216"/>
    <d v="2025-12-16T00:00:00"/>
    <x v="9"/>
    <x v="5"/>
    <x v="0"/>
    <x v="10"/>
    <n v="6"/>
    <s v="OK"/>
    <n v="1736.03"/>
    <s v="OK"/>
    <n v="1361.31"/>
    <x v="2"/>
    <s v="OK"/>
  </r>
  <r>
    <s v="TXN10044"/>
    <d v="2025-12-16T00:00:00"/>
    <x v="7"/>
    <x v="3"/>
    <x v="4"/>
    <x v="26"/>
    <n v="4"/>
    <s v="OK"/>
    <n v="2417.5300000000002"/>
    <s v="OK"/>
    <n v="1611.8"/>
    <x v="2"/>
    <s v="OK"/>
  </r>
  <r>
    <s v="TXN11121"/>
    <d v="2025-12-16T00:00:00"/>
    <x v="8"/>
    <x v="2"/>
    <x v="4"/>
    <x v="14"/>
    <n v="6"/>
    <s v="OK"/>
    <n v="3498.2"/>
    <s v="OK"/>
    <n v="2866.98"/>
    <x v="3"/>
    <s v="OK"/>
  </r>
  <r>
    <s v="TXN10353"/>
    <d v="2025-12-16T00:00:00"/>
    <x v="0"/>
    <x v="4"/>
    <x v="0"/>
    <x v="13"/>
    <n v="1"/>
    <s v="OK"/>
    <n v="305.67"/>
    <s v="OK"/>
    <n v="231.28"/>
    <x v="0"/>
    <s v="OK"/>
  </r>
  <r>
    <s v="TXN10751"/>
    <d v="2025-12-16T00:00:00"/>
    <x v="24"/>
    <x v="4"/>
    <x v="3"/>
    <x v="17"/>
    <n v="7"/>
    <s v="OK"/>
    <n v="3110.24"/>
    <s v="OK"/>
    <n v="1859.61"/>
    <x v="0"/>
    <s v="OK"/>
  </r>
  <r>
    <s v="TXN11068"/>
    <d v="2025-12-17T00:00:00"/>
    <x v="3"/>
    <x v="5"/>
    <x v="2"/>
    <x v="8"/>
    <n v="8"/>
    <s v="OK"/>
    <n v="2217.91"/>
    <s v="OK"/>
    <n v="1225.3"/>
    <x v="4"/>
    <s v="OK"/>
  </r>
  <r>
    <s v="TXN10439"/>
    <d v="2025-12-17T00:00:00"/>
    <x v="30"/>
    <x v="0"/>
    <x v="0"/>
    <x v="11"/>
    <n v="2"/>
    <s v="OK"/>
    <n v="2436.7399999999998"/>
    <s v="OK"/>
    <n v="1523.51"/>
    <x v="3"/>
    <s v="OK"/>
  </r>
  <r>
    <s v="TXN10703"/>
    <d v="2025-12-17T00:00:00"/>
    <x v="26"/>
    <x v="3"/>
    <x v="3"/>
    <x v="21"/>
    <n v="6"/>
    <s v="OK"/>
    <n v="4897.4399999999996"/>
    <s v="OK"/>
    <n v="4128.79"/>
    <x v="3"/>
    <s v="OK"/>
  </r>
  <r>
    <s v="TXN10756"/>
    <d v="2025-12-17T00:00:00"/>
    <x v="2"/>
    <x v="3"/>
    <x v="2"/>
    <x v="15"/>
    <n v="8"/>
    <s v="OK"/>
    <n v="2720.01"/>
    <s v="OK"/>
    <n v="2146.9899999999998"/>
    <x v="3"/>
    <s v="OK"/>
  </r>
  <r>
    <s v="TXN10524"/>
    <d v="2025-12-18T00:00:00"/>
    <x v="1"/>
    <x v="4"/>
    <x v="1"/>
    <x v="1"/>
    <n v="5"/>
    <s v="OK"/>
    <n v="11272.28"/>
    <s v="OK"/>
    <n v="7246.96"/>
    <x v="0"/>
    <s v="OK"/>
  </r>
  <r>
    <s v="TXN11059"/>
    <d v="2025-12-18T00:00:00"/>
    <x v="5"/>
    <x v="5"/>
    <x v="0"/>
    <x v="2"/>
    <n v="7"/>
    <s v="OK"/>
    <n v="1954.54"/>
    <s v="OK"/>
    <n v="1520.38"/>
    <x v="3"/>
    <s v="OK"/>
  </r>
  <r>
    <s v="TXN10930"/>
    <d v="2025-12-18T00:00:00"/>
    <x v="5"/>
    <x v="2"/>
    <x v="3"/>
    <x v="5"/>
    <n v="3"/>
    <s v="OK"/>
    <n v="5618.67"/>
    <s v="OK"/>
    <n v="4067.93"/>
    <x v="2"/>
    <s v="OK"/>
  </r>
  <r>
    <s v="TXN11138"/>
    <d v="2025-12-19T00:00:00"/>
    <x v="8"/>
    <x v="0"/>
    <x v="4"/>
    <x v="18"/>
    <n v="2"/>
    <s v="OK"/>
    <n v="1138.72"/>
    <s v="OK"/>
    <n v="944.83"/>
    <x v="2"/>
    <s v="OK"/>
  </r>
  <r>
    <s v="TXN11107"/>
    <d v="2025-12-19T00:00:00"/>
    <x v="21"/>
    <x v="3"/>
    <x v="0"/>
    <x v="11"/>
    <n v="6"/>
    <s v="OK"/>
    <n v="1801.85"/>
    <s v="OK"/>
    <n v="1378.05"/>
    <x v="0"/>
    <s v="OK"/>
  </r>
  <r>
    <s v="TXN10666"/>
    <d v="2025-12-19T00:00:00"/>
    <x v="12"/>
    <x v="5"/>
    <x v="3"/>
    <x v="19"/>
    <n v="3"/>
    <s v="OK"/>
    <n v="2865.35"/>
    <s v="OK"/>
    <n v="2435.46"/>
    <x v="4"/>
    <s v="OK"/>
  </r>
  <r>
    <s v="TXN11081"/>
    <d v="2025-12-20T00:00:00"/>
    <x v="6"/>
    <x v="3"/>
    <x v="1"/>
    <x v="28"/>
    <n v="5"/>
    <s v="OK"/>
    <n v="8492.17"/>
    <s v="OK"/>
    <n v="6347.11"/>
    <x v="1"/>
    <s v="OK"/>
  </r>
  <r>
    <s v="TXN10840"/>
    <d v="2025-12-20T00:00:00"/>
    <x v="22"/>
    <x v="5"/>
    <x v="2"/>
    <x v="3"/>
    <n v="2"/>
    <s v="OK"/>
    <n v="3154.49"/>
    <s v="OK"/>
    <n v="2688.54"/>
    <x v="1"/>
    <s v="OK"/>
  </r>
  <r>
    <s v="TXN11132"/>
    <d v="2025-12-21T00:00:00"/>
    <x v="10"/>
    <x v="4"/>
    <x v="0"/>
    <x v="10"/>
    <n v="6"/>
    <s v="OK"/>
    <n v="2205.46"/>
    <s v="OK"/>
    <n v="1891.15"/>
    <x v="2"/>
    <s v="OK"/>
  </r>
  <r>
    <s v="TXN10321"/>
    <d v="2025-12-21T00:00:00"/>
    <x v="14"/>
    <x v="5"/>
    <x v="0"/>
    <x v="13"/>
    <n v="2"/>
    <s v="OK"/>
    <n v="2083.62"/>
    <s v="OK"/>
    <n v="1693.08"/>
    <x v="0"/>
    <s v="OK"/>
  </r>
  <r>
    <s v="TXN10085"/>
    <d v="2025-12-21T00:00:00"/>
    <x v="25"/>
    <x v="0"/>
    <x v="3"/>
    <x v="17"/>
    <n v="4"/>
    <s v="OK"/>
    <n v="2184.13"/>
    <s v="OK"/>
    <n v="1620.44"/>
    <x v="0"/>
    <s v="OK"/>
  </r>
  <r>
    <s v="TXN10760"/>
    <d v="2025-12-21T00:00:00"/>
    <x v="6"/>
    <x v="2"/>
    <x v="4"/>
    <x v="23"/>
    <n v="6"/>
    <s v="OK"/>
    <n v="1086.3399999999999"/>
    <s v="OK"/>
    <n v="877.37"/>
    <x v="3"/>
    <s v="OK"/>
  </r>
  <r>
    <s v="TXN10118"/>
    <d v="2025-12-21T00:00:00"/>
    <x v="27"/>
    <x v="0"/>
    <x v="4"/>
    <x v="18"/>
    <n v="7"/>
    <s v="OK"/>
    <n v="2361.9699999999998"/>
    <s v="OK"/>
    <n v="1962.99"/>
    <x v="2"/>
    <s v="OK"/>
  </r>
  <r>
    <s v="TXN10318"/>
    <d v="2025-12-22T00:00:00"/>
    <x v="0"/>
    <x v="0"/>
    <x v="4"/>
    <x v="18"/>
    <n v="4"/>
    <s v="OK"/>
    <n v="1806.78"/>
    <s v="OK"/>
    <n v="1099.6400000000001"/>
    <x v="0"/>
    <s v="OK"/>
  </r>
  <r>
    <s v="TXN10856"/>
    <d v="2025-12-22T00:00:00"/>
    <x v="15"/>
    <x v="5"/>
    <x v="0"/>
    <x v="2"/>
    <n v="2"/>
    <s v="OK"/>
    <n v="1905.29"/>
    <s v="OK"/>
    <n v="1609.02"/>
    <x v="4"/>
    <s v="OK"/>
  </r>
  <r>
    <s v="TXN10471"/>
    <d v="2025-12-22T00:00:00"/>
    <x v="27"/>
    <x v="3"/>
    <x v="3"/>
    <x v="25"/>
    <n v="1"/>
    <s v="OK"/>
    <n v="2156.14"/>
    <s v="OK"/>
    <n v="1656.67"/>
    <x v="2"/>
    <s v="OK"/>
  </r>
  <r>
    <s v="TXN11206"/>
    <d v="2025-12-22T00:00:00"/>
    <x v="30"/>
    <x v="3"/>
    <x v="2"/>
    <x v="15"/>
    <n v="4"/>
    <s v="OK"/>
    <n v="5288.72"/>
    <s v="OK"/>
    <n v="3602.53"/>
    <x v="2"/>
    <s v="OK"/>
  </r>
  <r>
    <s v="TXN10391"/>
    <d v="2025-12-23T00:00:00"/>
    <x v="29"/>
    <x v="3"/>
    <x v="4"/>
    <x v="29"/>
    <n v="1"/>
    <s v="OK"/>
    <n v="948.82"/>
    <s v="OK"/>
    <n v="790.05"/>
    <x v="4"/>
    <s v="OK"/>
  </r>
  <r>
    <s v="TXN10077"/>
    <d v="2025-12-23T00:00:00"/>
    <x v="3"/>
    <x v="3"/>
    <x v="3"/>
    <x v="24"/>
    <n v="5"/>
    <s v="OK"/>
    <n v="5176.6099999999997"/>
    <s v="OK"/>
    <n v="3872.81"/>
    <x v="1"/>
    <s v="OK"/>
  </r>
  <r>
    <s v="TXN10358"/>
    <d v="2025-12-23T00:00:00"/>
    <x v="12"/>
    <x v="2"/>
    <x v="1"/>
    <x v="22"/>
    <n v="6"/>
    <s v="OK"/>
    <n v="14872.56"/>
    <s v="OK"/>
    <n v="13029.72"/>
    <x v="0"/>
    <s v="OK"/>
  </r>
  <r>
    <s v="TXN10693"/>
    <d v="2025-12-23T00:00:00"/>
    <x v="21"/>
    <x v="2"/>
    <x v="2"/>
    <x v="16"/>
    <n v="4"/>
    <s v="OK"/>
    <n v="4439.55"/>
    <s v="OK"/>
    <n v="2601.89"/>
    <x v="2"/>
    <s v="OK"/>
  </r>
  <r>
    <s v="TXN10329"/>
    <d v="2025-12-23T00:00:00"/>
    <x v="1"/>
    <x v="2"/>
    <x v="1"/>
    <x v="28"/>
    <n v="8"/>
    <s v="OK"/>
    <n v="6353.35"/>
    <s v="OK"/>
    <n v="4123.88"/>
    <x v="1"/>
    <s v="OK"/>
  </r>
  <r>
    <s v="TXN10769"/>
    <d v="2025-12-23T00:00:00"/>
    <x v="20"/>
    <x v="3"/>
    <x v="3"/>
    <x v="19"/>
    <n v="7"/>
    <s v="OK"/>
    <n v="5430.53"/>
    <s v="OK"/>
    <n v="4116.8999999999996"/>
    <x v="3"/>
    <s v="OK"/>
  </r>
  <r>
    <s v="TXN10297"/>
    <d v="2025-12-24T00:00:00"/>
    <x v="26"/>
    <x v="0"/>
    <x v="1"/>
    <x v="9"/>
    <n v="7"/>
    <s v="OK"/>
    <n v="14685.47"/>
    <s v="OK"/>
    <n v="12485.96"/>
    <x v="1"/>
    <s v="OK"/>
  </r>
  <r>
    <s v="TXN11002"/>
    <d v="2025-12-24T00:00:00"/>
    <x v="25"/>
    <x v="0"/>
    <x v="1"/>
    <x v="28"/>
    <n v="2"/>
    <s v="OK"/>
    <n v="15101.52"/>
    <s v="OK"/>
    <n v="11919.24"/>
    <x v="3"/>
    <s v="OK"/>
  </r>
  <r>
    <s v="TXN10405"/>
    <d v="2025-12-25T00:00:00"/>
    <x v="10"/>
    <x v="4"/>
    <x v="1"/>
    <x v="27"/>
    <n v="6"/>
    <s v="OK"/>
    <n v="17103.25"/>
    <s v="OK"/>
    <n v="12587.82"/>
    <x v="2"/>
    <s v="OK"/>
  </r>
  <r>
    <s v="TXN11152"/>
    <d v="2025-12-26T00:00:00"/>
    <x v="29"/>
    <x v="2"/>
    <x v="0"/>
    <x v="11"/>
    <n v="7"/>
    <s v="OK"/>
    <n v="886.24"/>
    <s v="OK"/>
    <n v="524.05999999999995"/>
    <x v="3"/>
    <s v="OK"/>
  </r>
  <r>
    <s v="TXN10543"/>
    <d v="2025-12-27T00:00:00"/>
    <x v="16"/>
    <x v="3"/>
    <x v="4"/>
    <x v="6"/>
    <n v="5"/>
    <s v="OK"/>
    <n v="2963.33"/>
    <s v="OK"/>
    <n v="1887.33"/>
    <x v="2"/>
    <s v="OK"/>
  </r>
  <r>
    <s v="TXN11115"/>
    <d v="2025-12-27T00:00:00"/>
    <x v="29"/>
    <x v="5"/>
    <x v="4"/>
    <x v="26"/>
    <n v="3"/>
    <s v="OK"/>
    <n v="893.57"/>
    <s v="OK"/>
    <n v="545.13"/>
    <x v="1"/>
    <s v="OK"/>
  </r>
  <r>
    <s v="TXN10248"/>
    <d v="2025-12-27T00:00:00"/>
    <x v="17"/>
    <x v="0"/>
    <x v="3"/>
    <x v="5"/>
    <n v="8"/>
    <s v="OK"/>
    <n v="2243.7199999999998"/>
    <s v="OK"/>
    <n v="1492.31"/>
    <x v="3"/>
    <s v="OK"/>
  </r>
  <r>
    <s v="TXN11238"/>
    <d v="2025-12-27T00:00:00"/>
    <x v="24"/>
    <x v="5"/>
    <x v="1"/>
    <x v="27"/>
    <n v="3"/>
    <s v="OK"/>
    <n v="7354.58"/>
    <s v="OK"/>
    <n v="4108.96"/>
    <x v="0"/>
    <s v="OK"/>
  </r>
  <r>
    <s v="TXN10731"/>
    <d v="2025-12-27T00:00:00"/>
    <x v="1"/>
    <x v="4"/>
    <x v="1"/>
    <x v="22"/>
    <n v="6"/>
    <s v="OK"/>
    <n v="2775.84"/>
    <s v="OK"/>
    <n v="1785.22"/>
    <x v="1"/>
    <s v="OK"/>
  </r>
  <r>
    <s v="TXN10042"/>
    <d v="2025-12-28T00:00:00"/>
    <x v="29"/>
    <x v="3"/>
    <x v="0"/>
    <x v="0"/>
    <n v="7"/>
    <s v="OK"/>
    <n v="1490.09"/>
    <s v="OK"/>
    <n v="874.56"/>
    <x v="4"/>
    <s v="OK"/>
  </r>
  <r>
    <s v="TXN10696"/>
    <d v="2025-12-29T00:00:00"/>
    <x v="28"/>
    <x v="5"/>
    <x v="2"/>
    <x v="16"/>
    <n v="5"/>
    <s v="OK"/>
    <n v="6863.1"/>
    <s v="OK"/>
    <n v="3778.29"/>
    <x v="1"/>
    <s v="OK"/>
  </r>
  <r>
    <s v="TXN10108"/>
    <d v="2025-12-30T00:00:00"/>
    <x v="15"/>
    <x v="3"/>
    <x v="2"/>
    <x v="16"/>
    <n v="3"/>
    <s v="OK"/>
    <n v="2450.9499999999998"/>
    <s v="OK"/>
    <n v="1359.08"/>
    <x v="0"/>
    <s v="OK"/>
  </r>
  <r>
    <s v="TXN11067"/>
    <d v="2025-12-30T00:00:00"/>
    <x v="0"/>
    <x v="5"/>
    <x v="4"/>
    <x v="23"/>
    <n v="8"/>
    <s v="OK"/>
    <n v="766.04"/>
    <s v="OK"/>
    <n v="566.70000000000005"/>
    <x v="3"/>
    <s v="OK"/>
  </r>
  <r>
    <s v="TXN10805"/>
    <d v="2025-12-30T00:00:00"/>
    <x v="6"/>
    <x v="4"/>
    <x v="1"/>
    <x v="9"/>
    <n v="4"/>
    <s v="OK"/>
    <n v="3266.74"/>
    <s v="OK"/>
    <n v="2157.77"/>
    <x v="2"/>
    <s v="OK"/>
  </r>
  <r>
    <s v="TXN11110"/>
    <d v="2025-12-31T00:00:00"/>
    <x v="11"/>
    <x v="3"/>
    <x v="1"/>
    <x v="27"/>
    <n v="7"/>
    <s v="OK"/>
    <n v="7700.1"/>
    <s v="OK"/>
    <n v="5724.51"/>
    <x v="1"/>
    <s v="OK"/>
  </r>
  <r>
    <s v="TXN10217"/>
    <d v="2025-12-31T00:00:00"/>
    <x v="19"/>
    <x v="0"/>
    <x v="4"/>
    <x v="26"/>
    <n v="3"/>
    <s v="OK"/>
    <n v="2829.51"/>
    <s v="OK"/>
    <n v="2031.28"/>
    <x v="1"/>
    <s v="OK"/>
  </r>
  <r>
    <s v="TXN10148"/>
    <d v="2025-12-31T00:00:00"/>
    <x v="2"/>
    <x v="3"/>
    <x v="1"/>
    <x v="28"/>
    <n v="8"/>
    <s v="OK"/>
    <n v="2156.69"/>
    <s v="OK"/>
    <n v="1243.68"/>
    <x v="2"/>
    <s v="OK"/>
  </r>
  <r>
    <s v="TXN10883"/>
    <d v="2025-01-15T00:00:00"/>
    <x v="4"/>
    <x v="3"/>
    <x v="3"/>
    <x v="25"/>
    <m/>
    <s v="Blank"/>
    <n v="4883.75"/>
    <s v="OK"/>
    <n v="3186.54"/>
    <x v="0"/>
    <s v="OK"/>
  </r>
  <r>
    <s v="TXN10617"/>
    <d v="2025-01-22T00:00:00"/>
    <x v="10"/>
    <x v="0"/>
    <x v="3"/>
    <x v="5"/>
    <n v="2"/>
    <s v="OK"/>
    <n v="1893.22"/>
    <s v="OK"/>
    <n v="1440.19"/>
    <x v="4"/>
    <s v="OK"/>
  </r>
  <r>
    <s v="TXN10423"/>
    <d v="2025-01-28T00:00:00"/>
    <x v="3"/>
    <x v="4"/>
    <x v="0"/>
    <x v="7"/>
    <n v="6"/>
    <s v="OK"/>
    <n v="208.78"/>
    <s v="OK"/>
    <n v="120.87"/>
    <x v="2"/>
    <s v="OK"/>
  </r>
  <r>
    <s v="TXN10940"/>
    <d v="2025-02-14T00:00:00"/>
    <x v="14"/>
    <x v="3"/>
    <x v="0"/>
    <x v="13"/>
    <n v="3"/>
    <s v="OK"/>
    <n v="510.76"/>
    <s v="OK"/>
    <n v="313.08"/>
    <x v="1"/>
    <s v="OK"/>
  </r>
  <r>
    <s v="TXN10028"/>
    <d v="2025-02-20T00:00:00"/>
    <x v="13"/>
    <x v="3"/>
    <x v="0"/>
    <x v="0"/>
    <n v="1"/>
    <s v="OK"/>
    <n v="1699.93"/>
    <s v="OK"/>
    <n v="1238.22"/>
    <x v="1"/>
    <s v="OK"/>
  </r>
  <r>
    <s v="TXN10684"/>
    <d v="2025-03-16T00:00:00"/>
    <x v="3"/>
    <x v="3"/>
    <x v="3"/>
    <x v="25"/>
    <m/>
    <s v="Blank"/>
    <n v="4730.3599999999997"/>
    <s v="OK"/>
    <n v="2681.79"/>
    <x v="3"/>
    <s v="OK"/>
  </r>
  <r>
    <s v="TXN10452"/>
    <d v="2025-03-18T00:00:00"/>
    <x v="18"/>
    <x v="3"/>
    <x v="4"/>
    <x v="26"/>
    <n v="4"/>
    <s v="OK"/>
    <n v="3173.98"/>
    <s v="OK"/>
    <n v="2589.31"/>
    <x v="2"/>
    <s v="OK"/>
  </r>
  <r>
    <s v="TXN10222"/>
    <d v="2025-03-20T00:00:00"/>
    <x v="10"/>
    <x v="3"/>
    <x v="1"/>
    <x v="9"/>
    <n v="5"/>
    <s v="OK"/>
    <n v="3715.64"/>
    <s v="OK"/>
    <n v="2439.2399999999998"/>
    <x v="4"/>
    <s v="OK"/>
  </r>
  <r>
    <s v="TXN10553"/>
    <d v="2025-03-27T00:00:00"/>
    <x v="8"/>
    <x v="3"/>
    <x v="2"/>
    <x v="12"/>
    <n v="6"/>
    <s v="OK"/>
    <n v="6487.52"/>
    <s v="OK"/>
    <n v="4845.24"/>
    <x v="1"/>
    <s v="OK"/>
  </r>
  <r>
    <s v="TXN11116"/>
    <d v="2025-04-13T00:00:00"/>
    <x v="9"/>
    <x v="4"/>
    <x v="3"/>
    <x v="25"/>
    <n v="1"/>
    <s v="OK"/>
    <n v="4624.54"/>
    <s v="OK"/>
    <n v="3778.38"/>
    <x v="4"/>
    <s v="OK"/>
  </r>
  <r>
    <s v="TXN10520"/>
    <d v="2025-04-16T00:00:00"/>
    <x v="13"/>
    <x v="3"/>
    <x v="0"/>
    <x v="10"/>
    <n v="7"/>
    <s v="OK"/>
    <n v="1687.09"/>
    <s v="OK"/>
    <n v="1451.1"/>
    <x v="4"/>
    <s v="OK"/>
  </r>
  <r>
    <s v="TXN10747"/>
    <d v="2025-05-14T00:00:00"/>
    <x v="12"/>
    <x v="2"/>
    <x v="4"/>
    <x v="26"/>
    <n v="4"/>
    <s v="OK"/>
    <n v="1825.99"/>
    <s v="OK"/>
    <n v="1485.98"/>
    <x v="1"/>
    <s v="OK"/>
  </r>
  <r>
    <s v="TXN10064"/>
    <d v="2025-05-27T00:00:00"/>
    <x v="18"/>
    <x v="2"/>
    <x v="1"/>
    <x v="27"/>
    <n v="4"/>
    <s v="OK"/>
    <n v="5546.33"/>
    <s v="OK"/>
    <n v="3635.64"/>
    <x v="2"/>
    <s v="OK"/>
  </r>
  <r>
    <s v="TXN10841"/>
    <d v="2025-06-28T00:00:00"/>
    <x v="22"/>
    <x v="5"/>
    <x v="1"/>
    <x v="28"/>
    <n v="5"/>
    <s v="OK"/>
    <n v="12716.97"/>
    <s v="OK"/>
    <n v="7577.72"/>
    <x v="0"/>
    <s v="OK"/>
  </r>
  <r>
    <s v="TXN10723"/>
    <d v="2025-07-16T00:00:00"/>
    <x v="4"/>
    <x v="4"/>
    <x v="3"/>
    <x v="17"/>
    <n v="2"/>
    <s v="OK"/>
    <n v="2373.9299999999998"/>
    <s v="OK"/>
    <n v="1943.28"/>
    <x v="2"/>
    <s v="OK"/>
  </r>
  <r>
    <s v="TXN11064"/>
    <d v="2025-07-17T00:00:00"/>
    <x v="11"/>
    <x v="5"/>
    <x v="3"/>
    <x v="24"/>
    <n v="5"/>
    <s v="OK"/>
    <n v="1632.41"/>
    <s v="OK"/>
    <n v="1054.6400000000001"/>
    <x v="2"/>
    <s v="OK"/>
  </r>
  <r>
    <s v="TXN10528"/>
    <d v="2025-07-31T00:00:00"/>
    <x v="23"/>
    <x v="3"/>
    <x v="4"/>
    <x v="26"/>
    <n v="3"/>
    <s v="OK"/>
    <n v="773.1"/>
    <s v="OK"/>
    <n v="481.53"/>
    <x v="3"/>
    <s v="OK"/>
  </r>
  <r>
    <s v="TXN11020"/>
    <d v="2025-09-24T00:00:00"/>
    <x v="4"/>
    <x v="0"/>
    <x v="1"/>
    <x v="1"/>
    <n v="4"/>
    <s v="OK"/>
    <n v="17034.66"/>
    <s v="OK"/>
    <n v="13729.89"/>
    <x v="2"/>
    <s v="OK"/>
  </r>
  <r>
    <s v="TXN11061"/>
    <d v="2025-10-21T00:00:00"/>
    <x v="3"/>
    <x v="3"/>
    <x v="2"/>
    <x v="3"/>
    <n v="7"/>
    <s v="OK"/>
    <n v="6869.14"/>
    <s v="OK"/>
    <n v="4240.92"/>
    <x v="0"/>
    <s v="OK"/>
  </r>
  <r>
    <s v="TXN10291"/>
    <d v="2025-10-24T00:00:00"/>
    <x v="11"/>
    <x v="0"/>
    <x v="2"/>
    <x v="3"/>
    <n v="7"/>
    <s v="OK"/>
    <n v="2348.27"/>
    <s v="OK"/>
    <n v="1443.58"/>
    <x v="4"/>
    <s v="OK"/>
  </r>
  <r>
    <s v="TXN10997"/>
    <d v="2025-10-28T00:00:00"/>
    <x v="10"/>
    <x v="3"/>
    <x v="4"/>
    <x v="18"/>
    <n v="2"/>
    <s v="OK"/>
    <n v="1050.53"/>
    <s v="OK"/>
    <n v="770.09"/>
    <x v="4"/>
    <s v="OK"/>
  </r>
  <r>
    <s v="TXN10774"/>
    <d v="2025-11-13T00:00:00"/>
    <x v="27"/>
    <x v="3"/>
    <x v="1"/>
    <x v="28"/>
    <n v="1"/>
    <s v="OK"/>
    <n v="5049.87"/>
    <s v="OK"/>
    <n v="3858.6"/>
    <x v="1"/>
    <s v="OK"/>
  </r>
  <r>
    <s v="TXN10732"/>
    <d v="2025-11-17T00:00:00"/>
    <x v="4"/>
    <x v="2"/>
    <x v="2"/>
    <x v="4"/>
    <n v="6"/>
    <s v="OK"/>
    <n v="5097.71"/>
    <s v="OK"/>
    <n v="3486.79"/>
    <x v="0"/>
    <s v="OK"/>
  </r>
  <r>
    <s v="TXN10183"/>
    <d v="2025-11-27T00:00:00"/>
    <x v="22"/>
    <x v="5"/>
    <x v="2"/>
    <x v="15"/>
    <n v="7"/>
    <s v="OK"/>
    <n v="3756.02"/>
    <s v="OK"/>
    <n v="2088.41"/>
    <x v="3"/>
    <s v="OK"/>
  </r>
  <r>
    <s v="TXN10303"/>
    <d v="2025-12-17T00:00:00"/>
    <x v="27"/>
    <x v="0"/>
    <x v="1"/>
    <x v="22"/>
    <n v="5"/>
    <s v="OK"/>
    <n v="16278.23"/>
    <s v="OK"/>
    <n v="11980.1"/>
    <x v="1"/>
    <s v="OK"/>
  </r>
  <r>
    <s v="TXN10501"/>
    <d v="2025-12-31T00:00:00"/>
    <x v="30"/>
    <x v="3"/>
    <x v="2"/>
    <x v="12"/>
    <n v="4"/>
    <s v="OK"/>
    <n v="1725.87"/>
    <s v="OK"/>
    <n v="1304.72"/>
    <x v="3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647CE3-4B09-4329-B21A-F217C4C2149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/>
  <pivotFields count="17">
    <pivotField showAll="0"/>
    <pivotField numFmtId="14" showAll="0"/>
    <pivotField showAll="0"/>
    <pivotField showAll="0"/>
    <pivotField axis="axisRow" showAll="0" sortType="descending">
      <items count="6">
        <item x="4"/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dataField="1" showAll="0"/>
    <pivotField showAll="0"/>
    <pivotField numFmtId="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6">
    <i>
      <x v="3"/>
    </i>
    <i>
      <x v="4"/>
    </i>
    <i>
      <x v="2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8" baseField="0" baseItem="0"/>
    <dataField name="Sum of Quantity" fld="6" baseField="0" baseItem="0"/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D42F9-07FA-4ED4-BC78-CD6E89D7B9F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Top 10 Products">
  <location ref="A3:D14" firstHeaderRow="0" firstDataRow="1" firstDataCol="1"/>
  <pivotFields count="17">
    <pivotField showAll="0"/>
    <pivotField numFmtId="14" showAll="0"/>
    <pivotField showAll="0"/>
    <pivotField showAll="0"/>
    <pivotField showAll="0"/>
    <pivotField axis="axisRow" showAll="0" measureFilter="1" sortType="descending">
      <items count="31">
        <item x="4"/>
        <item x="20"/>
        <item x="7"/>
        <item x="16"/>
        <item x="3"/>
        <item x="10"/>
        <item x="2"/>
        <item x="6"/>
        <item x="27"/>
        <item x="19"/>
        <item x="21"/>
        <item x="25"/>
        <item x="28"/>
        <item x="17"/>
        <item x="18"/>
        <item x="14"/>
        <item x="13"/>
        <item x="29"/>
        <item x="9"/>
        <item x="11"/>
        <item x="26"/>
        <item x="5"/>
        <item x="0"/>
        <item x="12"/>
        <item x="23"/>
        <item x="8"/>
        <item x="24"/>
        <item x="1"/>
        <item x="15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numFmtId="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11">
    <i>
      <x v="29"/>
    </i>
    <i>
      <x v="8"/>
    </i>
    <i>
      <x v="18"/>
    </i>
    <i>
      <x v="1"/>
    </i>
    <i>
      <x v="12"/>
    </i>
    <i>
      <x v="27"/>
    </i>
    <i>
      <x v="3"/>
    </i>
    <i>
      <x v="4"/>
    </i>
    <i>
      <x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8" baseField="0" baseItem="0"/>
    <dataField name="Sum of Quantity" fld="6" baseField="0" baseItem="0"/>
    <dataField name="Sum of Profit" fld="1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CF3B2-23D4-4EB6-ACC5-B7BE701A62F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5" firstHeaderRow="0" firstDataRow="1" firstDataCol="1"/>
  <pivotFields count="17">
    <pivotField dataField="1" showAll="0"/>
    <pivotField numFmtId="14" showAll="0"/>
    <pivotField axis="axisRow" showAll="0" sortType="descending">
      <items count="32">
        <item x="2"/>
        <item x="16"/>
        <item x="18"/>
        <item x="0"/>
        <item x="28"/>
        <item x="26"/>
        <item x="7"/>
        <item x="12"/>
        <item x="1"/>
        <item x="13"/>
        <item x="8"/>
        <item x="14"/>
        <item x="27"/>
        <item x="10"/>
        <item x="15"/>
        <item x="20"/>
        <item x="22"/>
        <item x="23"/>
        <item x="25"/>
        <item x="11"/>
        <item x="6"/>
        <item x="21"/>
        <item x="4"/>
        <item x="29"/>
        <item x="3"/>
        <item x="9"/>
        <item x="5"/>
        <item x="24"/>
        <item x="19"/>
        <item x="17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dataField="1" showAll="0"/>
    <pivotField showAll="0"/>
    <pivotField numFmtId="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32">
    <i>
      <x v="14"/>
    </i>
    <i>
      <x v="30"/>
    </i>
    <i>
      <x v="26"/>
    </i>
    <i>
      <x v="7"/>
    </i>
    <i>
      <x v="18"/>
    </i>
    <i>
      <x v="20"/>
    </i>
    <i>
      <x v="22"/>
    </i>
    <i>
      <x v="23"/>
    </i>
    <i>
      <x v="3"/>
    </i>
    <i>
      <x v="12"/>
    </i>
    <i>
      <x v="5"/>
    </i>
    <i>
      <x v="17"/>
    </i>
    <i>
      <x v="2"/>
    </i>
    <i>
      <x v="16"/>
    </i>
    <i>
      <x v="9"/>
    </i>
    <i>
      <x v="8"/>
    </i>
    <i>
      <x v="10"/>
    </i>
    <i>
      <x v="27"/>
    </i>
    <i>
      <x v="11"/>
    </i>
    <i>
      <x v="15"/>
    </i>
    <i>
      <x v="13"/>
    </i>
    <i>
      <x v="6"/>
    </i>
    <i>
      <x v="24"/>
    </i>
    <i>
      <x v="19"/>
    </i>
    <i>
      <x v="21"/>
    </i>
    <i>
      <x v="25"/>
    </i>
    <i>
      <x/>
    </i>
    <i>
      <x v="4"/>
    </i>
    <i>
      <x v="1"/>
    </i>
    <i>
      <x v="29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8" baseField="0" baseItem="0"/>
    <dataField name="Sum of Profit" fld="13" baseField="0" baseItem="0"/>
    <dataField name="Sum of Quantity" fld="6" baseField="0" baseItem="0"/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E5673-C295-4B9D-9B94-A292C81FB29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ity">
  <location ref="A3:E10" firstHeaderRow="0" firstDataRow="1" firstDataCol="1"/>
  <pivotFields count="17">
    <pivotField dataField="1" showAll="0"/>
    <pivotField numFmtId="14" showAll="0"/>
    <pivotField showAll="0"/>
    <pivotField axis="axisRow" showAll="0" sortType="descending">
      <items count="7">
        <item x="1"/>
        <item x="5"/>
        <item x="0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3"/>
  </rowFields>
  <rowItems count="7">
    <i>
      <x v="5"/>
    </i>
    <i>
      <x v="2"/>
    </i>
    <i>
      <x v="4"/>
    </i>
    <i>
      <x v="1"/>
    </i>
    <i>
      <x v="3"/>
    </i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rofit" fld="13" baseField="0" baseItem="0"/>
    <dataField name="Sum of Quantity" fld="6" baseField="0" baseItem="0"/>
    <dataField name="Count of Transaction_ID" fld="0" subtotal="count" baseField="0" baseItem="0"/>
    <dataField name="Sum of Sale contribution %" fld="16" baseField="3" baseItem="5" numFmtId="9"/>
  </dataFields>
  <formats count="1">
    <format dxfId="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F7DE8-CB93-4865-A7D8-D39863B89A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0" firstDataRow="1" firstDataCol="1"/>
  <pivotFields count="17">
    <pivotField dataField="1" showAll="0"/>
    <pivotField numFmtId="14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numFmtId="1" showAll="0"/>
    <pivotField axis="axisRow" showAll="0" sortType="descending">
      <items count="7">
        <item x="4"/>
        <item x="3"/>
        <item x="0"/>
        <item x="2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7">
    <i>
      <x v="2"/>
    </i>
    <i>
      <x v="5"/>
    </i>
    <i>
      <x v="1"/>
    </i>
    <i>
      <x v="3"/>
    </i>
    <i>
      <x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8" baseField="0" baseItem="0"/>
    <dataField name="Sum of Profit" fld="13" baseField="0" baseItem="0"/>
    <dataField name="Sum of Quantity" fld="6" baseField="0" baseItem="0"/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0EE3B-184D-475A-9BEA-4E7372E8E802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ategory">
  <location ref="A17:F23" firstHeaderRow="0" firstDataRow="1" firstDataCol="1"/>
  <pivotFields count="17">
    <pivotField showAll="0"/>
    <pivotField numFmtId="14" showAll="0"/>
    <pivotField showAll="0"/>
    <pivotField showAll="0"/>
    <pivotField axis="axisRow" showAll="0">
      <items count="6">
        <item x="4"/>
        <item x="0"/>
        <item x="3"/>
        <item x="1"/>
        <item x="2"/>
        <item t="default"/>
      </items>
    </pivotField>
    <pivotField showAll="0"/>
    <pivotField dataField="1" showAll="0"/>
    <pivotField showAll="0"/>
    <pivotField dataField="1" showAll="0"/>
    <pivotField showAll="0"/>
    <pivotField dataField="1" numFmtId="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ales" fld="8" baseField="0" baseItem="0" numFmtId="165"/>
    <dataField name="Sum of Cost" fld="10" baseField="0" baseItem="0" numFmtId="165"/>
    <dataField name="Sum of Quantity" fld="6" baseField="0" baseItem="0"/>
    <dataField name="Sum of Profit" fld="13" baseField="0" baseItem="0" numFmtId="165"/>
    <dataField name="Sales contribution %" fld="16" baseField="4" baseItem="0" numFmtId="9"/>
  </dataFields>
  <formats count="6">
    <format dxfId="5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1E3D45-A34A-445D-B268-2522FD949613}" name="Table2" displayName="Table2" ref="A1:M1251" totalsRowShown="0" headerRowDxfId="18">
  <autoFilter ref="A1:M1251" xr:uid="{E81E3D45-A34A-445D-B268-2522FD949613}"/>
  <tableColumns count="13">
    <tableColumn id="1" xr3:uid="{33E2F6BB-63A1-4544-ADE4-DAB2CC5CD23A}" name="Transaction_ID"/>
    <tableColumn id="12" xr3:uid="{0A811AC7-644C-4E20-A2A9-C2673D2C4677}" name="Order Date" dataDxfId="17"/>
    <tableColumn id="17" xr3:uid="{63750A7D-B310-44E2-B105-DC2D56E22E41}" name="Customer Name" dataDxfId="16"/>
    <tableColumn id="13" xr3:uid="{90BA14F6-7BBD-4D79-9D13-9E51FB2324FC}" name="City" dataDxfId="15"/>
    <tableColumn id="14" xr3:uid="{FEF3B8C0-DD5A-4ABB-AFB4-5784157B0C35}" name="Category" dataDxfId="14"/>
    <tableColumn id="15" xr3:uid="{C1C63920-AA6B-43EB-B740-A70A2B2D8844}" name="Product" dataDxfId="13"/>
    <tableColumn id="7" xr3:uid="{53710F6E-F51A-46C4-A788-F2D145B0D266}" name="Quantity"/>
    <tableColumn id="11" xr3:uid="{AE98FD65-AAF7-4C61-A518-BECA1B623A81}" name="Quantity Status" dataDxfId="12">
      <calculatedColumnFormula>IF(G2="","Blank",IF(G2&lt;0,"Negative Quantity",IF(G2=0,"Zero Quantity",IF(G2&gt;0,"OK",""))))</calculatedColumnFormula>
    </tableColumn>
    <tableColumn id="19" xr3:uid="{F6545902-F784-4CE6-A9B5-4FA7F9832087}" name="Sales" dataDxfId="11"/>
    <tableColumn id="21" xr3:uid="{6DDC5C16-7D69-4B5D-891B-FE19722E7637}" name="Sales Status" dataDxfId="10">
      <calculatedColumnFormula>IF(I2="","Missing Sales",IF(I2&lt;0,"Negative Sales","OK"))</calculatedColumnFormula>
    </tableColumn>
    <tableColumn id="9" xr3:uid="{18387A7B-AF08-437B-9D13-AA7E476D8452}" name="Cost" dataDxfId="9"/>
    <tableColumn id="4" xr3:uid="{119648B5-33B3-4C37-91EA-81A681D71906}" name="Payment_Method" dataDxfId="8"/>
    <tableColumn id="5" xr3:uid="{CE191B53-6274-4DBF-AE30-12A6C7DA5FFC}" name="Payment_Method Status" dataDxfId="7">
      <calculatedColumnFormula>IF(OR(I2="",K2=""),"Missing Data",IF(I2&lt;K2,"Sales &lt; Cost","OK"))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B781-512C-4098-A04E-976EE7BD8A50}">
  <sheetPr>
    <tabColor rgb="FFC00000"/>
  </sheetPr>
  <dimension ref="A1:J1281"/>
  <sheetViews>
    <sheetView workbookViewId="0">
      <selection activeCell="C9" sqref="C9"/>
    </sheetView>
  </sheetViews>
  <sheetFormatPr defaultRowHeight="14.4"/>
  <cols>
    <col min="2" max="2" width="4.88671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45734</v>
      </c>
      <c r="C2" t="s">
        <v>11</v>
      </c>
      <c r="D2" t="s">
        <v>12</v>
      </c>
      <c r="E2" t="s">
        <v>13</v>
      </c>
      <c r="F2" t="s">
        <v>14</v>
      </c>
      <c r="G2">
        <v>8</v>
      </c>
      <c r="H2" t="s">
        <v>15</v>
      </c>
      <c r="I2">
        <v>1950.6</v>
      </c>
      <c r="J2" t="s">
        <v>16</v>
      </c>
    </row>
    <row r="3" spans="1:10">
      <c r="A3" t="s">
        <v>17</v>
      </c>
      <c r="B3">
        <v>46007</v>
      </c>
      <c r="C3" t="s">
        <v>18</v>
      </c>
      <c r="D3" t="s">
        <v>19</v>
      </c>
      <c r="E3" t="s">
        <v>20</v>
      </c>
      <c r="F3" t="s">
        <v>21</v>
      </c>
      <c r="G3">
        <v>5</v>
      </c>
      <c r="H3">
        <v>1305.3599999999999</v>
      </c>
      <c r="I3">
        <v>744.67</v>
      </c>
      <c r="J3" t="s">
        <v>22</v>
      </c>
    </row>
    <row r="4" spans="1:10">
      <c r="A4" t="s">
        <v>23</v>
      </c>
      <c r="B4">
        <v>45778</v>
      </c>
      <c r="C4" t="s">
        <v>24</v>
      </c>
      <c r="D4" t="s">
        <v>25</v>
      </c>
      <c r="E4" t="s">
        <v>26</v>
      </c>
      <c r="F4" t="s">
        <v>27</v>
      </c>
      <c r="G4">
        <v>5</v>
      </c>
      <c r="H4">
        <v>933.76</v>
      </c>
      <c r="I4">
        <v>787.89</v>
      </c>
      <c r="J4" t="s">
        <v>28</v>
      </c>
    </row>
    <row r="5" spans="1:10">
      <c r="A5" t="s">
        <v>29</v>
      </c>
      <c r="B5">
        <v>45971</v>
      </c>
      <c r="C5" t="s">
        <v>30</v>
      </c>
      <c r="D5" t="s">
        <v>31</v>
      </c>
      <c r="E5" t="s">
        <v>32</v>
      </c>
      <c r="F5" t="s">
        <v>33</v>
      </c>
      <c r="G5">
        <v>2</v>
      </c>
      <c r="H5">
        <v>1001.17</v>
      </c>
      <c r="I5">
        <v>860.9</v>
      </c>
      <c r="J5" t="s">
        <v>28</v>
      </c>
    </row>
    <row r="6" spans="1:10">
      <c r="A6" t="s">
        <v>34</v>
      </c>
      <c r="B6">
        <v>45767</v>
      </c>
      <c r="C6" t="s">
        <v>35</v>
      </c>
      <c r="D6" t="s">
        <v>12</v>
      </c>
      <c r="E6" t="s">
        <v>36</v>
      </c>
      <c r="F6" t="s">
        <v>37</v>
      </c>
      <c r="G6">
        <v>8</v>
      </c>
      <c r="H6">
        <v>2232.75</v>
      </c>
      <c r="I6">
        <v>1665.44</v>
      </c>
      <c r="J6" t="s">
        <v>38</v>
      </c>
    </row>
    <row r="7" spans="1:10">
      <c r="A7" t="s">
        <v>39</v>
      </c>
      <c r="B7">
        <v>45892</v>
      </c>
      <c r="C7" t="s">
        <v>40</v>
      </c>
      <c r="D7" t="s">
        <v>41</v>
      </c>
      <c r="E7" t="s">
        <v>36</v>
      </c>
      <c r="F7" t="s">
        <v>42</v>
      </c>
      <c r="G7">
        <v>6</v>
      </c>
      <c r="H7" t="s">
        <v>43</v>
      </c>
      <c r="I7">
        <v>12543.55</v>
      </c>
      <c r="J7" t="s">
        <v>28</v>
      </c>
    </row>
    <row r="8" spans="1:10">
      <c r="A8" t="s">
        <v>44</v>
      </c>
      <c r="B8">
        <v>45738</v>
      </c>
      <c r="C8" t="s">
        <v>45</v>
      </c>
      <c r="D8" t="s">
        <v>19</v>
      </c>
      <c r="E8" t="s">
        <v>36</v>
      </c>
      <c r="F8" t="s">
        <v>46</v>
      </c>
      <c r="G8">
        <v>8</v>
      </c>
      <c r="H8">
        <v>2462.9699999999998</v>
      </c>
      <c r="I8">
        <v>1857.46</v>
      </c>
      <c r="J8" t="s">
        <v>16</v>
      </c>
    </row>
    <row r="9" spans="1:10">
      <c r="A9" t="s">
        <v>47</v>
      </c>
      <c r="B9">
        <v>45665</v>
      </c>
      <c r="C9" t="s">
        <v>48</v>
      </c>
      <c r="D9" t="s">
        <v>49</v>
      </c>
      <c r="E9" t="s">
        <v>26</v>
      </c>
      <c r="F9" t="s">
        <v>27</v>
      </c>
      <c r="G9">
        <v>2</v>
      </c>
      <c r="H9">
        <v>921.38</v>
      </c>
      <c r="I9">
        <v>613.28</v>
      </c>
      <c r="J9" t="s">
        <v>22</v>
      </c>
    </row>
    <row r="10" spans="1:10">
      <c r="A10" t="s">
        <v>50</v>
      </c>
      <c r="B10">
        <v>45822</v>
      </c>
      <c r="C10" t="s">
        <v>51</v>
      </c>
      <c r="D10" t="s">
        <v>41</v>
      </c>
      <c r="E10" t="s">
        <v>32</v>
      </c>
      <c r="F10" t="s">
        <v>52</v>
      </c>
      <c r="G10">
        <v>4</v>
      </c>
      <c r="H10">
        <v>1157.3900000000001</v>
      </c>
      <c r="I10">
        <v>911.67</v>
      </c>
      <c r="J10" t="s">
        <v>22</v>
      </c>
    </row>
    <row r="11" spans="1:10">
      <c r="A11" t="s">
        <v>53</v>
      </c>
      <c r="B11">
        <v>45719</v>
      </c>
      <c r="C11" t="s">
        <v>54</v>
      </c>
      <c r="D11" t="s">
        <v>41</v>
      </c>
      <c r="E11" t="s">
        <v>36</v>
      </c>
      <c r="F11" t="s">
        <v>42</v>
      </c>
      <c r="G11">
        <v>2</v>
      </c>
      <c r="H11">
        <v>15545.14</v>
      </c>
      <c r="I11">
        <v>9216.24</v>
      </c>
    </row>
    <row r="12" spans="1:10">
      <c r="A12" t="s">
        <v>55</v>
      </c>
      <c r="B12">
        <v>45945</v>
      </c>
      <c r="C12" t="s">
        <v>56</v>
      </c>
      <c r="D12" t="s">
        <v>57</v>
      </c>
      <c r="E12" t="s">
        <v>20</v>
      </c>
      <c r="F12" t="s">
        <v>14</v>
      </c>
      <c r="G12">
        <v>5</v>
      </c>
      <c r="H12">
        <v>5182.9799999999996</v>
      </c>
      <c r="I12">
        <v>2910.51</v>
      </c>
      <c r="J12" t="s">
        <v>16</v>
      </c>
    </row>
    <row r="13" spans="1:10">
      <c r="A13" t="s">
        <v>58</v>
      </c>
      <c r="B13">
        <v>45930</v>
      </c>
      <c r="C13" t="s">
        <v>59</v>
      </c>
      <c r="D13" t="s">
        <v>57</v>
      </c>
      <c r="E13" t="s">
        <v>60</v>
      </c>
      <c r="F13" t="s">
        <v>61</v>
      </c>
      <c r="G13">
        <v>4</v>
      </c>
      <c r="H13">
        <v>8459.19</v>
      </c>
      <c r="I13">
        <v>4785.87</v>
      </c>
      <c r="J13" t="s">
        <v>38</v>
      </c>
    </row>
    <row r="14" spans="1:10">
      <c r="A14" t="s">
        <v>62</v>
      </c>
      <c r="B14">
        <v>45676</v>
      </c>
      <c r="C14" t="s">
        <v>24</v>
      </c>
      <c r="D14" t="s">
        <v>63</v>
      </c>
      <c r="E14" t="s">
        <v>32</v>
      </c>
      <c r="F14" t="s">
        <v>33</v>
      </c>
      <c r="G14">
        <v>4</v>
      </c>
      <c r="H14">
        <v>989.28</v>
      </c>
      <c r="I14">
        <v>776.99</v>
      </c>
      <c r="J14" t="s">
        <v>38</v>
      </c>
    </row>
    <row r="15" spans="1:10">
      <c r="A15" t="s">
        <v>64</v>
      </c>
      <c r="B15">
        <v>45969</v>
      </c>
      <c r="C15" t="s">
        <v>54</v>
      </c>
      <c r="D15" t="s">
        <v>65</v>
      </c>
      <c r="E15" t="s">
        <v>20</v>
      </c>
      <c r="F15" t="s">
        <v>21</v>
      </c>
      <c r="G15">
        <v>5</v>
      </c>
      <c r="H15">
        <v>4420.07</v>
      </c>
      <c r="I15">
        <v>3465.74</v>
      </c>
      <c r="J15" t="s">
        <v>22</v>
      </c>
    </row>
    <row r="16" spans="1:10">
      <c r="A16" t="s">
        <v>66</v>
      </c>
      <c r="B16">
        <v>45831</v>
      </c>
      <c r="C16" t="s">
        <v>67</v>
      </c>
      <c r="D16" t="s">
        <v>57</v>
      </c>
      <c r="E16" t="s">
        <v>26</v>
      </c>
      <c r="F16" t="s">
        <v>68</v>
      </c>
      <c r="G16">
        <v>7</v>
      </c>
      <c r="H16">
        <v>2286.16</v>
      </c>
      <c r="I16">
        <v>1892.93</v>
      </c>
      <c r="J16" t="s">
        <v>38</v>
      </c>
    </row>
    <row r="17" spans="1:10">
      <c r="A17" t="s">
        <v>69</v>
      </c>
      <c r="B17">
        <v>45943</v>
      </c>
      <c r="C17" t="s">
        <v>70</v>
      </c>
      <c r="D17" t="s">
        <v>63</v>
      </c>
      <c r="E17" t="s">
        <v>20</v>
      </c>
      <c r="F17" t="s">
        <v>14</v>
      </c>
      <c r="G17">
        <v>1</v>
      </c>
      <c r="H17">
        <v>4312.38</v>
      </c>
      <c r="I17">
        <v>2950.46</v>
      </c>
      <c r="J17" t="s">
        <v>71</v>
      </c>
    </row>
    <row r="18" spans="1:10">
      <c r="A18" t="s">
        <v>72</v>
      </c>
      <c r="B18">
        <v>45738</v>
      </c>
      <c r="C18" t="s">
        <v>54</v>
      </c>
      <c r="D18" t="s">
        <v>12</v>
      </c>
      <c r="E18" t="s">
        <v>36</v>
      </c>
      <c r="F18" t="s">
        <v>46</v>
      </c>
      <c r="G18">
        <v>1</v>
      </c>
      <c r="H18">
        <v>12424.86</v>
      </c>
      <c r="I18">
        <v>7949.35</v>
      </c>
      <c r="J18" t="s">
        <v>28</v>
      </c>
    </row>
    <row r="19" spans="1:10">
      <c r="A19" t="s">
        <v>73</v>
      </c>
      <c r="B19">
        <v>45991</v>
      </c>
      <c r="C19" t="s">
        <v>74</v>
      </c>
      <c r="D19" t="s">
        <v>75</v>
      </c>
      <c r="E19" t="s">
        <v>36</v>
      </c>
      <c r="F19" t="s">
        <v>37</v>
      </c>
      <c r="G19">
        <v>4</v>
      </c>
      <c r="H19" t="s">
        <v>76</v>
      </c>
      <c r="I19">
        <v>7926.59</v>
      </c>
      <c r="J19" t="s">
        <v>16</v>
      </c>
    </row>
    <row r="20" spans="1:10">
      <c r="A20" t="s">
        <v>77</v>
      </c>
      <c r="B20">
        <v>45804</v>
      </c>
      <c r="C20" t="s">
        <v>48</v>
      </c>
      <c r="D20" t="s">
        <v>41</v>
      </c>
      <c r="E20" t="s">
        <v>78</v>
      </c>
      <c r="F20" t="s">
        <v>79</v>
      </c>
      <c r="G20">
        <v>6</v>
      </c>
      <c r="H20">
        <v>3095.06</v>
      </c>
      <c r="I20">
        <v>1979.17</v>
      </c>
      <c r="J20" t="s">
        <v>28</v>
      </c>
    </row>
    <row r="21" spans="1:10">
      <c r="A21" t="s">
        <v>80</v>
      </c>
      <c r="B21">
        <v>45726</v>
      </c>
      <c r="C21" t="s">
        <v>35</v>
      </c>
      <c r="D21" t="s">
        <v>81</v>
      </c>
      <c r="E21" t="s">
        <v>82</v>
      </c>
      <c r="F21" t="s">
        <v>83</v>
      </c>
      <c r="G21">
        <v>8</v>
      </c>
      <c r="H21">
        <v>2200.7199999999998</v>
      </c>
      <c r="I21">
        <v>1797.79</v>
      </c>
      <c r="J21" t="s">
        <v>22</v>
      </c>
    </row>
    <row r="22" spans="1:10">
      <c r="A22" t="s">
        <v>84</v>
      </c>
      <c r="B22">
        <v>45910</v>
      </c>
      <c r="C22" t="s">
        <v>85</v>
      </c>
      <c r="D22" t="s">
        <v>41</v>
      </c>
      <c r="E22" t="s">
        <v>20</v>
      </c>
      <c r="F22" t="s">
        <v>86</v>
      </c>
      <c r="G22">
        <v>6</v>
      </c>
      <c r="H22">
        <v>702.38</v>
      </c>
      <c r="I22">
        <v>500.54</v>
      </c>
      <c r="J22" t="s">
        <v>38</v>
      </c>
    </row>
    <row r="23" spans="1:10">
      <c r="A23" t="s">
        <v>87</v>
      </c>
      <c r="B23">
        <v>45883</v>
      </c>
      <c r="C23" t="s">
        <v>35</v>
      </c>
      <c r="D23" t="s">
        <v>12</v>
      </c>
      <c r="E23" t="s">
        <v>36</v>
      </c>
      <c r="F23" t="s">
        <v>88</v>
      </c>
      <c r="G23">
        <v>1</v>
      </c>
      <c r="H23">
        <v>10810.71</v>
      </c>
      <c r="I23">
        <v>8558.61</v>
      </c>
      <c r="J23" t="s">
        <v>16</v>
      </c>
    </row>
    <row r="24" spans="1:10">
      <c r="A24" t="s">
        <v>89</v>
      </c>
      <c r="B24">
        <v>45800</v>
      </c>
      <c r="C24" t="s">
        <v>90</v>
      </c>
      <c r="D24" t="s">
        <v>12</v>
      </c>
      <c r="E24" t="s">
        <v>20</v>
      </c>
      <c r="F24" t="s">
        <v>91</v>
      </c>
      <c r="G24">
        <v>6</v>
      </c>
      <c r="H24">
        <v>2437.12</v>
      </c>
      <c r="I24">
        <v>2028.16</v>
      </c>
      <c r="J24" t="s">
        <v>38</v>
      </c>
    </row>
    <row r="25" spans="1:10">
      <c r="A25" t="s">
        <v>92</v>
      </c>
      <c r="B25">
        <v>45708</v>
      </c>
      <c r="C25" t="s">
        <v>30</v>
      </c>
      <c r="D25" t="s">
        <v>41</v>
      </c>
      <c r="E25" t="s">
        <v>36</v>
      </c>
      <c r="F25" t="s">
        <v>93</v>
      </c>
      <c r="G25">
        <v>2</v>
      </c>
      <c r="H25">
        <v>8486.9</v>
      </c>
      <c r="I25">
        <v>6611.47</v>
      </c>
      <c r="J25" t="s">
        <v>16</v>
      </c>
    </row>
    <row r="26" spans="1:10">
      <c r="A26" t="s">
        <v>94</v>
      </c>
      <c r="B26">
        <v>45945</v>
      </c>
      <c r="C26" t="s">
        <v>95</v>
      </c>
      <c r="D26" t="s">
        <v>12</v>
      </c>
      <c r="E26" t="s">
        <v>96</v>
      </c>
      <c r="F26" t="s">
        <v>97</v>
      </c>
      <c r="G26">
        <v>6</v>
      </c>
      <c r="H26">
        <v>4822.09</v>
      </c>
      <c r="I26">
        <v>3305.87</v>
      </c>
      <c r="J26" t="s">
        <v>28</v>
      </c>
    </row>
    <row r="27" spans="1:10">
      <c r="A27" t="s">
        <v>98</v>
      </c>
      <c r="B27">
        <v>45954</v>
      </c>
      <c r="C27" t="s">
        <v>67</v>
      </c>
      <c r="D27" t="s">
        <v>57</v>
      </c>
      <c r="E27" t="s">
        <v>32</v>
      </c>
      <c r="F27" t="s">
        <v>99</v>
      </c>
      <c r="G27">
        <v>6</v>
      </c>
      <c r="H27">
        <v>1163.8499999999999</v>
      </c>
      <c r="I27">
        <v>927.05</v>
      </c>
      <c r="J27" t="s">
        <v>22</v>
      </c>
    </row>
    <row r="28" spans="1:10">
      <c r="A28" t="s">
        <v>100</v>
      </c>
      <c r="B28">
        <v>45719</v>
      </c>
      <c r="C28" t="s">
        <v>85</v>
      </c>
      <c r="D28" t="s">
        <v>41</v>
      </c>
      <c r="E28" t="s">
        <v>32</v>
      </c>
      <c r="F28" t="s">
        <v>101</v>
      </c>
      <c r="G28">
        <v>3</v>
      </c>
      <c r="H28">
        <v>939.66</v>
      </c>
      <c r="I28">
        <v>815.95</v>
      </c>
      <c r="J28" t="s">
        <v>71</v>
      </c>
    </row>
    <row r="29" spans="1:10">
      <c r="A29" t="s">
        <v>102</v>
      </c>
      <c r="B29">
        <v>45866</v>
      </c>
      <c r="C29" t="s">
        <v>56</v>
      </c>
      <c r="D29" t="s">
        <v>12</v>
      </c>
      <c r="E29" t="s">
        <v>26</v>
      </c>
      <c r="F29" t="s">
        <v>103</v>
      </c>
      <c r="G29">
        <v>2</v>
      </c>
      <c r="H29">
        <v>2065.5500000000002</v>
      </c>
      <c r="I29">
        <v>1479.03</v>
      </c>
      <c r="J29" t="s">
        <v>22</v>
      </c>
    </row>
    <row r="30" spans="1:10">
      <c r="A30" t="s">
        <v>104</v>
      </c>
      <c r="B30">
        <v>45868</v>
      </c>
      <c r="C30" t="s">
        <v>105</v>
      </c>
      <c r="D30" t="s">
        <v>12</v>
      </c>
      <c r="E30" t="s">
        <v>26</v>
      </c>
      <c r="F30" t="s">
        <v>106</v>
      </c>
      <c r="G30">
        <v>5</v>
      </c>
      <c r="H30">
        <v>1689.76</v>
      </c>
      <c r="I30">
        <v>1450.06</v>
      </c>
      <c r="J30" t="s">
        <v>22</v>
      </c>
    </row>
    <row r="31" spans="1:10">
      <c r="A31" t="s">
        <v>107</v>
      </c>
      <c r="B31">
        <v>45802</v>
      </c>
      <c r="C31" t="s">
        <v>108</v>
      </c>
      <c r="D31" t="s">
        <v>57</v>
      </c>
      <c r="E31" t="s">
        <v>82</v>
      </c>
      <c r="F31" t="s">
        <v>109</v>
      </c>
      <c r="G31">
        <v>4</v>
      </c>
      <c r="H31">
        <v>3160.98</v>
      </c>
      <c r="I31">
        <v>2164.6799999999998</v>
      </c>
      <c r="J31" t="s">
        <v>71</v>
      </c>
    </row>
    <row r="32" spans="1:10">
      <c r="A32" t="s">
        <v>110</v>
      </c>
      <c r="B32">
        <v>45748</v>
      </c>
      <c r="C32" t="s">
        <v>108</v>
      </c>
      <c r="D32" t="s">
        <v>63</v>
      </c>
      <c r="E32" t="s">
        <v>26</v>
      </c>
      <c r="F32" t="s">
        <v>103</v>
      </c>
      <c r="G32">
        <v>4</v>
      </c>
      <c r="H32" t="s">
        <v>111</v>
      </c>
      <c r="I32">
        <v>1775.47</v>
      </c>
      <c r="J32" t="s">
        <v>22</v>
      </c>
    </row>
    <row r="33" spans="1:10">
      <c r="A33" t="s">
        <v>112</v>
      </c>
      <c r="B33">
        <v>45998</v>
      </c>
      <c r="C33" t="s">
        <v>18</v>
      </c>
      <c r="D33" t="s">
        <v>63</v>
      </c>
      <c r="E33" t="s">
        <v>36</v>
      </c>
      <c r="F33" t="s">
        <v>113</v>
      </c>
      <c r="G33">
        <v>4</v>
      </c>
      <c r="H33">
        <v>8985.32</v>
      </c>
      <c r="I33">
        <v>6962.51</v>
      </c>
      <c r="J33" t="s">
        <v>22</v>
      </c>
    </row>
    <row r="34" spans="1:10">
      <c r="A34" t="s">
        <v>114</v>
      </c>
      <c r="B34">
        <v>45663</v>
      </c>
      <c r="C34" t="s">
        <v>115</v>
      </c>
      <c r="D34" t="s">
        <v>12</v>
      </c>
      <c r="E34" t="s">
        <v>20</v>
      </c>
      <c r="F34" t="s">
        <v>91</v>
      </c>
      <c r="G34">
        <v>3</v>
      </c>
      <c r="H34">
        <v>3230.27</v>
      </c>
      <c r="I34">
        <v>2146.23</v>
      </c>
      <c r="J34" t="s">
        <v>38</v>
      </c>
    </row>
    <row r="35" spans="1:10">
      <c r="A35" t="s">
        <v>116</v>
      </c>
      <c r="B35">
        <v>45761</v>
      </c>
      <c r="C35" t="s">
        <v>117</v>
      </c>
      <c r="D35" t="s">
        <v>49</v>
      </c>
      <c r="E35" t="s">
        <v>20</v>
      </c>
      <c r="F35" t="s">
        <v>14</v>
      </c>
      <c r="G35">
        <v>2</v>
      </c>
      <c r="H35">
        <v>3169.54</v>
      </c>
      <c r="I35">
        <v>1846.54</v>
      </c>
      <c r="J35" t="s">
        <v>38</v>
      </c>
    </row>
    <row r="36" spans="1:10">
      <c r="A36" t="s">
        <v>118</v>
      </c>
      <c r="B36">
        <v>45944</v>
      </c>
      <c r="C36" t="s">
        <v>119</v>
      </c>
      <c r="D36" t="s">
        <v>57</v>
      </c>
      <c r="E36" t="s">
        <v>32</v>
      </c>
      <c r="F36" t="s">
        <v>101</v>
      </c>
      <c r="G36">
        <v>8</v>
      </c>
      <c r="H36">
        <v>1848.31</v>
      </c>
      <c r="I36">
        <v>1238.1600000000001</v>
      </c>
      <c r="J36" t="s">
        <v>28</v>
      </c>
    </row>
    <row r="37" spans="1:10">
      <c r="A37" t="s">
        <v>120</v>
      </c>
      <c r="B37">
        <v>45690</v>
      </c>
      <c r="C37" t="s">
        <v>121</v>
      </c>
      <c r="D37" t="s">
        <v>41</v>
      </c>
      <c r="E37" t="s">
        <v>122</v>
      </c>
      <c r="F37" t="s">
        <v>93</v>
      </c>
      <c r="G37">
        <v>6</v>
      </c>
      <c r="H37">
        <v>17800.97</v>
      </c>
      <c r="I37">
        <v>13553.59</v>
      </c>
      <c r="J37" t="s">
        <v>22</v>
      </c>
    </row>
    <row r="38" spans="1:10">
      <c r="A38" t="s">
        <v>123</v>
      </c>
      <c r="B38">
        <v>45893</v>
      </c>
      <c r="C38" t="s">
        <v>124</v>
      </c>
      <c r="D38" t="s">
        <v>125</v>
      </c>
      <c r="E38" t="s">
        <v>26</v>
      </c>
      <c r="F38" t="s">
        <v>27</v>
      </c>
      <c r="G38">
        <v>5</v>
      </c>
      <c r="H38">
        <v>2355.33</v>
      </c>
      <c r="I38">
        <v>1432.71</v>
      </c>
      <c r="J38" t="s">
        <v>16</v>
      </c>
    </row>
    <row r="39" spans="1:10">
      <c r="A39" t="s">
        <v>126</v>
      </c>
      <c r="B39">
        <v>45662</v>
      </c>
      <c r="C39" t="s">
        <v>56</v>
      </c>
      <c r="D39" t="s">
        <v>127</v>
      </c>
      <c r="E39" t="s">
        <v>32</v>
      </c>
      <c r="F39" t="s">
        <v>52</v>
      </c>
      <c r="G39">
        <v>0</v>
      </c>
      <c r="H39">
        <v>1536.48</v>
      </c>
      <c r="I39">
        <v>1195.3</v>
      </c>
      <c r="J39" t="s">
        <v>38</v>
      </c>
    </row>
    <row r="40" spans="1:10">
      <c r="A40" t="s">
        <v>128</v>
      </c>
      <c r="B40">
        <v>45893</v>
      </c>
      <c r="C40" t="s">
        <v>129</v>
      </c>
      <c r="D40" t="s">
        <v>63</v>
      </c>
      <c r="E40" t="s">
        <v>26</v>
      </c>
      <c r="F40" t="s">
        <v>103</v>
      </c>
      <c r="G40">
        <v>6</v>
      </c>
      <c r="H40">
        <v>2025.39</v>
      </c>
      <c r="I40">
        <v>1565.7</v>
      </c>
      <c r="J40" t="s">
        <v>22</v>
      </c>
    </row>
    <row r="41" spans="1:10">
      <c r="A41" t="s">
        <v>130</v>
      </c>
      <c r="B41">
        <v>45785</v>
      </c>
      <c r="C41" t="s">
        <v>24</v>
      </c>
      <c r="D41" t="s">
        <v>41</v>
      </c>
      <c r="E41" t="s">
        <v>26</v>
      </c>
      <c r="F41" t="s">
        <v>131</v>
      </c>
      <c r="G41">
        <v>7</v>
      </c>
      <c r="H41">
        <v>2547.06</v>
      </c>
      <c r="I41">
        <v>1554.79</v>
      </c>
      <c r="J41" t="s">
        <v>22</v>
      </c>
    </row>
    <row r="42" spans="1:10">
      <c r="A42" t="s">
        <v>132</v>
      </c>
      <c r="B42">
        <v>45934</v>
      </c>
      <c r="C42" t="s">
        <v>133</v>
      </c>
      <c r="D42" t="s">
        <v>57</v>
      </c>
      <c r="E42" t="s">
        <v>32</v>
      </c>
      <c r="F42" t="s">
        <v>101</v>
      </c>
      <c r="G42">
        <v>1</v>
      </c>
      <c r="H42">
        <v>2403.58</v>
      </c>
      <c r="I42">
        <v>2027.93</v>
      </c>
      <c r="J42" t="s">
        <v>22</v>
      </c>
    </row>
    <row r="43" spans="1:10">
      <c r="A43" t="s">
        <v>134</v>
      </c>
      <c r="B43">
        <v>45733</v>
      </c>
      <c r="C43" t="s">
        <v>135</v>
      </c>
      <c r="D43" t="s">
        <v>19</v>
      </c>
      <c r="E43" t="s">
        <v>20</v>
      </c>
      <c r="F43" t="s">
        <v>86</v>
      </c>
      <c r="G43">
        <v>1</v>
      </c>
      <c r="H43">
        <v>754.18</v>
      </c>
      <c r="I43">
        <v>659.68</v>
      </c>
      <c r="J43" t="s">
        <v>38</v>
      </c>
    </row>
    <row r="44" spans="1:10">
      <c r="A44" t="s">
        <v>136</v>
      </c>
      <c r="B44">
        <v>45946</v>
      </c>
      <c r="C44" t="s">
        <v>135</v>
      </c>
      <c r="D44" t="s">
        <v>31</v>
      </c>
      <c r="E44" t="s">
        <v>82</v>
      </c>
      <c r="F44" t="s">
        <v>137</v>
      </c>
      <c r="G44">
        <v>1</v>
      </c>
      <c r="H44">
        <v>5846.56</v>
      </c>
      <c r="I44">
        <v>3270.35</v>
      </c>
      <c r="J44" t="s">
        <v>16</v>
      </c>
    </row>
    <row r="45" spans="1:10">
      <c r="A45" t="s">
        <v>138</v>
      </c>
      <c r="B45">
        <v>45729</v>
      </c>
      <c r="C45" t="s">
        <v>139</v>
      </c>
      <c r="D45" t="s">
        <v>57</v>
      </c>
      <c r="E45" t="s">
        <v>26</v>
      </c>
      <c r="F45" t="s">
        <v>103</v>
      </c>
      <c r="G45">
        <v>8</v>
      </c>
      <c r="H45">
        <v>848.16</v>
      </c>
      <c r="I45">
        <v>715.41</v>
      </c>
      <c r="J45" t="s">
        <v>16</v>
      </c>
    </row>
    <row r="46" spans="1:10">
      <c r="A46" t="s">
        <v>140</v>
      </c>
      <c r="B46">
        <v>45729</v>
      </c>
      <c r="C46" t="s">
        <v>141</v>
      </c>
      <c r="D46" t="s">
        <v>41</v>
      </c>
      <c r="E46" t="s">
        <v>36</v>
      </c>
      <c r="F46" t="s">
        <v>46</v>
      </c>
      <c r="G46">
        <v>8</v>
      </c>
      <c r="H46">
        <v>6433.59</v>
      </c>
      <c r="I46">
        <v>4065.1</v>
      </c>
      <c r="J46" t="s">
        <v>22</v>
      </c>
    </row>
    <row r="47" spans="1:10">
      <c r="A47" t="s">
        <v>142</v>
      </c>
      <c r="B47">
        <v>46014</v>
      </c>
      <c r="C47" t="s">
        <v>59</v>
      </c>
      <c r="D47" t="s">
        <v>41</v>
      </c>
      <c r="E47" t="s">
        <v>26</v>
      </c>
      <c r="F47" t="s">
        <v>143</v>
      </c>
      <c r="G47">
        <v>1</v>
      </c>
      <c r="H47">
        <v>948.82</v>
      </c>
      <c r="I47">
        <v>790.05</v>
      </c>
      <c r="J47" t="s">
        <v>71</v>
      </c>
    </row>
    <row r="48" spans="1:10">
      <c r="A48" t="s">
        <v>144</v>
      </c>
      <c r="B48">
        <v>45865</v>
      </c>
      <c r="C48" t="s">
        <v>145</v>
      </c>
      <c r="D48" t="s">
        <v>19</v>
      </c>
      <c r="E48" t="s">
        <v>36</v>
      </c>
      <c r="F48" t="s">
        <v>146</v>
      </c>
      <c r="G48">
        <v>8</v>
      </c>
      <c r="H48">
        <v>14041.66</v>
      </c>
      <c r="I48">
        <v>12114.73</v>
      </c>
      <c r="J48" t="s">
        <v>22</v>
      </c>
    </row>
    <row r="49" spans="1:10">
      <c r="A49" t="s">
        <v>147</v>
      </c>
      <c r="B49">
        <v>45854</v>
      </c>
      <c r="C49" t="s">
        <v>30</v>
      </c>
      <c r="D49" t="s">
        <v>12</v>
      </c>
      <c r="E49" t="s">
        <v>32</v>
      </c>
      <c r="F49" t="s">
        <v>101</v>
      </c>
      <c r="G49">
        <v>3</v>
      </c>
      <c r="H49">
        <v>611.61</v>
      </c>
      <c r="I49">
        <v>530.21</v>
      </c>
      <c r="J49" t="s">
        <v>16</v>
      </c>
    </row>
    <row r="50" spans="1:10">
      <c r="A50" t="s">
        <v>148</v>
      </c>
      <c r="B50">
        <v>45883</v>
      </c>
      <c r="C50" t="s">
        <v>119</v>
      </c>
      <c r="D50" t="s">
        <v>19</v>
      </c>
      <c r="E50" t="s">
        <v>149</v>
      </c>
      <c r="F50" t="s">
        <v>150</v>
      </c>
      <c r="G50">
        <v>4</v>
      </c>
      <c r="H50">
        <v>6932.52</v>
      </c>
      <c r="I50">
        <v>4047.19</v>
      </c>
      <c r="J50" t="s">
        <v>71</v>
      </c>
    </row>
    <row r="51" spans="1:10">
      <c r="A51" t="s">
        <v>151</v>
      </c>
      <c r="B51">
        <v>45704</v>
      </c>
      <c r="C51" t="s">
        <v>70</v>
      </c>
      <c r="D51" t="s">
        <v>31</v>
      </c>
      <c r="E51" t="s">
        <v>82</v>
      </c>
      <c r="F51" t="s">
        <v>97</v>
      </c>
      <c r="G51">
        <v>4</v>
      </c>
      <c r="H51">
        <v>3250.78</v>
      </c>
      <c r="I51">
        <v>2631.51</v>
      </c>
      <c r="J51" t="s">
        <v>71</v>
      </c>
    </row>
    <row r="52" spans="1:10">
      <c r="A52" t="s">
        <v>152</v>
      </c>
      <c r="B52">
        <v>45859</v>
      </c>
      <c r="C52" t="s">
        <v>115</v>
      </c>
      <c r="D52" t="s">
        <v>31</v>
      </c>
      <c r="E52" t="s">
        <v>20</v>
      </c>
      <c r="F52" t="s">
        <v>91</v>
      </c>
      <c r="G52">
        <v>2</v>
      </c>
      <c r="H52">
        <v>3755.43</v>
      </c>
      <c r="I52">
        <v>2142.67</v>
      </c>
      <c r="J52" t="s">
        <v>71</v>
      </c>
    </row>
    <row r="53" spans="1:10">
      <c r="A53" t="s">
        <v>153</v>
      </c>
      <c r="B53">
        <v>45870</v>
      </c>
      <c r="C53" t="s">
        <v>24</v>
      </c>
      <c r="D53" t="s">
        <v>19</v>
      </c>
      <c r="E53" t="s">
        <v>26</v>
      </c>
      <c r="F53" t="s">
        <v>131</v>
      </c>
      <c r="G53">
        <v>3</v>
      </c>
      <c r="H53">
        <v>902.58</v>
      </c>
      <c r="I53">
        <v>730.68</v>
      </c>
      <c r="J53" t="s">
        <v>22</v>
      </c>
    </row>
    <row r="54" spans="1:10">
      <c r="A54" t="s">
        <v>154</v>
      </c>
      <c r="B54">
        <v>45787</v>
      </c>
      <c r="C54" t="s">
        <v>18</v>
      </c>
      <c r="D54" t="s">
        <v>63</v>
      </c>
      <c r="E54" t="s">
        <v>149</v>
      </c>
      <c r="F54" t="s">
        <v>155</v>
      </c>
      <c r="G54">
        <v>6</v>
      </c>
      <c r="H54">
        <v>6306.43</v>
      </c>
      <c r="I54">
        <v>4401.88</v>
      </c>
      <c r="J54" t="s">
        <v>16</v>
      </c>
    </row>
    <row r="55" spans="1:10">
      <c r="A55" t="s">
        <v>156</v>
      </c>
      <c r="B55">
        <v>45965</v>
      </c>
      <c r="C55" t="s">
        <v>85</v>
      </c>
      <c r="D55" t="s">
        <v>12</v>
      </c>
      <c r="E55" t="s">
        <v>20</v>
      </c>
      <c r="F55" t="s">
        <v>157</v>
      </c>
      <c r="G55">
        <v>7</v>
      </c>
      <c r="H55">
        <v>984.77</v>
      </c>
      <c r="I55">
        <v>627.12</v>
      </c>
    </row>
    <row r="56" spans="1:10">
      <c r="A56" t="s">
        <v>158</v>
      </c>
      <c r="B56">
        <v>45963</v>
      </c>
      <c r="C56" t="s">
        <v>54</v>
      </c>
      <c r="D56" t="s">
        <v>31</v>
      </c>
      <c r="E56" t="s">
        <v>82</v>
      </c>
      <c r="F56" t="s">
        <v>109</v>
      </c>
      <c r="G56">
        <v>4</v>
      </c>
      <c r="H56" t="s">
        <v>159</v>
      </c>
      <c r="I56">
        <v>1074.77</v>
      </c>
      <c r="J56" t="s">
        <v>16</v>
      </c>
    </row>
    <row r="57" spans="1:10">
      <c r="A57" t="s">
        <v>160</v>
      </c>
      <c r="B57">
        <v>46018</v>
      </c>
      <c r="C57" t="s">
        <v>117</v>
      </c>
      <c r="D57" t="s">
        <v>41</v>
      </c>
      <c r="E57" t="s">
        <v>26</v>
      </c>
      <c r="F57" t="s">
        <v>27</v>
      </c>
      <c r="G57">
        <v>5</v>
      </c>
      <c r="H57">
        <v>2963.33</v>
      </c>
      <c r="I57">
        <v>1887.33</v>
      </c>
      <c r="J57" t="s">
        <v>38</v>
      </c>
    </row>
    <row r="58" spans="1:10">
      <c r="A58" t="s">
        <v>161</v>
      </c>
      <c r="B58">
        <v>45846</v>
      </c>
      <c r="C58" t="s">
        <v>162</v>
      </c>
      <c r="D58" t="s">
        <v>12</v>
      </c>
      <c r="E58" t="s">
        <v>32</v>
      </c>
      <c r="F58" t="s">
        <v>163</v>
      </c>
      <c r="G58">
        <v>3</v>
      </c>
      <c r="H58">
        <v>1014.07</v>
      </c>
      <c r="I58">
        <v>861.7</v>
      </c>
      <c r="J58" t="s">
        <v>22</v>
      </c>
    </row>
    <row r="59" spans="1:10">
      <c r="A59" t="s">
        <v>164</v>
      </c>
      <c r="B59">
        <v>45892</v>
      </c>
      <c r="C59" t="s">
        <v>40</v>
      </c>
      <c r="D59" t="s">
        <v>31</v>
      </c>
      <c r="E59" t="s">
        <v>26</v>
      </c>
      <c r="F59" t="s">
        <v>27</v>
      </c>
      <c r="G59">
        <v>8</v>
      </c>
      <c r="H59">
        <v>3030.09</v>
      </c>
      <c r="I59">
        <v>2210.0100000000002</v>
      </c>
      <c r="J59" t="s">
        <v>16</v>
      </c>
    </row>
    <row r="60" spans="1:10">
      <c r="A60" t="s">
        <v>165</v>
      </c>
      <c r="B60">
        <v>45708</v>
      </c>
      <c r="C60" t="s">
        <v>30</v>
      </c>
      <c r="D60" t="s">
        <v>12</v>
      </c>
      <c r="E60" t="s">
        <v>26</v>
      </c>
      <c r="F60" t="s">
        <v>103</v>
      </c>
      <c r="G60">
        <v>4</v>
      </c>
      <c r="H60">
        <v>2647.68</v>
      </c>
      <c r="I60">
        <v>2216.27</v>
      </c>
      <c r="J60" t="s">
        <v>28</v>
      </c>
    </row>
    <row r="61" spans="1:10">
      <c r="A61" t="s">
        <v>166</v>
      </c>
      <c r="B61">
        <v>45965</v>
      </c>
      <c r="C61" t="s">
        <v>108</v>
      </c>
      <c r="D61" t="s">
        <v>41</v>
      </c>
      <c r="E61" t="s">
        <v>36</v>
      </c>
      <c r="F61" t="s">
        <v>88</v>
      </c>
      <c r="G61">
        <v>5</v>
      </c>
      <c r="H61">
        <v>6913.15</v>
      </c>
      <c r="I61">
        <v>5120.66</v>
      </c>
      <c r="J61" t="s">
        <v>71</v>
      </c>
    </row>
    <row r="62" spans="1:10">
      <c r="A62" t="s">
        <v>167</v>
      </c>
      <c r="B62">
        <v>45765</v>
      </c>
      <c r="C62" t="s">
        <v>35</v>
      </c>
      <c r="E62" t="s">
        <v>26</v>
      </c>
      <c r="F62" t="s">
        <v>143</v>
      </c>
      <c r="G62">
        <v>7</v>
      </c>
      <c r="H62">
        <v>2258.85</v>
      </c>
      <c r="I62">
        <v>1264.94</v>
      </c>
      <c r="J62" t="s">
        <v>38</v>
      </c>
    </row>
    <row r="63" spans="1:10">
      <c r="A63" t="s">
        <v>168</v>
      </c>
      <c r="B63">
        <v>45958</v>
      </c>
      <c r="C63" t="s">
        <v>54</v>
      </c>
      <c r="D63" t="s">
        <v>12</v>
      </c>
      <c r="E63" t="s">
        <v>36</v>
      </c>
      <c r="F63" t="s">
        <v>46</v>
      </c>
      <c r="G63">
        <v>-3</v>
      </c>
      <c r="H63">
        <v>9097.64</v>
      </c>
      <c r="I63">
        <v>7614.05</v>
      </c>
      <c r="J63" t="s">
        <v>22</v>
      </c>
    </row>
    <row r="64" spans="1:10">
      <c r="A64" t="s">
        <v>169</v>
      </c>
      <c r="B64" t="s">
        <v>170</v>
      </c>
      <c r="C64" t="s">
        <v>11</v>
      </c>
      <c r="D64" t="s">
        <v>63</v>
      </c>
      <c r="E64" t="s">
        <v>36</v>
      </c>
      <c r="F64" t="s">
        <v>42</v>
      </c>
      <c r="G64">
        <v>4</v>
      </c>
      <c r="H64">
        <v>5546.33</v>
      </c>
      <c r="I64">
        <v>3635.64</v>
      </c>
      <c r="J64" t="s">
        <v>38</v>
      </c>
    </row>
    <row r="65" spans="1:10">
      <c r="A65" t="s">
        <v>171</v>
      </c>
      <c r="B65">
        <v>45717</v>
      </c>
      <c r="C65" t="s">
        <v>11</v>
      </c>
      <c r="D65" t="s">
        <v>127</v>
      </c>
      <c r="E65" t="s">
        <v>82</v>
      </c>
      <c r="F65" t="s">
        <v>155</v>
      </c>
      <c r="G65">
        <v>4</v>
      </c>
      <c r="H65">
        <v>5289.15</v>
      </c>
      <c r="I65">
        <v>2913.52</v>
      </c>
      <c r="J65" t="s">
        <v>16</v>
      </c>
    </row>
    <row r="66" spans="1:10">
      <c r="A66" t="s">
        <v>172</v>
      </c>
      <c r="B66">
        <v>45902</v>
      </c>
      <c r="C66" t="s">
        <v>74</v>
      </c>
      <c r="D66" t="s">
        <v>173</v>
      </c>
      <c r="E66" t="s">
        <v>32</v>
      </c>
      <c r="F66" t="s">
        <v>33</v>
      </c>
      <c r="G66">
        <v>2</v>
      </c>
      <c r="H66">
        <v>460.28</v>
      </c>
      <c r="I66">
        <v>318.08</v>
      </c>
      <c r="J66" t="s">
        <v>22</v>
      </c>
    </row>
    <row r="67" spans="1:10">
      <c r="A67" t="s">
        <v>174</v>
      </c>
      <c r="B67">
        <v>45716</v>
      </c>
      <c r="C67" t="s">
        <v>175</v>
      </c>
      <c r="D67" t="s">
        <v>41</v>
      </c>
      <c r="E67" t="s">
        <v>36</v>
      </c>
      <c r="F67" t="s">
        <v>37</v>
      </c>
      <c r="G67">
        <v>8</v>
      </c>
      <c r="H67">
        <v>11742.64</v>
      </c>
      <c r="I67">
        <v>6789.02</v>
      </c>
      <c r="J67" t="s">
        <v>28</v>
      </c>
    </row>
    <row r="68" spans="1:10">
      <c r="A68" t="s">
        <v>176</v>
      </c>
      <c r="B68">
        <v>45955</v>
      </c>
      <c r="C68" t="s">
        <v>133</v>
      </c>
      <c r="D68" t="s">
        <v>12</v>
      </c>
      <c r="E68" t="s">
        <v>20</v>
      </c>
      <c r="F68" t="s">
        <v>21</v>
      </c>
      <c r="G68">
        <v>1</v>
      </c>
      <c r="H68">
        <v>5173.95</v>
      </c>
      <c r="I68">
        <v>4057.22</v>
      </c>
      <c r="J68" t="s">
        <v>28</v>
      </c>
    </row>
    <row r="69" spans="1:10">
      <c r="A69" t="s">
        <v>177</v>
      </c>
      <c r="B69">
        <v>45949</v>
      </c>
      <c r="C69" t="s">
        <v>178</v>
      </c>
      <c r="D69" t="s">
        <v>65</v>
      </c>
      <c r="E69" t="s">
        <v>179</v>
      </c>
      <c r="F69" t="s">
        <v>180</v>
      </c>
      <c r="G69">
        <v>4</v>
      </c>
      <c r="H69">
        <v>1033.8</v>
      </c>
      <c r="I69">
        <v>667.05</v>
      </c>
      <c r="J69" t="s">
        <v>28</v>
      </c>
    </row>
    <row r="70" spans="1:10">
      <c r="A70" t="s">
        <v>181</v>
      </c>
      <c r="B70">
        <v>45716</v>
      </c>
      <c r="C70" t="s">
        <v>85</v>
      </c>
      <c r="D70" t="s">
        <v>12</v>
      </c>
      <c r="E70" t="s">
        <v>182</v>
      </c>
      <c r="F70" t="s">
        <v>106</v>
      </c>
      <c r="G70">
        <v>4</v>
      </c>
      <c r="H70">
        <v>642.24</v>
      </c>
      <c r="I70">
        <v>400.73</v>
      </c>
      <c r="J70" t="s">
        <v>22</v>
      </c>
    </row>
    <row r="71" spans="1:10">
      <c r="A71" t="s">
        <v>183</v>
      </c>
      <c r="B71">
        <v>45891</v>
      </c>
      <c r="C71" t="s">
        <v>162</v>
      </c>
      <c r="D71" t="s">
        <v>12</v>
      </c>
      <c r="E71" t="s">
        <v>32</v>
      </c>
      <c r="F71" t="s">
        <v>101</v>
      </c>
      <c r="G71">
        <v>5</v>
      </c>
      <c r="H71">
        <v>1780.21</v>
      </c>
      <c r="I71">
        <v>1473.23</v>
      </c>
      <c r="J71" t="s">
        <v>71</v>
      </c>
    </row>
    <row r="72" spans="1:10">
      <c r="A72" t="s">
        <v>184</v>
      </c>
      <c r="B72">
        <v>45811</v>
      </c>
      <c r="C72" t="s">
        <v>30</v>
      </c>
      <c r="D72" t="s">
        <v>12</v>
      </c>
      <c r="E72" t="s">
        <v>20</v>
      </c>
      <c r="F72" t="s">
        <v>86</v>
      </c>
      <c r="G72">
        <v>4</v>
      </c>
      <c r="H72">
        <v>5765.83</v>
      </c>
      <c r="I72">
        <v>4316.92</v>
      </c>
      <c r="J72" t="s">
        <v>71</v>
      </c>
    </row>
    <row r="73" spans="1:10">
      <c r="A73" t="s">
        <v>185</v>
      </c>
      <c r="B73">
        <v>45692</v>
      </c>
      <c r="C73" t="s">
        <v>40</v>
      </c>
      <c r="D73" t="s">
        <v>12</v>
      </c>
      <c r="E73" t="s">
        <v>82</v>
      </c>
      <c r="F73" t="s">
        <v>137</v>
      </c>
      <c r="G73">
        <v>1</v>
      </c>
      <c r="H73">
        <v>3156</v>
      </c>
      <c r="I73">
        <v>2332.63</v>
      </c>
      <c r="J73" t="s">
        <v>38</v>
      </c>
    </row>
    <row r="74" spans="1:10">
      <c r="A74" t="s">
        <v>186</v>
      </c>
      <c r="B74">
        <v>45812</v>
      </c>
      <c r="C74" t="s">
        <v>35</v>
      </c>
      <c r="D74" t="s">
        <v>63</v>
      </c>
      <c r="E74" t="s">
        <v>26</v>
      </c>
      <c r="F74" t="s">
        <v>106</v>
      </c>
      <c r="G74">
        <v>4</v>
      </c>
      <c r="H74">
        <v>3497.96</v>
      </c>
      <c r="I74">
        <v>2908.91</v>
      </c>
      <c r="J74" t="s">
        <v>16</v>
      </c>
    </row>
    <row r="75" spans="1:10">
      <c r="A75" t="s">
        <v>187</v>
      </c>
      <c r="B75">
        <v>45970</v>
      </c>
      <c r="C75" t="s">
        <v>56</v>
      </c>
      <c r="D75" t="s">
        <v>41</v>
      </c>
      <c r="E75" t="s">
        <v>13</v>
      </c>
      <c r="F75" t="s">
        <v>86</v>
      </c>
      <c r="G75">
        <v>7</v>
      </c>
      <c r="H75">
        <v>5048.4399999999996</v>
      </c>
      <c r="I75">
        <v>3635.09</v>
      </c>
      <c r="J75" t="s">
        <v>16</v>
      </c>
    </row>
    <row r="76" spans="1:10">
      <c r="A76" t="s">
        <v>188</v>
      </c>
      <c r="B76">
        <v>45955</v>
      </c>
      <c r="C76" t="s">
        <v>115</v>
      </c>
      <c r="D76" t="s">
        <v>41</v>
      </c>
      <c r="E76" t="s">
        <v>32</v>
      </c>
      <c r="F76" t="s">
        <v>163</v>
      </c>
      <c r="G76">
        <v>4</v>
      </c>
      <c r="H76" t="s">
        <v>189</v>
      </c>
      <c r="I76">
        <v>1547.95</v>
      </c>
      <c r="J76" t="s">
        <v>22</v>
      </c>
    </row>
    <row r="77" spans="1:10">
      <c r="A77" t="s">
        <v>190</v>
      </c>
      <c r="B77">
        <v>45717</v>
      </c>
      <c r="C77" t="s">
        <v>108</v>
      </c>
      <c r="D77" t="s">
        <v>63</v>
      </c>
      <c r="E77" t="s">
        <v>20</v>
      </c>
      <c r="F77" t="s">
        <v>191</v>
      </c>
      <c r="G77">
        <v>8</v>
      </c>
      <c r="H77">
        <v>4144.53</v>
      </c>
      <c r="I77">
        <v>2608.9699999999998</v>
      </c>
      <c r="J77" t="s">
        <v>71</v>
      </c>
    </row>
    <row r="78" spans="1:10">
      <c r="A78" t="s">
        <v>192</v>
      </c>
      <c r="B78" t="s">
        <v>193</v>
      </c>
      <c r="C78" t="s">
        <v>30</v>
      </c>
      <c r="D78" t="s">
        <v>19</v>
      </c>
      <c r="E78" t="s">
        <v>36</v>
      </c>
      <c r="F78" t="s">
        <v>88</v>
      </c>
      <c r="G78">
        <v>4</v>
      </c>
      <c r="H78">
        <v>17034.66</v>
      </c>
      <c r="I78">
        <v>13729.89</v>
      </c>
      <c r="J78" t="s">
        <v>38</v>
      </c>
    </row>
    <row r="79" spans="1:10">
      <c r="A79" t="s">
        <v>194</v>
      </c>
      <c r="B79">
        <v>45879</v>
      </c>
      <c r="C79" t="s">
        <v>195</v>
      </c>
      <c r="D79" t="s">
        <v>19</v>
      </c>
      <c r="E79" t="s">
        <v>20</v>
      </c>
      <c r="F79" t="s">
        <v>196</v>
      </c>
      <c r="G79">
        <v>7</v>
      </c>
      <c r="H79">
        <v>1578.35</v>
      </c>
      <c r="I79">
        <v>1284.8</v>
      </c>
      <c r="J79" t="s">
        <v>71</v>
      </c>
    </row>
    <row r="80" spans="1:10">
      <c r="A80" t="s">
        <v>197</v>
      </c>
      <c r="B80">
        <v>45661</v>
      </c>
      <c r="C80" t="s">
        <v>56</v>
      </c>
      <c r="D80" t="s">
        <v>31</v>
      </c>
      <c r="E80" t="s">
        <v>36</v>
      </c>
      <c r="F80" t="s">
        <v>113</v>
      </c>
      <c r="G80">
        <v>7</v>
      </c>
      <c r="H80">
        <v>12092.74</v>
      </c>
      <c r="I80">
        <v>9395.61</v>
      </c>
      <c r="J80" t="s">
        <v>22</v>
      </c>
    </row>
    <row r="81" spans="1:10">
      <c r="A81" t="s">
        <v>198</v>
      </c>
      <c r="B81">
        <v>45711</v>
      </c>
      <c r="C81" t="s">
        <v>115</v>
      </c>
      <c r="D81" t="s">
        <v>57</v>
      </c>
      <c r="E81" t="s">
        <v>36</v>
      </c>
      <c r="F81" t="s">
        <v>46</v>
      </c>
      <c r="G81">
        <v>7</v>
      </c>
      <c r="H81">
        <v>16481.98</v>
      </c>
      <c r="I81">
        <v>11690.38</v>
      </c>
      <c r="J81" t="s">
        <v>38</v>
      </c>
    </row>
    <row r="82" spans="1:10">
      <c r="A82" t="s">
        <v>199</v>
      </c>
      <c r="B82">
        <v>45659</v>
      </c>
      <c r="C82" t="s">
        <v>74</v>
      </c>
      <c r="D82" t="s">
        <v>12</v>
      </c>
      <c r="E82" t="s">
        <v>20</v>
      </c>
      <c r="F82" t="s">
        <v>91</v>
      </c>
      <c r="G82">
        <v>8</v>
      </c>
      <c r="H82">
        <v>523.54</v>
      </c>
      <c r="I82">
        <v>289.60000000000002</v>
      </c>
      <c r="J82" t="s">
        <v>71</v>
      </c>
    </row>
    <row r="83" spans="1:10">
      <c r="A83" t="s">
        <v>200</v>
      </c>
      <c r="B83">
        <v>45756</v>
      </c>
      <c r="C83" t="s">
        <v>11</v>
      </c>
      <c r="D83" t="s">
        <v>57</v>
      </c>
      <c r="E83" t="s">
        <v>36</v>
      </c>
      <c r="F83" t="s">
        <v>42</v>
      </c>
      <c r="G83">
        <v>6</v>
      </c>
      <c r="H83">
        <v>2944.39</v>
      </c>
      <c r="I83">
        <v>2140.09</v>
      </c>
      <c r="J83" t="s">
        <v>71</v>
      </c>
    </row>
    <row r="84" spans="1:10">
      <c r="A84" t="s">
        <v>201</v>
      </c>
      <c r="B84">
        <v>46006</v>
      </c>
      <c r="C84" t="s">
        <v>162</v>
      </c>
      <c r="D84" t="s">
        <v>57</v>
      </c>
      <c r="E84" t="s">
        <v>26</v>
      </c>
      <c r="F84" t="s">
        <v>106</v>
      </c>
      <c r="G84">
        <v>8</v>
      </c>
      <c r="H84">
        <v>3163.7</v>
      </c>
      <c r="I84">
        <v>2640.01</v>
      </c>
      <c r="J84" t="s">
        <v>28</v>
      </c>
    </row>
    <row r="85" spans="1:10">
      <c r="A85" t="s">
        <v>202</v>
      </c>
      <c r="B85">
        <v>45929</v>
      </c>
      <c r="C85" t="s">
        <v>105</v>
      </c>
      <c r="D85" t="s">
        <v>19</v>
      </c>
      <c r="E85" t="s">
        <v>36</v>
      </c>
      <c r="F85" t="s">
        <v>88</v>
      </c>
      <c r="G85">
        <v>4</v>
      </c>
      <c r="H85" t="s">
        <v>203</v>
      </c>
      <c r="I85">
        <v>665.15</v>
      </c>
      <c r="J85" t="s">
        <v>71</v>
      </c>
    </row>
    <row r="86" spans="1:10">
      <c r="A86" t="s">
        <v>204</v>
      </c>
      <c r="B86">
        <v>45884</v>
      </c>
      <c r="C86" t="s">
        <v>35</v>
      </c>
      <c r="D86" t="s">
        <v>57</v>
      </c>
      <c r="E86" t="s">
        <v>82</v>
      </c>
      <c r="F86" t="s">
        <v>205</v>
      </c>
      <c r="G86">
        <v>8</v>
      </c>
      <c r="H86">
        <v>2321.14</v>
      </c>
      <c r="I86">
        <v>1387.56</v>
      </c>
      <c r="J86" t="s">
        <v>71</v>
      </c>
    </row>
    <row r="87" spans="1:10">
      <c r="A87" t="s">
        <v>206</v>
      </c>
      <c r="B87">
        <v>45865</v>
      </c>
      <c r="C87" t="s">
        <v>35</v>
      </c>
      <c r="D87" t="s">
        <v>12</v>
      </c>
      <c r="E87" t="s">
        <v>82</v>
      </c>
      <c r="F87" t="s">
        <v>97</v>
      </c>
      <c r="G87">
        <v>4</v>
      </c>
      <c r="H87">
        <v>6381.6</v>
      </c>
      <c r="I87">
        <v>4671.5</v>
      </c>
      <c r="J87" t="s">
        <v>38</v>
      </c>
    </row>
    <row r="88" spans="1:10">
      <c r="A88" t="s">
        <v>207</v>
      </c>
      <c r="B88">
        <v>45800</v>
      </c>
      <c r="C88" t="s">
        <v>11</v>
      </c>
      <c r="D88" t="s">
        <v>19</v>
      </c>
      <c r="E88" t="s">
        <v>20</v>
      </c>
      <c r="F88" t="s">
        <v>14</v>
      </c>
      <c r="G88">
        <v>8</v>
      </c>
      <c r="H88" t="s">
        <v>208</v>
      </c>
      <c r="I88">
        <v>1295.05</v>
      </c>
      <c r="J88" t="s">
        <v>38</v>
      </c>
    </row>
    <row r="89" spans="1:10">
      <c r="A89" t="s">
        <v>209</v>
      </c>
      <c r="B89">
        <v>45990</v>
      </c>
      <c r="C89" t="s">
        <v>59</v>
      </c>
      <c r="D89" t="s">
        <v>12</v>
      </c>
      <c r="E89" t="s">
        <v>36</v>
      </c>
      <c r="F89" t="s">
        <v>113</v>
      </c>
      <c r="G89">
        <v>6</v>
      </c>
      <c r="H89">
        <v>11047.01</v>
      </c>
      <c r="I89">
        <v>9611.01</v>
      </c>
      <c r="J89" t="s">
        <v>28</v>
      </c>
    </row>
    <row r="90" spans="1:10">
      <c r="A90" t="s">
        <v>210</v>
      </c>
      <c r="B90">
        <v>45855</v>
      </c>
      <c r="C90" t="s">
        <v>135</v>
      </c>
      <c r="D90" t="s">
        <v>41</v>
      </c>
      <c r="E90" t="s">
        <v>36</v>
      </c>
      <c r="F90" t="s">
        <v>42</v>
      </c>
      <c r="G90">
        <v>5</v>
      </c>
      <c r="H90">
        <v>11282.67</v>
      </c>
      <c r="I90">
        <v>8856.23</v>
      </c>
      <c r="J90" t="s">
        <v>38</v>
      </c>
    </row>
    <row r="91" spans="1:10">
      <c r="A91" t="s">
        <v>211</v>
      </c>
      <c r="B91">
        <v>45879</v>
      </c>
      <c r="C91" t="s">
        <v>67</v>
      </c>
      <c r="D91" t="s">
        <v>12</v>
      </c>
      <c r="E91" t="s">
        <v>36</v>
      </c>
      <c r="F91" t="s">
        <v>37</v>
      </c>
      <c r="G91">
        <v>2</v>
      </c>
      <c r="H91">
        <v>13632.47</v>
      </c>
      <c r="I91">
        <v>9174.2900000000009</v>
      </c>
      <c r="J91" t="s">
        <v>71</v>
      </c>
    </row>
    <row r="92" spans="1:10">
      <c r="A92" t="s">
        <v>212</v>
      </c>
      <c r="B92">
        <v>45819</v>
      </c>
      <c r="C92" t="s">
        <v>59</v>
      </c>
      <c r="D92" t="s">
        <v>12</v>
      </c>
      <c r="E92" t="s">
        <v>32</v>
      </c>
      <c r="F92" t="s">
        <v>163</v>
      </c>
      <c r="G92">
        <v>1</v>
      </c>
      <c r="H92">
        <v>1095.1300000000001</v>
      </c>
      <c r="I92">
        <v>768.12</v>
      </c>
      <c r="J92" t="s">
        <v>16</v>
      </c>
    </row>
    <row r="93" spans="1:10">
      <c r="A93" t="s">
        <v>213</v>
      </c>
      <c r="B93">
        <v>45940</v>
      </c>
      <c r="C93" t="s">
        <v>51</v>
      </c>
      <c r="D93" t="s">
        <v>12</v>
      </c>
      <c r="E93" t="s">
        <v>26</v>
      </c>
      <c r="F93" t="s">
        <v>79</v>
      </c>
      <c r="G93">
        <v>3</v>
      </c>
      <c r="H93">
        <v>1646.81</v>
      </c>
      <c r="I93">
        <v>928.48</v>
      </c>
      <c r="J93" t="s">
        <v>22</v>
      </c>
    </row>
    <row r="94" spans="1:10">
      <c r="A94" t="s">
        <v>214</v>
      </c>
      <c r="B94">
        <v>45731</v>
      </c>
      <c r="C94" t="s">
        <v>215</v>
      </c>
      <c r="D94" t="s">
        <v>31</v>
      </c>
      <c r="E94" t="s">
        <v>32</v>
      </c>
      <c r="F94" t="s">
        <v>180</v>
      </c>
      <c r="G94">
        <v>7</v>
      </c>
      <c r="H94">
        <v>2203.15</v>
      </c>
      <c r="I94">
        <v>1916.93</v>
      </c>
      <c r="J94" t="s">
        <v>16</v>
      </c>
    </row>
    <row r="95" spans="1:10">
      <c r="A95" t="s">
        <v>216</v>
      </c>
      <c r="B95">
        <v>46012</v>
      </c>
      <c r="C95" t="s">
        <v>24</v>
      </c>
      <c r="D95" t="s">
        <v>31</v>
      </c>
      <c r="E95" t="s">
        <v>32</v>
      </c>
      <c r="F95" t="s">
        <v>180</v>
      </c>
      <c r="G95">
        <v>6</v>
      </c>
      <c r="H95">
        <v>2205.46</v>
      </c>
      <c r="I95">
        <v>1891.15</v>
      </c>
      <c r="J95" t="s">
        <v>38</v>
      </c>
    </row>
    <row r="96" spans="1:10">
      <c r="A96" t="s">
        <v>217</v>
      </c>
      <c r="B96">
        <v>45930</v>
      </c>
      <c r="C96" t="s">
        <v>74</v>
      </c>
      <c r="D96" t="s">
        <v>81</v>
      </c>
      <c r="E96" t="s">
        <v>60</v>
      </c>
      <c r="F96" t="s">
        <v>218</v>
      </c>
      <c r="G96">
        <v>8</v>
      </c>
      <c r="H96">
        <v>7753.96</v>
      </c>
      <c r="I96">
        <v>5322.6</v>
      </c>
      <c r="J96" t="s">
        <v>38</v>
      </c>
    </row>
    <row r="97" spans="1:10">
      <c r="A97" t="s">
        <v>219</v>
      </c>
      <c r="B97">
        <v>45874</v>
      </c>
      <c r="C97" t="s">
        <v>220</v>
      </c>
      <c r="D97" t="s">
        <v>41</v>
      </c>
      <c r="E97" t="s">
        <v>36</v>
      </c>
      <c r="F97" t="s">
        <v>46</v>
      </c>
      <c r="G97">
        <v>2</v>
      </c>
      <c r="H97">
        <v>5476.93</v>
      </c>
      <c r="I97">
        <v>4708.72</v>
      </c>
      <c r="J97" t="s">
        <v>38</v>
      </c>
    </row>
    <row r="98" spans="1:10">
      <c r="A98" t="s">
        <v>221</v>
      </c>
      <c r="B98">
        <v>45731</v>
      </c>
      <c r="C98" t="s">
        <v>85</v>
      </c>
      <c r="D98" t="s">
        <v>19</v>
      </c>
      <c r="E98" t="s">
        <v>82</v>
      </c>
      <c r="F98" t="s">
        <v>137</v>
      </c>
      <c r="G98">
        <v>4</v>
      </c>
      <c r="H98">
        <v>4376.26</v>
      </c>
      <c r="I98">
        <v>2986.61</v>
      </c>
      <c r="J98" t="s">
        <v>16</v>
      </c>
    </row>
    <row r="99" spans="1:10">
      <c r="A99" t="s">
        <v>222</v>
      </c>
      <c r="B99">
        <v>45923</v>
      </c>
      <c r="C99" t="s">
        <v>67</v>
      </c>
      <c r="D99" t="s">
        <v>63</v>
      </c>
      <c r="E99" t="s">
        <v>36</v>
      </c>
      <c r="F99" t="s">
        <v>88</v>
      </c>
      <c r="G99">
        <v>1</v>
      </c>
      <c r="H99">
        <v>3838.22</v>
      </c>
      <c r="I99">
        <v>3199.94</v>
      </c>
      <c r="J99" t="s">
        <v>28</v>
      </c>
    </row>
    <row r="100" spans="1:10">
      <c r="A100" t="s">
        <v>223</v>
      </c>
      <c r="B100">
        <v>45901</v>
      </c>
      <c r="C100" t="s">
        <v>67</v>
      </c>
      <c r="D100" t="s">
        <v>31</v>
      </c>
      <c r="E100" t="s">
        <v>32</v>
      </c>
      <c r="F100" t="s">
        <v>52</v>
      </c>
      <c r="G100">
        <v>2</v>
      </c>
      <c r="H100">
        <v>956.34</v>
      </c>
      <c r="I100">
        <v>829.57</v>
      </c>
      <c r="J100" t="s">
        <v>22</v>
      </c>
    </row>
    <row r="101" spans="1:10">
      <c r="A101" t="s">
        <v>224</v>
      </c>
      <c r="B101">
        <v>45878</v>
      </c>
      <c r="C101" t="s">
        <v>121</v>
      </c>
      <c r="D101" t="s">
        <v>31</v>
      </c>
      <c r="E101" t="s">
        <v>36</v>
      </c>
      <c r="F101" t="s">
        <v>37</v>
      </c>
      <c r="G101">
        <v>3</v>
      </c>
      <c r="H101">
        <v>15989.99</v>
      </c>
      <c r="I101">
        <v>12633.33</v>
      </c>
      <c r="J101" t="s">
        <v>28</v>
      </c>
    </row>
    <row r="102" spans="1:10">
      <c r="A102" t="s">
        <v>225</v>
      </c>
      <c r="B102">
        <v>45832</v>
      </c>
      <c r="C102" t="s">
        <v>226</v>
      </c>
      <c r="D102" t="s">
        <v>12</v>
      </c>
      <c r="E102" t="s">
        <v>20</v>
      </c>
      <c r="F102" t="s">
        <v>191</v>
      </c>
      <c r="G102">
        <v>5</v>
      </c>
      <c r="H102">
        <v>3277.63</v>
      </c>
      <c r="I102">
        <v>1894.89</v>
      </c>
      <c r="J102" t="s">
        <v>22</v>
      </c>
    </row>
    <row r="103" spans="1:10">
      <c r="A103" t="s">
        <v>227</v>
      </c>
      <c r="B103">
        <v>45861</v>
      </c>
      <c r="C103" t="s">
        <v>11</v>
      </c>
      <c r="D103" t="s">
        <v>63</v>
      </c>
      <c r="E103" t="s">
        <v>36</v>
      </c>
      <c r="F103" t="s">
        <v>88</v>
      </c>
      <c r="G103">
        <v>7</v>
      </c>
      <c r="H103">
        <v>3768.8</v>
      </c>
      <c r="I103">
        <v>2621.78</v>
      </c>
      <c r="J103" t="s">
        <v>38</v>
      </c>
    </row>
    <row r="104" spans="1:10">
      <c r="A104" t="s">
        <v>228</v>
      </c>
      <c r="B104">
        <v>45934</v>
      </c>
      <c r="C104" t="s">
        <v>30</v>
      </c>
      <c r="D104" t="s">
        <v>63</v>
      </c>
      <c r="E104" t="s">
        <v>32</v>
      </c>
      <c r="F104" t="s">
        <v>180</v>
      </c>
      <c r="G104">
        <v>5</v>
      </c>
      <c r="H104">
        <v>1349.27</v>
      </c>
      <c r="I104">
        <v>1171.75</v>
      </c>
      <c r="J104" t="s">
        <v>28</v>
      </c>
    </row>
    <row r="105" spans="1:10">
      <c r="A105" t="s">
        <v>229</v>
      </c>
      <c r="B105">
        <v>45698</v>
      </c>
      <c r="C105" t="s">
        <v>74</v>
      </c>
      <c r="D105" t="s">
        <v>63</v>
      </c>
      <c r="E105" t="s">
        <v>20</v>
      </c>
      <c r="F105" t="s">
        <v>91</v>
      </c>
      <c r="G105">
        <v>6</v>
      </c>
      <c r="H105">
        <v>795.33</v>
      </c>
      <c r="I105">
        <v>552.15</v>
      </c>
      <c r="J105" t="s">
        <v>16</v>
      </c>
    </row>
    <row r="106" spans="1:10">
      <c r="A106" t="s">
        <v>230</v>
      </c>
      <c r="B106">
        <v>45916</v>
      </c>
      <c r="C106" t="s">
        <v>231</v>
      </c>
      <c r="D106" t="s">
        <v>63</v>
      </c>
      <c r="E106" t="s">
        <v>20</v>
      </c>
      <c r="F106" t="s">
        <v>196</v>
      </c>
      <c r="G106">
        <v>6</v>
      </c>
      <c r="H106">
        <v>5361.62</v>
      </c>
      <c r="I106">
        <v>4621.63</v>
      </c>
      <c r="J106" t="s">
        <v>22</v>
      </c>
    </row>
    <row r="107" spans="1:10">
      <c r="A107" t="s">
        <v>232</v>
      </c>
      <c r="B107">
        <v>45751</v>
      </c>
      <c r="C107" t="s">
        <v>162</v>
      </c>
      <c r="D107" t="s">
        <v>31</v>
      </c>
      <c r="E107" t="s">
        <v>26</v>
      </c>
      <c r="F107" t="s">
        <v>106</v>
      </c>
      <c r="G107">
        <v>5</v>
      </c>
      <c r="H107">
        <v>1543.11</v>
      </c>
      <c r="I107">
        <v>1230.72</v>
      </c>
      <c r="J107" t="s">
        <v>71</v>
      </c>
    </row>
    <row r="108" spans="1:10">
      <c r="A108" t="s">
        <v>233</v>
      </c>
      <c r="B108">
        <v>45700</v>
      </c>
      <c r="C108" t="s">
        <v>234</v>
      </c>
      <c r="D108" t="s">
        <v>57</v>
      </c>
      <c r="E108" t="s">
        <v>235</v>
      </c>
      <c r="F108" t="s">
        <v>33</v>
      </c>
      <c r="G108">
        <v>5</v>
      </c>
      <c r="H108">
        <v>1756.01</v>
      </c>
      <c r="I108">
        <v>1510.64</v>
      </c>
      <c r="J108" t="s">
        <v>71</v>
      </c>
    </row>
    <row r="109" spans="1:10">
      <c r="A109" t="s">
        <v>236</v>
      </c>
      <c r="B109">
        <v>45999</v>
      </c>
      <c r="C109" t="s">
        <v>35</v>
      </c>
      <c r="D109" t="s">
        <v>19</v>
      </c>
      <c r="E109" t="s">
        <v>20</v>
      </c>
      <c r="F109" t="s">
        <v>14</v>
      </c>
      <c r="G109">
        <v>2</v>
      </c>
      <c r="H109">
        <v>3059.67</v>
      </c>
      <c r="I109">
        <v>1844.08</v>
      </c>
      <c r="J109" t="s">
        <v>38</v>
      </c>
    </row>
    <row r="110" spans="1:10">
      <c r="A110" t="s">
        <v>237</v>
      </c>
      <c r="B110">
        <v>45665</v>
      </c>
      <c r="C110" t="s">
        <v>30</v>
      </c>
      <c r="D110" t="s">
        <v>19</v>
      </c>
      <c r="E110" t="s">
        <v>20</v>
      </c>
      <c r="F110" t="s">
        <v>21</v>
      </c>
      <c r="G110">
        <v>3</v>
      </c>
      <c r="H110" t="s">
        <v>238</v>
      </c>
      <c r="I110">
        <v>1750.63</v>
      </c>
      <c r="J110" t="s">
        <v>38</v>
      </c>
    </row>
    <row r="111" spans="1:10">
      <c r="A111" t="s">
        <v>239</v>
      </c>
      <c r="B111">
        <v>45998</v>
      </c>
      <c r="C111" t="s">
        <v>51</v>
      </c>
      <c r="D111" t="s">
        <v>57</v>
      </c>
      <c r="E111" t="s">
        <v>20</v>
      </c>
      <c r="F111" t="s">
        <v>191</v>
      </c>
      <c r="G111">
        <v>7</v>
      </c>
      <c r="H111">
        <v>4225.25</v>
      </c>
      <c r="I111">
        <v>3582.7</v>
      </c>
      <c r="J111" t="s">
        <v>38</v>
      </c>
    </row>
    <row r="112" spans="1:10">
      <c r="A112" t="s">
        <v>240</v>
      </c>
      <c r="B112">
        <v>45789</v>
      </c>
      <c r="C112" t="s">
        <v>115</v>
      </c>
      <c r="D112" t="s">
        <v>41</v>
      </c>
      <c r="E112" t="s">
        <v>32</v>
      </c>
      <c r="F112" t="s">
        <v>241</v>
      </c>
      <c r="G112">
        <v>4</v>
      </c>
      <c r="H112">
        <v>2078.75</v>
      </c>
      <c r="I112">
        <v>1294.67</v>
      </c>
      <c r="J112" t="s">
        <v>22</v>
      </c>
    </row>
    <row r="113" spans="1:10">
      <c r="A113" t="s">
        <v>242</v>
      </c>
      <c r="B113">
        <v>46005</v>
      </c>
      <c r="C113" t="s">
        <v>56</v>
      </c>
      <c r="D113" t="s">
        <v>12</v>
      </c>
      <c r="E113" t="s">
        <v>82</v>
      </c>
      <c r="F113" t="s">
        <v>109</v>
      </c>
      <c r="G113">
        <v>8</v>
      </c>
      <c r="H113">
        <v>6662.24</v>
      </c>
      <c r="I113">
        <v>4482.12</v>
      </c>
      <c r="J113" t="s">
        <v>16</v>
      </c>
    </row>
    <row r="114" spans="1:10">
      <c r="A114" t="s">
        <v>243</v>
      </c>
      <c r="B114">
        <v>45793</v>
      </c>
      <c r="C114" t="s">
        <v>105</v>
      </c>
      <c r="D114" t="s">
        <v>63</v>
      </c>
      <c r="E114" t="s">
        <v>32</v>
      </c>
      <c r="F114" t="s">
        <v>99</v>
      </c>
      <c r="G114">
        <v>6</v>
      </c>
      <c r="H114">
        <v>2423.46</v>
      </c>
      <c r="I114">
        <v>2029.75</v>
      </c>
      <c r="J114" t="s">
        <v>71</v>
      </c>
    </row>
    <row r="115" spans="1:10">
      <c r="A115" t="s">
        <v>244</v>
      </c>
      <c r="B115">
        <v>46006</v>
      </c>
      <c r="C115" t="s">
        <v>220</v>
      </c>
      <c r="D115" t="s">
        <v>31</v>
      </c>
      <c r="E115" t="s">
        <v>82</v>
      </c>
      <c r="F115" t="s">
        <v>83</v>
      </c>
      <c r="H115">
        <v>6104.03</v>
      </c>
      <c r="I115">
        <v>4620.6400000000003</v>
      </c>
      <c r="J115" t="s">
        <v>71</v>
      </c>
    </row>
    <row r="116" spans="1:10">
      <c r="A116" t="s">
        <v>245</v>
      </c>
      <c r="B116">
        <v>45912</v>
      </c>
      <c r="C116" t="s">
        <v>246</v>
      </c>
      <c r="D116" t="s">
        <v>63</v>
      </c>
      <c r="E116" t="s">
        <v>235</v>
      </c>
      <c r="F116" t="s">
        <v>101</v>
      </c>
      <c r="G116">
        <v>6</v>
      </c>
      <c r="H116">
        <v>827.94</v>
      </c>
      <c r="I116">
        <v>462.12</v>
      </c>
      <c r="J116" t="s">
        <v>28</v>
      </c>
    </row>
    <row r="117" spans="1:10">
      <c r="A117" t="s">
        <v>247</v>
      </c>
      <c r="B117">
        <v>45845</v>
      </c>
      <c r="C117" t="s">
        <v>231</v>
      </c>
      <c r="D117" t="s">
        <v>12</v>
      </c>
      <c r="E117" t="s">
        <v>36</v>
      </c>
      <c r="F117" t="s">
        <v>93</v>
      </c>
      <c r="G117">
        <v>8</v>
      </c>
      <c r="H117">
        <v>11487.18</v>
      </c>
      <c r="I117">
        <v>7703.74</v>
      </c>
      <c r="J117" t="s">
        <v>71</v>
      </c>
    </row>
    <row r="118" spans="1:10">
      <c r="A118" t="s">
        <v>248</v>
      </c>
      <c r="B118">
        <v>45974</v>
      </c>
      <c r="C118" t="s">
        <v>249</v>
      </c>
      <c r="D118" t="s">
        <v>12</v>
      </c>
      <c r="E118" t="s">
        <v>26</v>
      </c>
      <c r="F118" t="s">
        <v>103</v>
      </c>
      <c r="G118">
        <v>8</v>
      </c>
      <c r="H118">
        <v>2954.08</v>
      </c>
      <c r="I118">
        <v>2521.38</v>
      </c>
      <c r="J118" t="s">
        <v>16</v>
      </c>
    </row>
    <row r="119" spans="1:10">
      <c r="A119" t="s">
        <v>250</v>
      </c>
      <c r="B119">
        <v>45929</v>
      </c>
      <c r="C119" t="s">
        <v>251</v>
      </c>
      <c r="D119" t="s">
        <v>19</v>
      </c>
      <c r="E119" t="s">
        <v>20</v>
      </c>
      <c r="F119" t="s">
        <v>252</v>
      </c>
      <c r="G119">
        <v>1</v>
      </c>
      <c r="H119">
        <v>3794.2</v>
      </c>
      <c r="I119">
        <v>2698.59</v>
      </c>
      <c r="J119" t="s">
        <v>16</v>
      </c>
    </row>
    <row r="120" spans="1:10">
      <c r="A120" t="s">
        <v>253</v>
      </c>
      <c r="B120">
        <v>46014</v>
      </c>
      <c r="C120" t="s">
        <v>254</v>
      </c>
      <c r="D120" t="s">
        <v>41</v>
      </c>
      <c r="E120" t="s">
        <v>20</v>
      </c>
      <c r="F120" t="s">
        <v>14</v>
      </c>
      <c r="G120">
        <v>5</v>
      </c>
      <c r="H120">
        <v>5176.6099999999997</v>
      </c>
      <c r="I120">
        <v>3872.81</v>
      </c>
      <c r="J120" t="s">
        <v>16</v>
      </c>
    </row>
    <row r="121" spans="1:10">
      <c r="A121" t="s">
        <v>255</v>
      </c>
      <c r="B121">
        <v>45745</v>
      </c>
      <c r="C121" t="s">
        <v>162</v>
      </c>
      <c r="D121" t="s">
        <v>12</v>
      </c>
      <c r="E121" t="s">
        <v>36</v>
      </c>
      <c r="F121" t="s">
        <v>42</v>
      </c>
      <c r="G121">
        <v>2</v>
      </c>
      <c r="H121">
        <v>9447.58</v>
      </c>
      <c r="I121">
        <v>6548.97</v>
      </c>
      <c r="J121" t="s">
        <v>22</v>
      </c>
    </row>
    <row r="122" spans="1:10">
      <c r="A122" t="s">
        <v>256</v>
      </c>
      <c r="B122">
        <v>45695</v>
      </c>
      <c r="C122" t="s">
        <v>257</v>
      </c>
      <c r="D122" t="s">
        <v>12</v>
      </c>
      <c r="E122" t="s">
        <v>149</v>
      </c>
      <c r="F122" t="s">
        <v>137</v>
      </c>
      <c r="G122">
        <v>-1</v>
      </c>
      <c r="H122">
        <v>5049.95</v>
      </c>
      <c r="I122">
        <v>3880.92</v>
      </c>
      <c r="J122" t="s">
        <v>38</v>
      </c>
    </row>
    <row r="123" spans="1:10">
      <c r="A123" t="s">
        <v>258</v>
      </c>
      <c r="B123">
        <v>45988</v>
      </c>
      <c r="C123" t="s">
        <v>259</v>
      </c>
      <c r="D123" t="s">
        <v>57</v>
      </c>
      <c r="E123" t="s">
        <v>20</v>
      </c>
      <c r="F123" t="s">
        <v>91</v>
      </c>
      <c r="G123">
        <v>7</v>
      </c>
      <c r="H123">
        <v>2559.54</v>
      </c>
      <c r="I123">
        <v>2160.61</v>
      </c>
      <c r="J123" t="s">
        <v>28</v>
      </c>
    </row>
    <row r="124" spans="1:10">
      <c r="A124" t="s">
        <v>260</v>
      </c>
      <c r="B124">
        <v>45707</v>
      </c>
      <c r="C124" t="s">
        <v>59</v>
      </c>
      <c r="D124" t="s">
        <v>41</v>
      </c>
      <c r="E124" t="s">
        <v>36</v>
      </c>
      <c r="F124" t="s">
        <v>88</v>
      </c>
      <c r="G124">
        <v>8</v>
      </c>
      <c r="H124">
        <v>11351.96</v>
      </c>
      <c r="I124">
        <v>9372.93</v>
      </c>
      <c r="J124" t="s">
        <v>16</v>
      </c>
    </row>
    <row r="125" spans="1:10">
      <c r="A125" t="s">
        <v>261</v>
      </c>
      <c r="B125">
        <v>45689</v>
      </c>
      <c r="C125" t="s">
        <v>74</v>
      </c>
      <c r="D125" t="s">
        <v>31</v>
      </c>
      <c r="E125" t="s">
        <v>32</v>
      </c>
      <c r="F125" t="s">
        <v>262</v>
      </c>
      <c r="G125">
        <v>4</v>
      </c>
      <c r="H125">
        <v>2115.65</v>
      </c>
      <c r="I125">
        <v>1435.53</v>
      </c>
      <c r="J125" t="s">
        <v>38</v>
      </c>
    </row>
    <row r="126" spans="1:10">
      <c r="A126" t="s">
        <v>263</v>
      </c>
      <c r="B126">
        <v>45889</v>
      </c>
      <c r="C126" t="s">
        <v>115</v>
      </c>
      <c r="D126" t="s">
        <v>31</v>
      </c>
      <c r="E126" t="s">
        <v>26</v>
      </c>
      <c r="F126" t="s">
        <v>103</v>
      </c>
      <c r="G126">
        <v>5</v>
      </c>
      <c r="H126">
        <v>1755.88</v>
      </c>
      <c r="I126">
        <v>1459.7</v>
      </c>
      <c r="J126" t="s">
        <v>16</v>
      </c>
    </row>
    <row r="127" spans="1:10">
      <c r="A127" t="s">
        <v>264</v>
      </c>
      <c r="B127">
        <v>45770</v>
      </c>
      <c r="C127" t="s">
        <v>51</v>
      </c>
      <c r="D127" t="s">
        <v>57</v>
      </c>
      <c r="E127" t="s">
        <v>82</v>
      </c>
      <c r="F127" t="s">
        <v>83</v>
      </c>
      <c r="G127">
        <v>8</v>
      </c>
      <c r="H127">
        <v>4289.1499999999996</v>
      </c>
      <c r="I127">
        <v>3504.72</v>
      </c>
      <c r="J127" t="s">
        <v>16</v>
      </c>
    </row>
    <row r="128" spans="1:10">
      <c r="A128" t="s">
        <v>265</v>
      </c>
      <c r="B128">
        <v>45704</v>
      </c>
      <c r="C128" t="s">
        <v>70</v>
      </c>
      <c r="D128" t="s">
        <v>31</v>
      </c>
      <c r="E128" t="s">
        <v>36</v>
      </c>
      <c r="F128" t="s">
        <v>42</v>
      </c>
      <c r="G128">
        <v>5</v>
      </c>
      <c r="H128">
        <v>11951.72</v>
      </c>
      <c r="I128">
        <v>10197.629999999999</v>
      </c>
      <c r="J128" t="s">
        <v>22</v>
      </c>
    </row>
    <row r="129" spans="1:10">
      <c r="A129" t="s">
        <v>266</v>
      </c>
      <c r="B129">
        <v>45961</v>
      </c>
      <c r="C129" t="s">
        <v>124</v>
      </c>
      <c r="D129" t="s">
        <v>12</v>
      </c>
      <c r="E129" t="s">
        <v>82</v>
      </c>
      <c r="F129" t="s">
        <v>109</v>
      </c>
      <c r="G129">
        <v>3</v>
      </c>
      <c r="H129">
        <v>4899.3</v>
      </c>
      <c r="I129">
        <v>3584</v>
      </c>
      <c r="J129" t="s">
        <v>28</v>
      </c>
    </row>
    <row r="130" spans="1:10">
      <c r="A130" t="s">
        <v>267</v>
      </c>
      <c r="B130">
        <v>46021</v>
      </c>
      <c r="C130" t="s">
        <v>115</v>
      </c>
      <c r="D130" t="s">
        <v>12</v>
      </c>
      <c r="E130" t="s">
        <v>82</v>
      </c>
      <c r="F130" t="s">
        <v>109</v>
      </c>
      <c r="G130">
        <v>3</v>
      </c>
      <c r="H130" t="s">
        <v>268</v>
      </c>
      <c r="I130">
        <v>1359.08</v>
      </c>
      <c r="J130" t="s">
        <v>28</v>
      </c>
    </row>
    <row r="131" spans="1:10">
      <c r="A131" t="s">
        <v>269</v>
      </c>
      <c r="B131">
        <v>45708</v>
      </c>
      <c r="C131" t="s">
        <v>30</v>
      </c>
      <c r="D131" t="s">
        <v>81</v>
      </c>
      <c r="E131" t="s">
        <v>82</v>
      </c>
      <c r="F131" t="s">
        <v>150</v>
      </c>
      <c r="G131">
        <v>1</v>
      </c>
      <c r="H131">
        <v>3890.34</v>
      </c>
      <c r="I131">
        <v>3058.65</v>
      </c>
      <c r="J131" t="s">
        <v>22</v>
      </c>
    </row>
    <row r="132" spans="1:10">
      <c r="A132" t="s">
        <v>270</v>
      </c>
      <c r="B132">
        <v>45799</v>
      </c>
      <c r="C132" t="s">
        <v>74</v>
      </c>
      <c r="D132" t="s">
        <v>57</v>
      </c>
      <c r="E132" t="s">
        <v>20</v>
      </c>
      <c r="F132" t="s">
        <v>21</v>
      </c>
      <c r="G132">
        <v>6</v>
      </c>
      <c r="H132">
        <v>4750.33</v>
      </c>
      <c r="I132">
        <v>3664.74</v>
      </c>
      <c r="J132" t="s">
        <v>22</v>
      </c>
    </row>
    <row r="133" spans="1:10">
      <c r="A133" t="s">
        <v>271</v>
      </c>
      <c r="B133">
        <v>45754</v>
      </c>
      <c r="C133" t="s">
        <v>24</v>
      </c>
      <c r="D133" t="s">
        <v>12</v>
      </c>
      <c r="E133" t="s">
        <v>82</v>
      </c>
      <c r="F133" t="s">
        <v>97</v>
      </c>
      <c r="G133">
        <v>5</v>
      </c>
      <c r="H133">
        <v>5611.28</v>
      </c>
      <c r="I133">
        <v>3692.98</v>
      </c>
      <c r="J133" t="s">
        <v>16</v>
      </c>
    </row>
    <row r="134" spans="1:10">
      <c r="A134" t="s">
        <v>272</v>
      </c>
      <c r="B134">
        <v>45963</v>
      </c>
      <c r="C134" t="s">
        <v>121</v>
      </c>
      <c r="D134" t="s">
        <v>57</v>
      </c>
      <c r="E134" t="s">
        <v>36</v>
      </c>
      <c r="F134" t="s">
        <v>42</v>
      </c>
      <c r="G134">
        <v>5</v>
      </c>
      <c r="H134">
        <v>13331.22</v>
      </c>
      <c r="I134">
        <v>9812.09</v>
      </c>
      <c r="J134" t="s">
        <v>16</v>
      </c>
    </row>
    <row r="135" spans="1:10">
      <c r="A135" t="s">
        <v>273</v>
      </c>
      <c r="B135">
        <v>45945</v>
      </c>
      <c r="C135" t="s">
        <v>51</v>
      </c>
      <c r="D135" t="s">
        <v>19</v>
      </c>
      <c r="E135" t="s">
        <v>20</v>
      </c>
      <c r="F135" t="s">
        <v>191</v>
      </c>
      <c r="G135">
        <v>7</v>
      </c>
      <c r="H135">
        <v>2671.14</v>
      </c>
      <c r="I135">
        <v>1613.05</v>
      </c>
      <c r="J135" t="s">
        <v>28</v>
      </c>
    </row>
    <row r="136" spans="1:10">
      <c r="A136" t="s">
        <v>274</v>
      </c>
      <c r="B136">
        <v>45716</v>
      </c>
      <c r="C136" t="s">
        <v>135</v>
      </c>
      <c r="D136" t="s">
        <v>57</v>
      </c>
      <c r="E136" t="s">
        <v>32</v>
      </c>
      <c r="F136" t="s">
        <v>101</v>
      </c>
      <c r="G136">
        <v>8</v>
      </c>
      <c r="H136">
        <v>1753.03</v>
      </c>
      <c r="I136">
        <v>1241.28</v>
      </c>
      <c r="J136" t="s">
        <v>38</v>
      </c>
    </row>
    <row r="137" spans="1:10">
      <c r="A137" t="s">
        <v>275</v>
      </c>
      <c r="B137">
        <v>45858</v>
      </c>
      <c r="C137" t="s">
        <v>18</v>
      </c>
      <c r="D137" t="s">
        <v>63</v>
      </c>
      <c r="E137" t="s">
        <v>36</v>
      </c>
      <c r="F137" t="s">
        <v>37</v>
      </c>
      <c r="G137">
        <v>3</v>
      </c>
      <c r="H137">
        <v>5831.17</v>
      </c>
      <c r="I137">
        <v>5047.97</v>
      </c>
      <c r="J137" t="s">
        <v>16</v>
      </c>
    </row>
    <row r="138" spans="1:10">
      <c r="A138" t="s">
        <v>276</v>
      </c>
      <c r="B138">
        <v>45729</v>
      </c>
      <c r="C138" t="s">
        <v>115</v>
      </c>
      <c r="D138" t="s">
        <v>63</v>
      </c>
      <c r="E138" t="s">
        <v>32</v>
      </c>
      <c r="F138" t="s">
        <v>52</v>
      </c>
      <c r="G138">
        <v>6</v>
      </c>
      <c r="H138">
        <v>1918.31</v>
      </c>
      <c r="I138">
        <v>1058.75</v>
      </c>
      <c r="J138" t="s">
        <v>71</v>
      </c>
    </row>
    <row r="139" spans="1:10">
      <c r="A139" t="s">
        <v>277</v>
      </c>
      <c r="B139">
        <v>45983</v>
      </c>
      <c r="C139" t="s">
        <v>220</v>
      </c>
      <c r="D139" t="s">
        <v>57</v>
      </c>
      <c r="E139" t="s">
        <v>82</v>
      </c>
      <c r="F139" t="s">
        <v>155</v>
      </c>
      <c r="G139">
        <v>8</v>
      </c>
      <c r="H139">
        <v>751.27</v>
      </c>
      <c r="I139">
        <v>450.04</v>
      </c>
      <c r="J139" t="s">
        <v>71</v>
      </c>
    </row>
    <row r="140" spans="1:10">
      <c r="A140" t="s">
        <v>278</v>
      </c>
      <c r="B140">
        <v>45813</v>
      </c>
      <c r="C140" t="s">
        <v>133</v>
      </c>
      <c r="D140" t="s">
        <v>125</v>
      </c>
      <c r="E140" t="s">
        <v>26</v>
      </c>
      <c r="F140" t="s">
        <v>103</v>
      </c>
      <c r="G140">
        <v>2</v>
      </c>
      <c r="H140">
        <v>2720.56</v>
      </c>
      <c r="I140">
        <v>2089.8200000000002</v>
      </c>
      <c r="J140" t="s">
        <v>38</v>
      </c>
    </row>
    <row r="141" spans="1:10">
      <c r="A141" t="s">
        <v>279</v>
      </c>
      <c r="B141">
        <v>45803</v>
      </c>
      <c r="C141" t="s">
        <v>124</v>
      </c>
      <c r="D141" t="s">
        <v>63</v>
      </c>
      <c r="E141" t="s">
        <v>26</v>
      </c>
      <c r="F141" t="s">
        <v>27</v>
      </c>
      <c r="G141">
        <v>6</v>
      </c>
      <c r="H141" t="s">
        <v>280</v>
      </c>
      <c r="I141">
        <v>1214.55</v>
      </c>
    </row>
    <row r="142" spans="1:10">
      <c r="A142" t="s">
        <v>281</v>
      </c>
      <c r="B142">
        <v>45885</v>
      </c>
      <c r="C142" t="s">
        <v>282</v>
      </c>
      <c r="D142" t="s">
        <v>31</v>
      </c>
      <c r="E142" t="s">
        <v>82</v>
      </c>
      <c r="F142" t="s">
        <v>97</v>
      </c>
      <c r="H142">
        <v>2406.94</v>
      </c>
      <c r="I142">
        <v>1428.63</v>
      </c>
      <c r="J142" t="s">
        <v>22</v>
      </c>
    </row>
    <row r="143" spans="1:10">
      <c r="A143" t="s">
        <v>283</v>
      </c>
      <c r="B143">
        <v>45967</v>
      </c>
      <c r="C143" t="s">
        <v>175</v>
      </c>
      <c r="D143" t="s">
        <v>63</v>
      </c>
      <c r="E143" t="s">
        <v>13</v>
      </c>
      <c r="F143" t="s">
        <v>196</v>
      </c>
      <c r="G143">
        <v>8</v>
      </c>
      <c r="H143">
        <v>4416.1099999999997</v>
      </c>
      <c r="I143">
        <v>2973.84</v>
      </c>
      <c r="J143" t="s">
        <v>28</v>
      </c>
    </row>
    <row r="144" spans="1:10">
      <c r="A144" t="s">
        <v>284</v>
      </c>
      <c r="B144">
        <v>45931</v>
      </c>
      <c r="C144" t="s">
        <v>285</v>
      </c>
      <c r="D144" t="s">
        <v>41</v>
      </c>
      <c r="E144" t="s">
        <v>26</v>
      </c>
      <c r="F144" t="s">
        <v>27</v>
      </c>
      <c r="G144">
        <v>6</v>
      </c>
      <c r="H144">
        <v>2925.77</v>
      </c>
      <c r="I144">
        <v>1621.63</v>
      </c>
      <c r="J144" t="s">
        <v>38</v>
      </c>
    </row>
    <row r="145" spans="1:10">
      <c r="A145" t="s">
        <v>286</v>
      </c>
      <c r="B145">
        <v>45769</v>
      </c>
      <c r="C145" t="s">
        <v>67</v>
      </c>
      <c r="D145" t="s">
        <v>41</v>
      </c>
      <c r="E145" t="s">
        <v>20</v>
      </c>
      <c r="F145" t="s">
        <v>14</v>
      </c>
      <c r="G145">
        <v>8</v>
      </c>
      <c r="H145">
        <v>2552.6</v>
      </c>
      <c r="I145">
        <v>1924.37</v>
      </c>
      <c r="J145" t="s">
        <v>38</v>
      </c>
    </row>
    <row r="146" spans="1:10">
      <c r="A146" t="s">
        <v>287</v>
      </c>
      <c r="B146">
        <v>45767</v>
      </c>
      <c r="C146" t="s">
        <v>54</v>
      </c>
      <c r="D146" t="s">
        <v>57</v>
      </c>
      <c r="E146" t="s">
        <v>82</v>
      </c>
      <c r="F146" t="s">
        <v>97</v>
      </c>
      <c r="G146">
        <v>7</v>
      </c>
      <c r="H146">
        <v>5453.67</v>
      </c>
      <c r="I146">
        <v>4666.32</v>
      </c>
      <c r="J146" t="s">
        <v>22</v>
      </c>
    </row>
    <row r="147" spans="1:10">
      <c r="A147" t="s">
        <v>288</v>
      </c>
      <c r="B147">
        <v>45892</v>
      </c>
      <c r="C147" t="s">
        <v>105</v>
      </c>
      <c r="D147" t="s">
        <v>41</v>
      </c>
      <c r="E147" t="s">
        <v>82</v>
      </c>
      <c r="F147" t="s">
        <v>137</v>
      </c>
      <c r="G147">
        <v>1</v>
      </c>
      <c r="H147">
        <v>801.45</v>
      </c>
      <c r="I147">
        <v>567.48</v>
      </c>
      <c r="J147" t="s">
        <v>28</v>
      </c>
    </row>
    <row r="148" spans="1:10">
      <c r="A148" t="s">
        <v>289</v>
      </c>
      <c r="B148">
        <v>45817</v>
      </c>
      <c r="C148" t="s">
        <v>175</v>
      </c>
      <c r="D148" t="s">
        <v>31</v>
      </c>
      <c r="E148" t="s">
        <v>36</v>
      </c>
      <c r="F148" t="s">
        <v>37</v>
      </c>
      <c r="G148">
        <v>1</v>
      </c>
      <c r="H148">
        <v>12648.59</v>
      </c>
      <c r="I148">
        <v>9437.2999999999993</v>
      </c>
      <c r="J148" t="s">
        <v>16</v>
      </c>
    </row>
    <row r="149" spans="1:10">
      <c r="A149" t="s">
        <v>290</v>
      </c>
      <c r="B149">
        <v>45937</v>
      </c>
      <c r="C149" t="s">
        <v>124</v>
      </c>
      <c r="D149" t="s">
        <v>41</v>
      </c>
      <c r="E149" t="s">
        <v>36</v>
      </c>
      <c r="F149" t="s">
        <v>88</v>
      </c>
      <c r="G149">
        <v>7</v>
      </c>
      <c r="H149">
        <v>9020.01</v>
      </c>
      <c r="I149">
        <v>5694.28</v>
      </c>
      <c r="J149" t="s">
        <v>22</v>
      </c>
    </row>
    <row r="150" spans="1:10">
      <c r="A150" t="s">
        <v>291</v>
      </c>
      <c r="B150">
        <v>45859</v>
      </c>
      <c r="C150" t="s">
        <v>220</v>
      </c>
      <c r="D150" t="s">
        <v>31</v>
      </c>
      <c r="E150" t="s">
        <v>82</v>
      </c>
      <c r="F150" t="s">
        <v>109</v>
      </c>
      <c r="G150">
        <v>7</v>
      </c>
      <c r="H150">
        <v>2534.84</v>
      </c>
      <c r="I150">
        <v>1415</v>
      </c>
      <c r="J150" t="s">
        <v>28</v>
      </c>
    </row>
    <row r="151" spans="1:10">
      <c r="A151" t="s">
        <v>292</v>
      </c>
      <c r="B151">
        <v>45722</v>
      </c>
      <c r="C151" t="s">
        <v>40</v>
      </c>
      <c r="D151" t="s">
        <v>57</v>
      </c>
      <c r="E151" t="s">
        <v>26</v>
      </c>
      <c r="F151" t="s">
        <v>27</v>
      </c>
      <c r="G151">
        <v>7</v>
      </c>
      <c r="H151">
        <v>1959.78</v>
      </c>
      <c r="I151">
        <v>1560.12</v>
      </c>
      <c r="J151" t="s">
        <v>28</v>
      </c>
    </row>
    <row r="152" spans="1:10">
      <c r="A152" t="s">
        <v>293</v>
      </c>
      <c r="B152">
        <v>45832</v>
      </c>
      <c r="C152" t="s">
        <v>121</v>
      </c>
      <c r="D152" t="s">
        <v>19</v>
      </c>
      <c r="E152" t="s">
        <v>32</v>
      </c>
      <c r="F152" t="s">
        <v>33</v>
      </c>
      <c r="G152">
        <v>3</v>
      </c>
      <c r="H152">
        <v>435.56</v>
      </c>
      <c r="I152">
        <v>261.77</v>
      </c>
      <c r="J152" t="s">
        <v>71</v>
      </c>
    </row>
    <row r="153" spans="1:10">
      <c r="A153" t="s">
        <v>294</v>
      </c>
      <c r="B153">
        <v>45927</v>
      </c>
      <c r="C153" t="s">
        <v>59</v>
      </c>
      <c r="D153" t="s">
        <v>31</v>
      </c>
      <c r="E153" t="s">
        <v>36</v>
      </c>
      <c r="F153" t="s">
        <v>37</v>
      </c>
      <c r="G153">
        <v>7</v>
      </c>
      <c r="H153">
        <v>14124.44</v>
      </c>
      <c r="I153">
        <v>12095.24</v>
      </c>
      <c r="J153" t="s">
        <v>28</v>
      </c>
    </row>
    <row r="154" spans="1:10">
      <c r="A154" t="s">
        <v>295</v>
      </c>
      <c r="B154">
        <v>45931</v>
      </c>
      <c r="C154" t="s">
        <v>67</v>
      </c>
      <c r="D154" t="s">
        <v>12</v>
      </c>
      <c r="E154" t="s">
        <v>13</v>
      </c>
      <c r="F154" t="s">
        <v>196</v>
      </c>
      <c r="G154">
        <v>1</v>
      </c>
      <c r="H154">
        <v>3948.13</v>
      </c>
      <c r="I154">
        <v>2446.1</v>
      </c>
      <c r="J154" t="s">
        <v>71</v>
      </c>
    </row>
    <row r="155" spans="1:10">
      <c r="A155" t="s">
        <v>296</v>
      </c>
      <c r="B155">
        <v>46004</v>
      </c>
      <c r="C155" t="s">
        <v>121</v>
      </c>
      <c r="D155" t="s">
        <v>41</v>
      </c>
      <c r="E155" t="s">
        <v>20</v>
      </c>
      <c r="F155" t="s">
        <v>21</v>
      </c>
      <c r="G155">
        <v>6</v>
      </c>
      <c r="H155">
        <v>5765.65</v>
      </c>
      <c r="I155">
        <v>3192.32</v>
      </c>
      <c r="J155" t="s">
        <v>38</v>
      </c>
    </row>
    <row r="156" spans="1:10">
      <c r="A156" t="s">
        <v>297</v>
      </c>
      <c r="B156">
        <v>46001</v>
      </c>
      <c r="C156" t="s">
        <v>162</v>
      </c>
      <c r="D156" t="s">
        <v>19</v>
      </c>
      <c r="E156" t="s">
        <v>26</v>
      </c>
      <c r="F156" t="s">
        <v>103</v>
      </c>
      <c r="G156">
        <v>4</v>
      </c>
      <c r="H156">
        <v>575.15</v>
      </c>
      <c r="I156">
        <v>433.92</v>
      </c>
      <c r="J156" t="s">
        <v>71</v>
      </c>
    </row>
    <row r="157" spans="1:10">
      <c r="A157" t="s">
        <v>298</v>
      </c>
      <c r="B157">
        <v>45742</v>
      </c>
      <c r="C157" t="s">
        <v>299</v>
      </c>
      <c r="D157" t="s">
        <v>41</v>
      </c>
      <c r="E157" t="s">
        <v>26</v>
      </c>
      <c r="F157" t="s">
        <v>79</v>
      </c>
      <c r="G157">
        <v>8</v>
      </c>
      <c r="H157">
        <v>1041.8399999999999</v>
      </c>
      <c r="I157">
        <v>773.1</v>
      </c>
      <c r="J157" t="s">
        <v>71</v>
      </c>
    </row>
    <row r="158" spans="1:10">
      <c r="A158" t="s">
        <v>300</v>
      </c>
      <c r="B158">
        <v>45658</v>
      </c>
      <c r="C158" t="s">
        <v>48</v>
      </c>
      <c r="D158" t="s">
        <v>19</v>
      </c>
      <c r="E158" t="s">
        <v>32</v>
      </c>
      <c r="F158" t="s">
        <v>99</v>
      </c>
      <c r="G158">
        <v>5</v>
      </c>
      <c r="H158">
        <v>342.34</v>
      </c>
      <c r="I158">
        <v>248.8</v>
      </c>
      <c r="J158" t="s">
        <v>28</v>
      </c>
    </row>
    <row r="159" spans="1:10">
      <c r="A159" t="s">
        <v>301</v>
      </c>
      <c r="B159">
        <v>45700</v>
      </c>
      <c r="C159" t="s">
        <v>145</v>
      </c>
      <c r="D159" t="s">
        <v>31</v>
      </c>
      <c r="E159" t="s">
        <v>20</v>
      </c>
      <c r="F159" t="s">
        <v>21</v>
      </c>
      <c r="G159">
        <v>5</v>
      </c>
      <c r="H159">
        <v>934.62</v>
      </c>
      <c r="I159">
        <v>798.08</v>
      </c>
      <c r="J159" t="s">
        <v>71</v>
      </c>
    </row>
    <row r="160" spans="1:10">
      <c r="A160" t="s">
        <v>302</v>
      </c>
      <c r="B160">
        <v>45878</v>
      </c>
      <c r="C160" t="s">
        <v>231</v>
      </c>
      <c r="D160" t="s">
        <v>41</v>
      </c>
      <c r="E160" t="s">
        <v>20</v>
      </c>
      <c r="F160" t="s">
        <v>191</v>
      </c>
      <c r="G160">
        <v>3</v>
      </c>
      <c r="H160">
        <v>2218.5300000000002</v>
      </c>
      <c r="I160">
        <v>1505.04</v>
      </c>
      <c r="J160" t="s">
        <v>16</v>
      </c>
    </row>
    <row r="161" spans="1:10">
      <c r="A161" t="s">
        <v>303</v>
      </c>
      <c r="B161">
        <v>45770</v>
      </c>
      <c r="C161" t="s">
        <v>67</v>
      </c>
      <c r="D161" t="s">
        <v>41</v>
      </c>
      <c r="E161" t="s">
        <v>78</v>
      </c>
      <c r="F161" t="s">
        <v>79</v>
      </c>
      <c r="G161">
        <v>-2</v>
      </c>
      <c r="H161">
        <v>1941.97</v>
      </c>
      <c r="I161">
        <v>1571.96</v>
      </c>
      <c r="J161" t="s">
        <v>71</v>
      </c>
    </row>
    <row r="162" spans="1:10">
      <c r="A162" t="s">
        <v>304</v>
      </c>
      <c r="B162">
        <v>45903</v>
      </c>
      <c r="C162" t="s">
        <v>119</v>
      </c>
      <c r="D162" t="s">
        <v>41</v>
      </c>
      <c r="E162" t="s">
        <v>32</v>
      </c>
      <c r="F162" t="s">
        <v>163</v>
      </c>
      <c r="G162">
        <v>3</v>
      </c>
      <c r="H162">
        <v>2066.44</v>
      </c>
      <c r="I162">
        <v>1179.57</v>
      </c>
      <c r="J162" t="s">
        <v>28</v>
      </c>
    </row>
    <row r="163" spans="1:10">
      <c r="A163" t="s">
        <v>305</v>
      </c>
      <c r="B163">
        <v>45688</v>
      </c>
      <c r="C163" t="s">
        <v>74</v>
      </c>
      <c r="D163" t="s">
        <v>41</v>
      </c>
      <c r="E163" t="s">
        <v>20</v>
      </c>
      <c r="F163" t="s">
        <v>21</v>
      </c>
      <c r="G163">
        <v>1</v>
      </c>
      <c r="H163">
        <v>1312.42</v>
      </c>
      <c r="I163">
        <v>1027.03</v>
      </c>
      <c r="J163" t="s">
        <v>71</v>
      </c>
    </row>
    <row r="164" spans="1:10">
      <c r="A164" t="s">
        <v>306</v>
      </c>
      <c r="B164">
        <v>46021</v>
      </c>
      <c r="C164" t="s">
        <v>48</v>
      </c>
      <c r="D164" t="s">
        <v>173</v>
      </c>
      <c r="E164" t="s">
        <v>26</v>
      </c>
      <c r="F164" t="s">
        <v>106</v>
      </c>
      <c r="G164">
        <v>8</v>
      </c>
      <c r="H164">
        <v>766.04</v>
      </c>
      <c r="I164">
        <v>566.70000000000005</v>
      </c>
      <c r="J164" t="s">
        <v>22</v>
      </c>
    </row>
    <row r="165" spans="1:10">
      <c r="A165" t="s">
        <v>307</v>
      </c>
      <c r="B165">
        <v>45816</v>
      </c>
      <c r="D165" t="s">
        <v>19</v>
      </c>
      <c r="E165" t="s">
        <v>32</v>
      </c>
      <c r="F165" t="s">
        <v>33</v>
      </c>
      <c r="G165">
        <v>3</v>
      </c>
      <c r="H165">
        <v>1025.8</v>
      </c>
      <c r="I165">
        <v>596.73</v>
      </c>
      <c r="J165" t="s">
        <v>22</v>
      </c>
    </row>
    <row r="166" spans="1:10">
      <c r="A166" t="s">
        <v>308</v>
      </c>
      <c r="B166">
        <v>45665</v>
      </c>
      <c r="C166" t="s">
        <v>115</v>
      </c>
      <c r="D166" t="s">
        <v>41</v>
      </c>
      <c r="E166" t="s">
        <v>36</v>
      </c>
      <c r="F166" t="s">
        <v>46</v>
      </c>
      <c r="G166">
        <v>6</v>
      </c>
      <c r="H166">
        <v>14408.74</v>
      </c>
      <c r="I166">
        <v>9056.14</v>
      </c>
      <c r="J166" t="s">
        <v>22</v>
      </c>
    </row>
    <row r="167" spans="1:10">
      <c r="A167" t="s">
        <v>309</v>
      </c>
      <c r="B167">
        <v>45833</v>
      </c>
      <c r="C167" t="s">
        <v>24</v>
      </c>
      <c r="D167" t="s">
        <v>57</v>
      </c>
      <c r="E167" t="s">
        <v>26</v>
      </c>
      <c r="F167" t="s">
        <v>27</v>
      </c>
      <c r="G167">
        <v>2</v>
      </c>
      <c r="H167">
        <v>1241.6300000000001</v>
      </c>
      <c r="I167">
        <v>875.96</v>
      </c>
      <c r="J167" t="s">
        <v>22</v>
      </c>
    </row>
    <row r="168" spans="1:10">
      <c r="A168" t="s">
        <v>310</v>
      </c>
      <c r="B168">
        <v>45692</v>
      </c>
      <c r="C168" t="s">
        <v>311</v>
      </c>
      <c r="D168" t="s">
        <v>312</v>
      </c>
      <c r="E168" t="s">
        <v>36</v>
      </c>
      <c r="F168" t="s">
        <v>88</v>
      </c>
      <c r="G168">
        <v>6</v>
      </c>
      <c r="H168">
        <v>5023.25</v>
      </c>
      <c r="I168">
        <v>3852.05</v>
      </c>
      <c r="J168" t="s">
        <v>16</v>
      </c>
    </row>
    <row r="169" spans="1:10">
      <c r="A169" t="s">
        <v>313</v>
      </c>
      <c r="B169">
        <v>45713</v>
      </c>
      <c r="C169" t="s">
        <v>51</v>
      </c>
      <c r="D169" t="s">
        <v>31</v>
      </c>
      <c r="E169" t="s">
        <v>36</v>
      </c>
      <c r="F169" t="s">
        <v>113</v>
      </c>
      <c r="G169">
        <v>8</v>
      </c>
      <c r="H169">
        <v>8713</v>
      </c>
      <c r="I169">
        <v>7315.98</v>
      </c>
      <c r="J169" t="s">
        <v>71</v>
      </c>
    </row>
    <row r="170" spans="1:10">
      <c r="A170" t="s">
        <v>314</v>
      </c>
      <c r="B170">
        <v>45664</v>
      </c>
      <c r="D170" t="s">
        <v>41</v>
      </c>
      <c r="E170" t="s">
        <v>20</v>
      </c>
      <c r="F170" t="s">
        <v>191</v>
      </c>
      <c r="G170">
        <v>1</v>
      </c>
      <c r="H170">
        <v>1057.3599999999999</v>
      </c>
      <c r="I170">
        <v>753.24</v>
      </c>
      <c r="J170" t="s">
        <v>16</v>
      </c>
    </row>
    <row r="171" spans="1:10">
      <c r="A171" t="s">
        <v>315</v>
      </c>
      <c r="B171">
        <v>46001</v>
      </c>
      <c r="C171" t="s">
        <v>24</v>
      </c>
      <c r="D171" t="s">
        <v>19</v>
      </c>
      <c r="E171" t="s">
        <v>32</v>
      </c>
      <c r="F171" t="s">
        <v>52</v>
      </c>
      <c r="G171">
        <v>4</v>
      </c>
      <c r="H171">
        <v>1942.89</v>
      </c>
      <c r="I171">
        <v>1110.99</v>
      </c>
      <c r="J171" t="s">
        <v>28</v>
      </c>
    </row>
    <row r="172" spans="1:10">
      <c r="A172" t="s">
        <v>316</v>
      </c>
      <c r="B172">
        <v>45990</v>
      </c>
      <c r="C172" t="s">
        <v>121</v>
      </c>
      <c r="D172" t="s">
        <v>41</v>
      </c>
      <c r="E172" t="s">
        <v>36</v>
      </c>
      <c r="F172" t="s">
        <v>42</v>
      </c>
      <c r="G172">
        <v>1</v>
      </c>
      <c r="H172">
        <v>2498.86</v>
      </c>
      <c r="I172">
        <v>1687.12</v>
      </c>
      <c r="J172" t="s">
        <v>38</v>
      </c>
    </row>
    <row r="173" spans="1:10">
      <c r="A173" t="s">
        <v>317</v>
      </c>
      <c r="B173">
        <v>45899</v>
      </c>
      <c r="C173" t="s">
        <v>105</v>
      </c>
      <c r="D173" t="s">
        <v>41</v>
      </c>
      <c r="E173" t="s">
        <v>32</v>
      </c>
      <c r="F173" t="s">
        <v>33</v>
      </c>
      <c r="G173">
        <v>1</v>
      </c>
      <c r="H173">
        <v>2177.5300000000002</v>
      </c>
      <c r="I173">
        <v>1618.18</v>
      </c>
      <c r="J173" t="s">
        <v>71</v>
      </c>
    </row>
    <row r="174" spans="1:10">
      <c r="A174" t="s">
        <v>318</v>
      </c>
      <c r="B174">
        <v>45923</v>
      </c>
      <c r="C174" t="s">
        <v>40</v>
      </c>
      <c r="D174" t="s">
        <v>41</v>
      </c>
      <c r="E174" t="s">
        <v>20</v>
      </c>
      <c r="F174" t="s">
        <v>191</v>
      </c>
      <c r="G174">
        <v>7</v>
      </c>
      <c r="H174">
        <v>5524.48</v>
      </c>
      <c r="I174">
        <v>3253.15</v>
      </c>
      <c r="J174" t="s">
        <v>22</v>
      </c>
    </row>
    <row r="175" spans="1:10">
      <c r="A175" t="s">
        <v>319</v>
      </c>
      <c r="B175">
        <v>45687</v>
      </c>
      <c r="C175" t="s">
        <v>135</v>
      </c>
      <c r="D175" t="s">
        <v>63</v>
      </c>
      <c r="E175" t="s">
        <v>32</v>
      </c>
      <c r="F175" t="s">
        <v>99</v>
      </c>
      <c r="G175">
        <v>6</v>
      </c>
      <c r="H175">
        <v>2208.08</v>
      </c>
      <c r="I175">
        <v>1801.95</v>
      </c>
      <c r="J175" t="s">
        <v>16</v>
      </c>
    </row>
    <row r="176" spans="1:10">
      <c r="A176" t="s">
        <v>320</v>
      </c>
      <c r="B176">
        <v>45760</v>
      </c>
      <c r="C176" t="s">
        <v>321</v>
      </c>
      <c r="D176" t="s">
        <v>41</v>
      </c>
      <c r="E176" t="s">
        <v>20</v>
      </c>
      <c r="F176" t="s">
        <v>191</v>
      </c>
      <c r="G176">
        <v>4</v>
      </c>
      <c r="H176">
        <v>4544.8599999999997</v>
      </c>
      <c r="I176">
        <v>3808.62</v>
      </c>
      <c r="J176" t="s">
        <v>71</v>
      </c>
    </row>
    <row r="177" spans="1:10">
      <c r="A177" t="s">
        <v>322</v>
      </c>
      <c r="B177">
        <v>45752</v>
      </c>
      <c r="C177" t="s">
        <v>48</v>
      </c>
      <c r="D177" t="s">
        <v>57</v>
      </c>
      <c r="E177" t="s">
        <v>36</v>
      </c>
      <c r="F177" t="s">
        <v>46</v>
      </c>
      <c r="G177">
        <v>1</v>
      </c>
      <c r="H177">
        <v>13937.85</v>
      </c>
      <c r="I177">
        <v>10480.620000000001</v>
      </c>
      <c r="J177" t="s">
        <v>22</v>
      </c>
    </row>
    <row r="178" spans="1:10">
      <c r="A178" t="s">
        <v>323</v>
      </c>
      <c r="B178">
        <v>45823</v>
      </c>
      <c r="C178" t="s">
        <v>67</v>
      </c>
      <c r="D178" t="s">
        <v>12</v>
      </c>
      <c r="E178" t="s">
        <v>32</v>
      </c>
      <c r="F178" t="s">
        <v>52</v>
      </c>
      <c r="G178">
        <v>7</v>
      </c>
      <c r="H178">
        <v>1779.76</v>
      </c>
      <c r="I178">
        <v>1397.83</v>
      </c>
      <c r="J178" t="s">
        <v>28</v>
      </c>
    </row>
    <row r="179" spans="1:10">
      <c r="A179" t="s">
        <v>324</v>
      </c>
      <c r="B179">
        <v>46013</v>
      </c>
      <c r="C179" t="s">
        <v>48</v>
      </c>
      <c r="D179" t="s">
        <v>19</v>
      </c>
      <c r="E179" t="s">
        <v>26</v>
      </c>
      <c r="F179" t="s">
        <v>325</v>
      </c>
      <c r="G179">
        <v>4</v>
      </c>
      <c r="H179">
        <v>1806.78</v>
      </c>
      <c r="I179">
        <v>1099.6400000000001</v>
      </c>
      <c r="J179" t="s">
        <v>28</v>
      </c>
    </row>
    <row r="180" spans="1:10">
      <c r="A180" t="s">
        <v>326</v>
      </c>
      <c r="B180">
        <v>45705</v>
      </c>
      <c r="C180" t="s">
        <v>327</v>
      </c>
      <c r="D180" t="s">
        <v>19</v>
      </c>
      <c r="E180" t="s">
        <v>82</v>
      </c>
      <c r="F180" t="s">
        <v>97</v>
      </c>
      <c r="G180">
        <v>3</v>
      </c>
      <c r="I180">
        <v>3193.34</v>
      </c>
      <c r="J180" t="s">
        <v>71</v>
      </c>
    </row>
    <row r="181" spans="1:10">
      <c r="A181" t="s">
        <v>328</v>
      </c>
      <c r="B181">
        <v>46013</v>
      </c>
      <c r="C181" t="s">
        <v>115</v>
      </c>
      <c r="D181" t="s">
        <v>57</v>
      </c>
      <c r="E181" t="s">
        <v>32</v>
      </c>
      <c r="F181" t="s">
        <v>33</v>
      </c>
      <c r="G181">
        <v>2</v>
      </c>
      <c r="H181">
        <v>1905.29</v>
      </c>
      <c r="I181">
        <v>1609.02</v>
      </c>
      <c r="J181" t="s">
        <v>71</v>
      </c>
    </row>
    <row r="182" spans="1:10">
      <c r="A182" t="s">
        <v>329</v>
      </c>
      <c r="B182">
        <v>45701</v>
      </c>
      <c r="C182" t="s">
        <v>18</v>
      </c>
      <c r="D182" t="s">
        <v>41</v>
      </c>
      <c r="E182" t="s">
        <v>26</v>
      </c>
      <c r="F182" t="s">
        <v>103</v>
      </c>
      <c r="G182">
        <v>2</v>
      </c>
      <c r="H182">
        <v>2653.64</v>
      </c>
      <c r="I182">
        <v>1672.34</v>
      </c>
      <c r="J182" t="s">
        <v>38</v>
      </c>
    </row>
    <row r="183" spans="1:10">
      <c r="A183" t="s">
        <v>330</v>
      </c>
      <c r="B183">
        <v>45685</v>
      </c>
      <c r="C183" t="s">
        <v>259</v>
      </c>
      <c r="D183" t="s">
        <v>63</v>
      </c>
      <c r="E183" t="s">
        <v>32</v>
      </c>
      <c r="F183" t="s">
        <v>163</v>
      </c>
      <c r="G183">
        <v>2</v>
      </c>
      <c r="H183">
        <v>339.41</v>
      </c>
      <c r="I183">
        <v>268.24</v>
      </c>
      <c r="J183" t="s">
        <v>16</v>
      </c>
    </row>
    <row r="184" spans="1:10">
      <c r="A184" t="s">
        <v>331</v>
      </c>
      <c r="B184">
        <v>45815</v>
      </c>
      <c r="C184" t="s">
        <v>332</v>
      </c>
      <c r="D184" t="s">
        <v>25</v>
      </c>
      <c r="E184" t="s">
        <v>20</v>
      </c>
      <c r="F184" t="s">
        <v>91</v>
      </c>
      <c r="G184">
        <v>7</v>
      </c>
      <c r="H184">
        <v>4834.5</v>
      </c>
      <c r="I184">
        <v>3187.55</v>
      </c>
      <c r="J184" t="s">
        <v>22</v>
      </c>
    </row>
    <row r="185" spans="1:10">
      <c r="A185" t="s">
        <v>333</v>
      </c>
      <c r="B185">
        <v>45775</v>
      </c>
      <c r="D185" t="s">
        <v>12</v>
      </c>
      <c r="E185" t="s">
        <v>82</v>
      </c>
      <c r="F185" t="s">
        <v>334</v>
      </c>
      <c r="G185">
        <v>4</v>
      </c>
      <c r="H185">
        <v>6348.4</v>
      </c>
      <c r="I185">
        <v>4941.9399999999996</v>
      </c>
      <c r="J185" t="s">
        <v>38</v>
      </c>
    </row>
    <row r="186" spans="1:10">
      <c r="A186" t="s">
        <v>335</v>
      </c>
      <c r="B186">
        <v>45743</v>
      </c>
      <c r="C186" t="s">
        <v>85</v>
      </c>
      <c r="D186" t="s">
        <v>41</v>
      </c>
      <c r="E186" t="s">
        <v>82</v>
      </c>
      <c r="F186" t="s">
        <v>150</v>
      </c>
      <c r="G186">
        <v>7</v>
      </c>
      <c r="H186">
        <v>5358.63</v>
      </c>
      <c r="I186">
        <v>4087.96</v>
      </c>
      <c r="J186" t="s">
        <v>38</v>
      </c>
    </row>
    <row r="187" spans="1:10">
      <c r="A187" t="s">
        <v>336</v>
      </c>
      <c r="B187">
        <v>45861</v>
      </c>
      <c r="C187" t="s">
        <v>133</v>
      </c>
      <c r="D187" t="s">
        <v>19</v>
      </c>
      <c r="E187" t="s">
        <v>32</v>
      </c>
      <c r="F187" t="s">
        <v>52</v>
      </c>
      <c r="G187">
        <v>1</v>
      </c>
      <c r="H187">
        <v>224.7</v>
      </c>
      <c r="I187">
        <v>132.09</v>
      </c>
      <c r="J187" t="s">
        <v>71</v>
      </c>
    </row>
    <row r="188" spans="1:10">
      <c r="A188" t="s">
        <v>337</v>
      </c>
      <c r="B188">
        <v>45754</v>
      </c>
      <c r="C188" t="s">
        <v>35</v>
      </c>
      <c r="D188" t="s">
        <v>173</v>
      </c>
      <c r="E188" t="s">
        <v>36</v>
      </c>
      <c r="F188" t="s">
        <v>88</v>
      </c>
      <c r="G188">
        <v>8</v>
      </c>
      <c r="H188">
        <v>12780.76</v>
      </c>
      <c r="I188">
        <v>11170.83</v>
      </c>
      <c r="J188" t="s">
        <v>38</v>
      </c>
    </row>
    <row r="189" spans="1:10">
      <c r="A189" t="s">
        <v>338</v>
      </c>
      <c r="B189">
        <v>45981</v>
      </c>
      <c r="C189" t="s">
        <v>59</v>
      </c>
      <c r="D189" t="s">
        <v>31</v>
      </c>
      <c r="E189" t="s">
        <v>149</v>
      </c>
      <c r="F189" t="s">
        <v>83</v>
      </c>
      <c r="G189">
        <v>7</v>
      </c>
      <c r="H189">
        <v>3854.83</v>
      </c>
      <c r="I189">
        <v>2933.7</v>
      </c>
    </row>
    <row r="190" spans="1:10">
      <c r="A190" t="s">
        <v>339</v>
      </c>
      <c r="B190">
        <v>45852</v>
      </c>
      <c r="C190" t="s">
        <v>135</v>
      </c>
      <c r="D190" t="s">
        <v>63</v>
      </c>
      <c r="E190" t="s">
        <v>20</v>
      </c>
      <c r="F190" t="s">
        <v>196</v>
      </c>
      <c r="G190">
        <v>6</v>
      </c>
      <c r="H190">
        <v>3862.47</v>
      </c>
      <c r="I190">
        <v>3223.81</v>
      </c>
      <c r="J190" t="s">
        <v>71</v>
      </c>
    </row>
    <row r="191" spans="1:10">
      <c r="A191" t="s">
        <v>340</v>
      </c>
      <c r="B191">
        <v>45935</v>
      </c>
      <c r="C191" t="s">
        <v>121</v>
      </c>
      <c r="D191" t="s">
        <v>31</v>
      </c>
      <c r="E191" t="s">
        <v>26</v>
      </c>
      <c r="F191" t="s">
        <v>106</v>
      </c>
      <c r="G191">
        <v>3</v>
      </c>
      <c r="H191">
        <v>921.96</v>
      </c>
      <c r="I191">
        <v>549.24</v>
      </c>
      <c r="J191" t="s">
        <v>38</v>
      </c>
    </row>
    <row r="192" spans="1:10">
      <c r="A192" t="s">
        <v>341</v>
      </c>
      <c r="B192">
        <v>45658</v>
      </c>
      <c r="C192" t="s">
        <v>124</v>
      </c>
      <c r="E192" t="s">
        <v>36</v>
      </c>
      <c r="F192" t="s">
        <v>88</v>
      </c>
      <c r="G192">
        <v>7</v>
      </c>
      <c r="H192">
        <v>15418</v>
      </c>
      <c r="I192">
        <v>12179.93</v>
      </c>
      <c r="J192" t="s">
        <v>16</v>
      </c>
    </row>
    <row r="193" spans="1:10">
      <c r="A193" t="s">
        <v>342</v>
      </c>
      <c r="B193">
        <v>45973</v>
      </c>
      <c r="C193" t="s">
        <v>175</v>
      </c>
      <c r="D193" t="s">
        <v>12</v>
      </c>
      <c r="E193" t="s">
        <v>179</v>
      </c>
      <c r="F193" t="s">
        <v>180</v>
      </c>
      <c r="G193">
        <v>4</v>
      </c>
      <c r="H193">
        <v>2295.04</v>
      </c>
      <c r="I193">
        <v>1827.2</v>
      </c>
      <c r="J193" t="s">
        <v>28</v>
      </c>
    </row>
    <row r="194" spans="1:10">
      <c r="A194" t="s">
        <v>343</v>
      </c>
      <c r="B194">
        <v>45941</v>
      </c>
      <c r="C194" t="s">
        <v>344</v>
      </c>
      <c r="D194" t="s">
        <v>31</v>
      </c>
      <c r="E194" t="s">
        <v>20</v>
      </c>
      <c r="F194" t="s">
        <v>14</v>
      </c>
      <c r="G194">
        <v>4</v>
      </c>
      <c r="H194">
        <v>3725.11</v>
      </c>
      <c r="I194">
        <v>3048.29</v>
      </c>
      <c r="J194" t="s">
        <v>71</v>
      </c>
    </row>
    <row r="195" spans="1:10">
      <c r="A195" t="s">
        <v>345</v>
      </c>
      <c r="B195">
        <v>45795</v>
      </c>
      <c r="C195" t="s">
        <v>18</v>
      </c>
      <c r="D195" t="s">
        <v>63</v>
      </c>
      <c r="E195" t="s">
        <v>20</v>
      </c>
      <c r="F195" t="s">
        <v>191</v>
      </c>
      <c r="G195">
        <v>6</v>
      </c>
      <c r="H195">
        <v>5055.8900000000003</v>
      </c>
      <c r="I195">
        <v>3344.26</v>
      </c>
      <c r="J195" t="s">
        <v>38</v>
      </c>
    </row>
    <row r="196" spans="1:10">
      <c r="A196" t="s">
        <v>346</v>
      </c>
      <c r="B196">
        <v>45658</v>
      </c>
      <c r="C196" t="s">
        <v>124</v>
      </c>
      <c r="D196" t="s">
        <v>63</v>
      </c>
      <c r="E196" t="s">
        <v>235</v>
      </c>
      <c r="F196" t="s">
        <v>33</v>
      </c>
      <c r="G196">
        <v>1</v>
      </c>
      <c r="H196">
        <v>2460.8000000000002</v>
      </c>
      <c r="I196">
        <v>1837.24</v>
      </c>
      <c r="J196" t="s">
        <v>38</v>
      </c>
    </row>
    <row r="197" spans="1:10">
      <c r="A197" t="s">
        <v>347</v>
      </c>
      <c r="B197">
        <v>45795</v>
      </c>
      <c r="C197" t="s">
        <v>74</v>
      </c>
      <c r="D197" t="s">
        <v>19</v>
      </c>
      <c r="E197" t="s">
        <v>32</v>
      </c>
      <c r="F197" t="s">
        <v>99</v>
      </c>
      <c r="G197">
        <v>2</v>
      </c>
      <c r="H197">
        <v>1057.03</v>
      </c>
      <c r="I197">
        <v>700.92</v>
      </c>
      <c r="J197" t="s">
        <v>16</v>
      </c>
    </row>
    <row r="198" spans="1:10">
      <c r="A198" t="s">
        <v>348</v>
      </c>
      <c r="B198">
        <v>45770</v>
      </c>
      <c r="C198" t="s">
        <v>311</v>
      </c>
      <c r="D198" t="s">
        <v>63</v>
      </c>
      <c r="E198" t="s">
        <v>20</v>
      </c>
      <c r="F198" t="s">
        <v>196</v>
      </c>
      <c r="G198">
        <v>6</v>
      </c>
      <c r="H198">
        <v>5569.55</v>
      </c>
      <c r="I198">
        <v>4631.8599999999997</v>
      </c>
      <c r="J198" t="s">
        <v>28</v>
      </c>
    </row>
    <row r="199" spans="1:10">
      <c r="A199" t="s">
        <v>349</v>
      </c>
      <c r="B199">
        <v>45812</v>
      </c>
      <c r="C199" t="s">
        <v>18</v>
      </c>
      <c r="D199" t="s">
        <v>41</v>
      </c>
      <c r="E199" t="s">
        <v>26</v>
      </c>
      <c r="F199" t="s">
        <v>350</v>
      </c>
      <c r="G199">
        <v>5</v>
      </c>
      <c r="H199">
        <v>869.59</v>
      </c>
      <c r="I199">
        <v>651.61</v>
      </c>
      <c r="J199" t="s">
        <v>71</v>
      </c>
    </row>
    <row r="200" spans="1:10">
      <c r="A200" t="s">
        <v>351</v>
      </c>
      <c r="B200">
        <v>45678</v>
      </c>
      <c r="C200" t="s">
        <v>56</v>
      </c>
      <c r="D200" t="s">
        <v>12</v>
      </c>
      <c r="E200" t="s">
        <v>26</v>
      </c>
      <c r="F200" t="s">
        <v>79</v>
      </c>
      <c r="G200">
        <v>3</v>
      </c>
      <c r="H200" t="s">
        <v>352</v>
      </c>
      <c r="I200">
        <v>1361.03</v>
      </c>
      <c r="J200" t="s">
        <v>22</v>
      </c>
    </row>
    <row r="201" spans="1:10">
      <c r="A201" t="s">
        <v>353</v>
      </c>
      <c r="B201">
        <v>45850</v>
      </c>
      <c r="C201" t="s">
        <v>354</v>
      </c>
      <c r="D201" t="s">
        <v>57</v>
      </c>
      <c r="E201" t="s">
        <v>26</v>
      </c>
      <c r="F201" t="s">
        <v>355</v>
      </c>
      <c r="G201">
        <v>7</v>
      </c>
      <c r="H201">
        <v>853.65</v>
      </c>
      <c r="I201">
        <v>634.54999999999995</v>
      </c>
      <c r="J201" t="s">
        <v>28</v>
      </c>
    </row>
    <row r="202" spans="1:10">
      <c r="A202" t="s">
        <v>356</v>
      </c>
      <c r="B202">
        <v>45901</v>
      </c>
      <c r="C202" t="s">
        <v>357</v>
      </c>
      <c r="D202" t="s">
        <v>57</v>
      </c>
      <c r="E202" t="s">
        <v>32</v>
      </c>
      <c r="F202" t="s">
        <v>163</v>
      </c>
      <c r="G202">
        <v>8</v>
      </c>
      <c r="H202">
        <v>1696.24</v>
      </c>
      <c r="I202">
        <v>1356.06</v>
      </c>
      <c r="J202" t="s">
        <v>22</v>
      </c>
    </row>
    <row r="203" spans="1:10">
      <c r="A203" t="s">
        <v>358</v>
      </c>
      <c r="B203">
        <v>45813</v>
      </c>
      <c r="C203" t="s">
        <v>162</v>
      </c>
      <c r="D203" t="s">
        <v>12</v>
      </c>
      <c r="E203" t="s">
        <v>32</v>
      </c>
      <c r="F203" t="s">
        <v>33</v>
      </c>
      <c r="G203">
        <v>4</v>
      </c>
      <c r="H203">
        <v>681.7</v>
      </c>
      <c r="I203">
        <v>385.52</v>
      </c>
      <c r="J203" t="s">
        <v>16</v>
      </c>
    </row>
    <row r="204" spans="1:10">
      <c r="A204" t="s">
        <v>359</v>
      </c>
      <c r="B204" t="s">
        <v>360</v>
      </c>
      <c r="C204" t="s">
        <v>121</v>
      </c>
      <c r="D204" t="s">
        <v>41</v>
      </c>
      <c r="E204" t="s">
        <v>82</v>
      </c>
      <c r="F204" t="s">
        <v>137</v>
      </c>
      <c r="G204">
        <v>4</v>
      </c>
      <c r="H204">
        <v>1725.87</v>
      </c>
      <c r="I204">
        <v>1304.72</v>
      </c>
      <c r="J204" t="s">
        <v>22</v>
      </c>
    </row>
    <row r="205" spans="1:10">
      <c r="A205" t="s">
        <v>361</v>
      </c>
      <c r="B205">
        <v>45918</v>
      </c>
      <c r="C205" t="s">
        <v>85</v>
      </c>
      <c r="D205" t="s">
        <v>12</v>
      </c>
      <c r="E205" t="s">
        <v>32</v>
      </c>
      <c r="F205" t="s">
        <v>163</v>
      </c>
      <c r="G205">
        <v>3</v>
      </c>
      <c r="H205">
        <v>1303.21</v>
      </c>
      <c r="I205">
        <v>938.25</v>
      </c>
      <c r="J205" t="s">
        <v>38</v>
      </c>
    </row>
    <row r="206" spans="1:10">
      <c r="A206" t="s">
        <v>362</v>
      </c>
      <c r="B206">
        <v>45988</v>
      </c>
      <c r="C206" t="s">
        <v>115</v>
      </c>
      <c r="D206" t="s">
        <v>19</v>
      </c>
      <c r="E206" t="s">
        <v>36</v>
      </c>
      <c r="F206" t="s">
        <v>113</v>
      </c>
      <c r="G206">
        <v>3</v>
      </c>
      <c r="H206">
        <v>1569.33</v>
      </c>
      <c r="I206">
        <v>1229.5899999999999</v>
      </c>
      <c r="J206" t="s">
        <v>28</v>
      </c>
    </row>
    <row r="207" spans="1:10">
      <c r="A207" t="s">
        <v>363</v>
      </c>
      <c r="B207">
        <v>45680</v>
      </c>
      <c r="C207" t="s">
        <v>35</v>
      </c>
      <c r="D207" t="s">
        <v>31</v>
      </c>
      <c r="E207" t="s">
        <v>36</v>
      </c>
      <c r="F207" t="s">
        <v>37</v>
      </c>
      <c r="G207">
        <v>2</v>
      </c>
      <c r="H207">
        <v>10213.379999999999</v>
      </c>
      <c r="I207">
        <v>5963.05</v>
      </c>
      <c r="J207" t="s">
        <v>28</v>
      </c>
    </row>
    <row r="208" spans="1:10">
      <c r="A208" t="s">
        <v>364</v>
      </c>
      <c r="B208">
        <v>45726</v>
      </c>
      <c r="C208" t="s">
        <v>115</v>
      </c>
      <c r="D208" t="s">
        <v>57</v>
      </c>
      <c r="E208" t="s">
        <v>26</v>
      </c>
      <c r="F208" t="s">
        <v>68</v>
      </c>
      <c r="G208">
        <v>7</v>
      </c>
      <c r="H208">
        <v>1618.43</v>
      </c>
      <c r="I208">
        <v>1067.03</v>
      </c>
      <c r="J208" t="s">
        <v>16</v>
      </c>
    </row>
    <row r="209" spans="1:10">
      <c r="A209" t="s">
        <v>365</v>
      </c>
      <c r="B209">
        <v>45673</v>
      </c>
      <c r="C209" t="s">
        <v>11</v>
      </c>
      <c r="D209" t="s">
        <v>12</v>
      </c>
      <c r="E209" t="s">
        <v>26</v>
      </c>
      <c r="F209" t="s">
        <v>106</v>
      </c>
      <c r="G209">
        <v>5</v>
      </c>
      <c r="H209">
        <v>983.14</v>
      </c>
      <c r="I209">
        <v>651.61</v>
      </c>
      <c r="J209" t="s">
        <v>28</v>
      </c>
    </row>
    <row r="210" spans="1:10">
      <c r="A210" t="s">
        <v>366</v>
      </c>
      <c r="B210">
        <v>45696</v>
      </c>
      <c r="C210" t="s">
        <v>299</v>
      </c>
      <c r="D210" t="s">
        <v>31</v>
      </c>
      <c r="E210" t="s">
        <v>20</v>
      </c>
      <c r="F210" t="s">
        <v>91</v>
      </c>
      <c r="G210">
        <v>3</v>
      </c>
      <c r="H210">
        <v>5732.11</v>
      </c>
      <c r="I210">
        <v>4340.49</v>
      </c>
      <c r="J210" t="s">
        <v>28</v>
      </c>
    </row>
    <row r="211" spans="1:10">
      <c r="A211" t="s">
        <v>367</v>
      </c>
      <c r="B211">
        <v>45938</v>
      </c>
      <c r="D211" t="s">
        <v>31</v>
      </c>
      <c r="E211" t="s">
        <v>36</v>
      </c>
      <c r="F211" t="s">
        <v>37</v>
      </c>
      <c r="G211">
        <v>4</v>
      </c>
      <c r="H211">
        <v>10693.2</v>
      </c>
      <c r="I211">
        <v>6410.05</v>
      </c>
      <c r="J211" t="s">
        <v>22</v>
      </c>
    </row>
    <row r="212" spans="1:10">
      <c r="A212" t="s">
        <v>368</v>
      </c>
      <c r="B212">
        <v>45662</v>
      </c>
      <c r="C212" t="s">
        <v>48</v>
      </c>
      <c r="D212" t="s">
        <v>41</v>
      </c>
      <c r="E212" t="s">
        <v>235</v>
      </c>
      <c r="F212" t="s">
        <v>163</v>
      </c>
      <c r="G212">
        <v>4</v>
      </c>
      <c r="H212" t="s">
        <v>369</v>
      </c>
      <c r="I212">
        <v>226.08</v>
      </c>
      <c r="J212" t="s">
        <v>71</v>
      </c>
    </row>
    <row r="213" spans="1:10">
      <c r="A213" t="s">
        <v>370</v>
      </c>
      <c r="B213">
        <v>45915</v>
      </c>
      <c r="C213" t="s">
        <v>51</v>
      </c>
      <c r="D213" t="s">
        <v>31</v>
      </c>
      <c r="E213" t="s">
        <v>20</v>
      </c>
      <c r="F213" t="s">
        <v>21</v>
      </c>
      <c r="G213">
        <v>4</v>
      </c>
      <c r="H213">
        <v>1342.59</v>
      </c>
      <c r="I213">
        <v>1036.8800000000001</v>
      </c>
      <c r="J213" t="s">
        <v>28</v>
      </c>
    </row>
    <row r="214" spans="1:10">
      <c r="A214" t="s">
        <v>371</v>
      </c>
      <c r="B214">
        <v>45988</v>
      </c>
      <c r="C214" t="s">
        <v>162</v>
      </c>
      <c r="D214" t="s">
        <v>31</v>
      </c>
      <c r="E214" t="s">
        <v>36</v>
      </c>
      <c r="F214" t="s">
        <v>46</v>
      </c>
      <c r="G214">
        <v>2</v>
      </c>
      <c r="H214">
        <v>15294.66</v>
      </c>
      <c r="I214">
        <v>12746.2</v>
      </c>
      <c r="J214" t="s">
        <v>71</v>
      </c>
    </row>
    <row r="215" spans="1:10">
      <c r="A215" t="s">
        <v>372</v>
      </c>
      <c r="B215">
        <v>45807</v>
      </c>
      <c r="C215" t="s">
        <v>35</v>
      </c>
      <c r="D215" t="s">
        <v>19</v>
      </c>
      <c r="E215" t="s">
        <v>36</v>
      </c>
      <c r="F215" t="s">
        <v>88</v>
      </c>
      <c r="G215">
        <v>2</v>
      </c>
      <c r="H215">
        <v>9687.1200000000008</v>
      </c>
      <c r="I215">
        <v>7778.04</v>
      </c>
      <c r="J215" t="s">
        <v>71</v>
      </c>
    </row>
    <row r="216" spans="1:10">
      <c r="A216" t="s">
        <v>373</v>
      </c>
      <c r="B216">
        <v>45971</v>
      </c>
      <c r="C216" t="s">
        <v>11</v>
      </c>
      <c r="D216" t="s">
        <v>41</v>
      </c>
      <c r="E216" t="s">
        <v>20</v>
      </c>
      <c r="F216" t="s">
        <v>191</v>
      </c>
      <c r="G216">
        <v>5</v>
      </c>
      <c r="H216">
        <v>2285.4899999999998</v>
      </c>
      <c r="I216">
        <v>1300.21</v>
      </c>
      <c r="J216" t="s">
        <v>16</v>
      </c>
    </row>
    <row r="217" spans="1:10">
      <c r="A217" t="s">
        <v>374</v>
      </c>
      <c r="B217">
        <v>45661</v>
      </c>
      <c r="C217" t="s">
        <v>24</v>
      </c>
      <c r="D217" t="s">
        <v>63</v>
      </c>
      <c r="E217" t="s">
        <v>32</v>
      </c>
      <c r="F217" t="s">
        <v>180</v>
      </c>
      <c r="G217">
        <v>7</v>
      </c>
      <c r="H217">
        <v>227.26</v>
      </c>
      <c r="I217">
        <v>164.7</v>
      </c>
      <c r="J217" t="s">
        <v>22</v>
      </c>
    </row>
    <row r="218" spans="1:10">
      <c r="A218" t="s">
        <v>375</v>
      </c>
      <c r="B218">
        <v>45745</v>
      </c>
      <c r="C218" t="s">
        <v>162</v>
      </c>
      <c r="E218" t="s">
        <v>82</v>
      </c>
      <c r="F218" t="s">
        <v>97</v>
      </c>
      <c r="G218">
        <v>5</v>
      </c>
      <c r="H218">
        <v>6729.63</v>
      </c>
      <c r="I218">
        <v>5033.47</v>
      </c>
      <c r="J218" t="s">
        <v>28</v>
      </c>
    </row>
    <row r="219" spans="1:10">
      <c r="A219" t="s">
        <v>376</v>
      </c>
      <c r="B219">
        <v>45702</v>
      </c>
      <c r="C219" t="s">
        <v>54</v>
      </c>
      <c r="D219" t="s">
        <v>377</v>
      </c>
      <c r="E219" t="s">
        <v>26</v>
      </c>
      <c r="F219" t="s">
        <v>131</v>
      </c>
      <c r="G219">
        <v>8</v>
      </c>
      <c r="H219">
        <v>669.56</v>
      </c>
      <c r="I219">
        <v>412.33</v>
      </c>
      <c r="J219" t="s">
        <v>38</v>
      </c>
    </row>
    <row r="220" spans="1:10">
      <c r="A220" t="s">
        <v>378</v>
      </c>
      <c r="B220">
        <v>45736</v>
      </c>
      <c r="C220" t="s">
        <v>129</v>
      </c>
      <c r="D220" t="s">
        <v>12</v>
      </c>
      <c r="E220" t="s">
        <v>32</v>
      </c>
      <c r="F220" t="s">
        <v>99</v>
      </c>
      <c r="G220">
        <v>4</v>
      </c>
      <c r="H220">
        <v>982.27</v>
      </c>
      <c r="I220">
        <v>696.97</v>
      </c>
      <c r="J220" t="s">
        <v>38</v>
      </c>
    </row>
    <row r="221" spans="1:10">
      <c r="A221" t="s">
        <v>379</v>
      </c>
      <c r="B221">
        <v>45950</v>
      </c>
      <c r="C221" t="s">
        <v>48</v>
      </c>
      <c r="D221" t="s">
        <v>25</v>
      </c>
      <c r="E221" t="s">
        <v>36</v>
      </c>
      <c r="F221" t="s">
        <v>93</v>
      </c>
      <c r="G221">
        <v>1</v>
      </c>
      <c r="H221">
        <v>10273.41</v>
      </c>
      <c r="I221">
        <v>6540.51</v>
      </c>
      <c r="J221" t="s">
        <v>28</v>
      </c>
    </row>
    <row r="222" spans="1:10">
      <c r="A222" t="s">
        <v>380</v>
      </c>
      <c r="B222">
        <v>45913</v>
      </c>
      <c r="C222" t="s">
        <v>162</v>
      </c>
      <c r="D222" t="s">
        <v>63</v>
      </c>
      <c r="E222" t="s">
        <v>122</v>
      </c>
      <c r="F222" t="s">
        <v>46</v>
      </c>
      <c r="G222">
        <v>2</v>
      </c>
      <c r="H222">
        <v>9933.7000000000007</v>
      </c>
      <c r="I222">
        <v>8668.5400000000009</v>
      </c>
      <c r="J222" t="s">
        <v>22</v>
      </c>
    </row>
    <row r="223" spans="1:10">
      <c r="A223" t="s">
        <v>381</v>
      </c>
      <c r="B223">
        <v>46001</v>
      </c>
      <c r="C223" t="s">
        <v>382</v>
      </c>
      <c r="D223" t="s">
        <v>57</v>
      </c>
      <c r="E223" t="s">
        <v>36</v>
      </c>
      <c r="F223" t="s">
        <v>37</v>
      </c>
      <c r="G223">
        <v>2</v>
      </c>
      <c r="H223">
        <v>16407.650000000001</v>
      </c>
      <c r="I223">
        <v>13546.59</v>
      </c>
      <c r="J223" t="s">
        <v>28</v>
      </c>
    </row>
    <row r="224" spans="1:10">
      <c r="A224" t="s">
        <v>383</v>
      </c>
      <c r="B224">
        <v>45975</v>
      </c>
      <c r="C224" t="s">
        <v>11</v>
      </c>
      <c r="D224" t="s">
        <v>19</v>
      </c>
      <c r="E224" t="s">
        <v>32</v>
      </c>
      <c r="F224" t="s">
        <v>33</v>
      </c>
      <c r="G224">
        <v>8</v>
      </c>
      <c r="H224">
        <v>627.62</v>
      </c>
      <c r="I224">
        <v>373.71</v>
      </c>
      <c r="J224" t="s">
        <v>16</v>
      </c>
    </row>
    <row r="225" spans="1:10">
      <c r="A225" t="s">
        <v>384</v>
      </c>
      <c r="B225">
        <v>45661</v>
      </c>
      <c r="C225" t="s">
        <v>40</v>
      </c>
      <c r="D225" t="s">
        <v>63</v>
      </c>
      <c r="E225" t="s">
        <v>36</v>
      </c>
      <c r="F225" t="s">
        <v>113</v>
      </c>
      <c r="G225">
        <v>2</v>
      </c>
      <c r="H225">
        <v>13826.93</v>
      </c>
      <c r="I225">
        <v>10276.870000000001</v>
      </c>
      <c r="J225" t="s">
        <v>16</v>
      </c>
    </row>
    <row r="226" spans="1:10">
      <c r="A226" t="s">
        <v>385</v>
      </c>
      <c r="B226">
        <v>45918</v>
      </c>
      <c r="C226" t="s">
        <v>386</v>
      </c>
      <c r="D226" t="s">
        <v>19</v>
      </c>
      <c r="E226" t="s">
        <v>26</v>
      </c>
      <c r="F226" t="s">
        <v>131</v>
      </c>
      <c r="G226">
        <v>7</v>
      </c>
      <c r="H226">
        <v>2458.4299999999998</v>
      </c>
      <c r="I226">
        <v>2036.58</v>
      </c>
      <c r="J226" t="s">
        <v>22</v>
      </c>
    </row>
    <row r="227" spans="1:10">
      <c r="A227" t="s">
        <v>387</v>
      </c>
      <c r="B227">
        <v>45685</v>
      </c>
      <c r="C227" t="s">
        <v>388</v>
      </c>
      <c r="D227" t="s">
        <v>57</v>
      </c>
      <c r="E227" t="s">
        <v>36</v>
      </c>
      <c r="F227" t="s">
        <v>37</v>
      </c>
      <c r="G227">
        <v>2</v>
      </c>
      <c r="H227">
        <v>9418.11</v>
      </c>
      <c r="I227">
        <v>5263.1</v>
      </c>
      <c r="J227" t="s">
        <v>71</v>
      </c>
    </row>
    <row r="228" spans="1:10">
      <c r="A228" t="s">
        <v>389</v>
      </c>
      <c r="B228">
        <v>45992</v>
      </c>
      <c r="C228" t="s">
        <v>133</v>
      </c>
      <c r="D228" t="s">
        <v>31</v>
      </c>
      <c r="E228" t="s">
        <v>36</v>
      </c>
      <c r="F228" t="s">
        <v>93</v>
      </c>
      <c r="G228">
        <v>3</v>
      </c>
      <c r="H228">
        <v>15699.47</v>
      </c>
      <c r="I228">
        <v>9813.75</v>
      </c>
      <c r="J228" t="s">
        <v>71</v>
      </c>
    </row>
    <row r="229" spans="1:10">
      <c r="A229" t="s">
        <v>390</v>
      </c>
      <c r="B229">
        <v>46000</v>
      </c>
      <c r="C229" t="s">
        <v>40</v>
      </c>
      <c r="D229" t="s">
        <v>19</v>
      </c>
      <c r="E229" t="s">
        <v>20</v>
      </c>
      <c r="F229" t="s">
        <v>91</v>
      </c>
      <c r="G229">
        <v>2</v>
      </c>
      <c r="H229">
        <v>1713.12</v>
      </c>
      <c r="I229">
        <v>1441</v>
      </c>
      <c r="J229" t="s">
        <v>71</v>
      </c>
    </row>
    <row r="230" spans="1:10">
      <c r="A230" t="s">
        <v>391</v>
      </c>
      <c r="B230">
        <v>45771</v>
      </c>
      <c r="C230" t="s">
        <v>54</v>
      </c>
      <c r="D230" t="s">
        <v>31</v>
      </c>
      <c r="E230" t="s">
        <v>26</v>
      </c>
      <c r="F230" t="s">
        <v>79</v>
      </c>
      <c r="G230">
        <v>2</v>
      </c>
      <c r="H230">
        <v>2315.06</v>
      </c>
      <c r="I230">
        <v>1627.97</v>
      </c>
      <c r="J230" t="s">
        <v>22</v>
      </c>
    </row>
    <row r="231" spans="1:10">
      <c r="A231" t="s">
        <v>392</v>
      </c>
      <c r="B231">
        <v>45774</v>
      </c>
      <c r="C231" t="s">
        <v>24</v>
      </c>
      <c r="D231" t="s">
        <v>19</v>
      </c>
      <c r="E231" t="s">
        <v>32</v>
      </c>
      <c r="F231" t="s">
        <v>393</v>
      </c>
      <c r="G231">
        <v>2</v>
      </c>
      <c r="H231">
        <v>1216.28</v>
      </c>
      <c r="I231">
        <v>815.77</v>
      </c>
      <c r="J231" t="s">
        <v>22</v>
      </c>
    </row>
    <row r="232" spans="1:10">
      <c r="A232" t="s">
        <v>394</v>
      </c>
      <c r="B232">
        <v>45804</v>
      </c>
      <c r="C232" t="s">
        <v>175</v>
      </c>
      <c r="D232" t="s">
        <v>63</v>
      </c>
      <c r="E232" t="s">
        <v>20</v>
      </c>
      <c r="F232" t="s">
        <v>196</v>
      </c>
      <c r="G232">
        <v>8</v>
      </c>
      <c r="H232">
        <v>1600.98</v>
      </c>
      <c r="I232">
        <v>952.25</v>
      </c>
      <c r="J232" t="s">
        <v>16</v>
      </c>
    </row>
    <row r="233" spans="1:10">
      <c r="A233" t="s">
        <v>395</v>
      </c>
      <c r="B233">
        <v>45904</v>
      </c>
      <c r="C233" t="s">
        <v>175</v>
      </c>
      <c r="D233" t="s">
        <v>19</v>
      </c>
      <c r="E233" t="s">
        <v>36</v>
      </c>
      <c r="F233" t="s">
        <v>113</v>
      </c>
      <c r="G233">
        <v>2</v>
      </c>
      <c r="H233">
        <v>3329.7</v>
      </c>
      <c r="I233">
        <v>2634.88</v>
      </c>
      <c r="J233" t="s">
        <v>22</v>
      </c>
    </row>
    <row r="234" spans="1:10">
      <c r="A234" t="s">
        <v>396</v>
      </c>
      <c r="B234">
        <v>45995</v>
      </c>
      <c r="C234" t="s">
        <v>121</v>
      </c>
      <c r="D234" t="s">
        <v>12</v>
      </c>
      <c r="E234" t="s">
        <v>82</v>
      </c>
      <c r="F234" t="s">
        <v>137</v>
      </c>
      <c r="G234">
        <v>8</v>
      </c>
      <c r="H234">
        <v>1323.04</v>
      </c>
      <c r="I234">
        <v>941.8</v>
      </c>
      <c r="J234" t="s">
        <v>22</v>
      </c>
    </row>
    <row r="235" spans="1:10">
      <c r="A235" t="s">
        <v>397</v>
      </c>
      <c r="B235">
        <v>45678</v>
      </c>
      <c r="C235" t="s">
        <v>129</v>
      </c>
      <c r="D235" t="s">
        <v>31</v>
      </c>
      <c r="E235" t="s">
        <v>32</v>
      </c>
      <c r="F235" t="s">
        <v>163</v>
      </c>
      <c r="G235">
        <v>7</v>
      </c>
      <c r="H235">
        <v>1387.09</v>
      </c>
      <c r="I235">
        <v>1051.57</v>
      </c>
      <c r="J235" t="s">
        <v>16</v>
      </c>
    </row>
    <row r="236" spans="1:10">
      <c r="A236" t="s">
        <v>291</v>
      </c>
      <c r="B236">
        <v>45859</v>
      </c>
      <c r="C236" t="s">
        <v>220</v>
      </c>
      <c r="D236" t="s">
        <v>31</v>
      </c>
      <c r="E236" t="s">
        <v>82</v>
      </c>
      <c r="F236" t="s">
        <v>109</v>
      </c>
      <c r="G236">
        <v>7</v>
      </c>
      <c r="H236">
        <v>2534.84</v>
      </c>
      <c r="I236">
        <v>1415</v>
      </c>
      <c r="J236" t="s">
        <v>28</v>
      </c>
    </row>
    <row r="237" spans="1:10">
      <c r="A237" t="s">
        <v>398</v>
      </c>
      <c r="B237">
        <v>45804</v>
      </c>
      <c r="C237" t="s">
        <v>85</v>
      </c>
      <c r="D237" t="s">
        <v>57</v>
      </c>
      <c r="E237" t="s">
        <v>20</v>
      </c>
      <c r="F237" t="s">
        <v>14</v>
      </c>
      <c r="G237">
        <v>8</v>
      </c>
      <c r="H237">
        <v>4328.3999999999996</v>
      </c>
      <c r="I237">
        <v>2578.87</v>
      </c>
      <c r="J237" t="s">
        <v>28</v>
      </c>
    </row>
    <row r="238" spans="1:10">
      <c r="A238" t="s">
        <v>399</v>
      </c>
      <c r="B238">
        <v>45700</v>
      </c>
      <c r="C238" t="s">
        <v>30</v>
      </c>
      <c r="D238" t="s">
        <v>19</v>
      </c>
      <c r="E238" t="s">
        <v>36</v>
      </c>
      <c r="F238" t="s">
        <v>88</v>
      </c>
      <c r="G238">
        <v>5</v>
      </c>
      <c r="H238">
        <v>15308.52</v>
      </c>
      <c r="I238">
        <v>11010.21</v>
      </c>
      <c r="J238" t="s">
        <v>16</v>
      </c>
    </row>
    <row r="239" spans="1:10">
      <c r="A239" t="s">
        <v>400</v>
      </c>
      <c r="B239">
        <v>45744</v>
      </c>
      <c r="C239" t="s">
        <v>108</v>
      </c>
      <c r="D239" t="s">
        <v>19</v>
      </c>
      <c r="E239" t="s">
        <v>36</v>
      </c>
      <c r="F239" t="s">
        <v>88</v>
      </c>
      <c r="G239">
        <v>1</v>
      </c>
      <c r="H239">
        <v>10106.93</v>
      </c>
      <c r="I239">
        <v>5683.48</v>
      </c>
      <c r="J239" t="s">
        <v>28</v>
      </c>
    </row>
    <row r="240" spans="1:10">
      <c r="A240" t="s">
        <v>401</v>
      </c>
      <c r="B240">
        <v>45771</v>
      </c>
      <c r="C240" t="s">
        <v>115</v>
      </c>
      <c r="D240" t="s">
        <v>12</v>
      </c>
      <c r="E240" t="s">
        <v>36</v>
      </c>
      <c r="F240" t="s">
        <v>88</v>
      </c>
      <c r="G240">
        <v>4</v>
      </c>
      <c r="H240">
        <v>8522.81</v>
      </c>
      <c r="I240">
        <v>5787.62</v>
      </c>
      <c r="J240" t="s">
        <v>38</v>
      </c>
    </row>
    <row r="241" spans="1:10">
      <c r="A241" t="s">
        <v>402</v>
      </c>
      <c r="B241">
        <v>45755</v>
      </c>
      <c r="C241" t="s">
        <v>403</v>
      </c>
      <c r="D241" t="s">
        <v>41</v>
      </c>
      <c r="E241" t="s">
        <v>32</v>
      </c>
      <c r="F241" t="s">
        <v>52</v>
      </c>
      <c r="G241">
        <v>5</v>
      </c>
      <c r="H241">
        <v>700.71</v>
      </c>
      <c r="I241">
        <v>398.91</v>
      </c>
      <c r="J241" t="s">
        <v>38</v>
      </c>
    </row>
    <row r="242" spans="1:10">
      <c r="A242" t="s">
        <v>404</v>
      </c>
      <c r="B242">
        <v>45800</v>
      </c>
      <c r="C242" t="s">
        <v>220</v>
      </c>
      <c r="D242" t="s">
        <v>57</v>
      </c>
      <c r="E242" t="s">
        <v>32</v>
      </c>
      <c r="F242" t="s">
        <v>101</v>
      </c>
      <c r="G242">
        <v>3</v>
      </c>
      <c r="H242">
        <v>695.22</v>
      </c>
      <c r="I242">
        <v>557.53</v>
      </c>
      <c r="J242" t="s">
        <v>16</v>
      </c>
    </row>
    <row r="243" spans="1:10">
      <c r="A243" t="s">
        <v>405</v>
      </c>
      <c r="B243">
        <v>45794</v>
      </c>
      <c r="C243" t="s">
        <v>119</v>
      </c>
      <c r="D243" t="s">
        <v>19</v>
      </c>
      <c r="E243" t="s">
        <v>36</v>
      </c>
      <c r="F243" t="s">
        <v>113</v>
      </c>
      <c r="G243">
        <v>1</v>
      </c>
      <c r="H243">
        <v>13456.54</v>
      </c>
      <c r="I243">
        <v>11106.63</v>
      </c>
      <c r="J243" t="s">
        <v>16</v>
      </c>
    </row>
    <row r="244" spans="1:10">
      <c r="A244" t="s">
        <v>406</v>
      </c>
      <c r="B244">
        <v>45794</v>
      </c>
      <c r="C244" t="s">
        <v>407</v>
      </c>
      <c r="D244" t="s">
        <v>19</v>
      </c>
      <c r="E244" t="s">
        <v>36</v>
      </c>
      <c r="F244" t="s">
        <v>113</v>
      </c>
      <c r="G244">
        <v>3</v>
      </c>
      <c r="H244">
        <v>15493.28</v>
      </c>
      <c r="I244">
        <v>12988.32</v>
      </c>
      <c r="J244" t="s">
        <v>38</v>
      </c>
    </row>
    <row r="245" spans="1:10">
      <c r="A245" t="s">
        <v>408</v>
      </c>
      <c r="B245">
        <v>45959</v>
      </c>
      <c r="C245" t="s">
        <v>54</v>
      </c>
      <c r="D245" t="s">
        <v>63</v>
      </c>
      <c r="E245" t="s">
        <v>20</v>
      </c>
      <c r="F245" t="s">
        <v>86</v>
      </c>
      <c r="G245">
        <v>8</v>
      </c>
      <c r="H245">
        <v>2995.56</v>
      </c>
      <c r="I245">
        <v>2084.37</v>
      </c>
      <c r="J245" t="s">
        <v>38</v>
      </c>
    </row>
    <row r="246" spans="1:10">
      <c r="A246" t="s">
        <v>409</v>
      </c>
      <c r="B246">
        <v>45890</v>
      </c>
      <c r="C246" t="s">
        <v>30</v>
      </c>
      <c r="D246" t="s">
        <v>31</v>
      </c>
      <c r="E246" t="s">
        <v>20</v>
      </c>
      <c r="F246" t="s">
        <v>191</v>
      </c>
      <c r="G246">
        <v>6</v>
      </c>
      <c r="H246">
        <v>4187.67</v>
      </c>
      <c r="I246">
        <v>3330.19</v>
      </c>
      <c r="J246" t="s">
        <v>38</v>
      </c>
    </row>
    <row r="247" spans="1:10">
      <c r="A247" t="s">
        <v>410</v>
      </c>
      <c r="B247">
        <v>45854</v>
      </c>
      <c r="C247" t="s">
        <v>67</v>
      </c>
      <c r="D247" t="s">
        <v>31</v>
      </c>
      <c r="E247" t="s">
        <v>36</v>
      </c>
      <c r="F247" t="s">
        <v>42</v>
      </c>
      <c r="G247">
        <v>7</v>
      </c>
      <c r="H247">
        <v>11398.81</v>
      </c>
      <c r="I247">
        <v>8229.16</v>
      </c>
      <c r="J247" t="s">
        <v>38</v>
      </c>
    </row>
    <row r="248" spans="1:10">
      <c r="A248" t="s">
        <v>411</v>
      </c>
      <c r="B248">
        <v>45702</v>
      </c>
      <c r="D248" t="s">
        <v>41</v>
      </c>
      <c r="E248" t="s">
        <v>60</v>
      </c>
      <c r="F248" t="s">
        <v>46</v>
      </c>
      <c r="G248">
        <v>5</v>
      </c>
      <c r="H248">
        <v>14232.41</v>
      </c>
      <c r="I248">
        <v>9486.36</v>
      </c>
      <c r="J248" t="s">
        <v>28</v>
      </c>
    </row>
    <row r="249" spans="1:10">
      <c r="A249" t="s">
        <v>412</v>
      </c>
      <c r="B249">
        <v>45713</v>
      </c>
      <c r="D249" t="s">
        <v>12</v>
      </c>
      <c r="E249" t="s">
        <v>26</v>
      </c>
      <c r="F249" t="s">
        <v>350</v>
      </c>
      <c r="G249">
        <v>1</v>
      </c>
      <c r="H249">
        <v>406.48</v>
      </c>
      <c r="I249">
        <v>282.35000000000002</v>
      </c>
      <c r="J249" t="s">
        <v>28</v>
      </c>
    </row>
    <row r="250" spans="1:10">
      <c r="A250" t="s">
        <v>413</v>
      </c>
      <c r="B250">
        <v>45880</v>
      </c>
      <c r="C250" t="s">
        <v>11</v>
      </c>
      <c r="D250" t="s">
        <v>41</v>
      </c>
      <c r="E250" t="s">
        <v>414</v>
      </c>
      <c r="F250" t="s">
        <v>97</v>
      </c>
      <c r="G250">
        <v>1</v>
      </c>
      <c r="H250">
        <v>3846.98</v>
      </c>
      <c r="I250">
        <v>2578.29</v>
      </c>
      <c r="J250" t="s">
        <v>71</v>
      </c>
    </row>
    <row r="251" spans="1:10">
      <c r="A251" t="s">
        <v>415</v>
      </c>
      <c r="B251">
        <v>45913</v>
      </c>
      <c r="C251" t="s">
        <v>162</v>
      </c>
      <c r="D251" t="s">
        <v>12</v>
      </c>
      <c r="E251" t="s">
        <v>20</v>
      </c>
      <c r="F251" t="s">
        <v>191</v>
      </c>
      <c r="G251">
        <v>3</v>
      </c>
      <c r="H251">
        <v>5975.59</v>
      </c>
      <c r="I251">
        <v>4961.5200000000004</v>
      </c>
      <c r="J251" t="s">
        <v>38</v>
      </c>
    </row>
    <row r="252" spans="1:10">
      <c r="A252" t="s">
        <v>416</v>
      </c>
      <c r="B252">
        <v>45763</v>
      </c>
      <c r="C252" t="s">
        <v>124</v>
      </c>
      <c r="D252" t="s">
        <v>377</v>
      </c>
      <c r="E252" t="s">
        <v>36</v>
      </c>
      <c r="F252" t="s">
        <v>42</v>
      </c>
      <c r="G252">
        <v>6</v>
      </c>
      <c r="H252">
        <v>7536.39</v>
      </c>
      <c r="I252">
        <v>6427.84</v>
      </c>
      <c r="J252" t="s">
        <v>16</v>
      </c>
    </row>
    <row r="253" spans="1:10">
      <c r="A253" t="s">
        <v>417</v>
      </c>
      <c r="B253">
        <v>45869</v>
      </c>
      <c r="C253" t="s">
        <v>67</v>
      </c>
      <c r="D253" t="s">
        <v>12</v>
      </c>
      <c r="E253" t="s">
        <v>20</v>
      </c>
      <c r="F253" t="s">
        <v>196</v>
      </c>
      <c r="G253">
        <v>6</v>
      </c>
      <c r="H253">
        <v>3021.52</v>
      </c>
      <c r="I253">
        <v>2407.5700000000002</v>
      </c>
      <c r="J253" t="s">
        <v>38</v>
      </c>
    </row>
    <row r="254" spans="1:10">
      <c r="A254" t="s">
        <v>418</v>
      </c>
      <c r="B254">
        <v>45930</v>
      </c>
      <c r="C254" t="s">
        <v>85</v>
      </c>
      <c r="D254" t="s">
        <v>31</v>
      </c>
      <c r="E254" t="s">
        <v>36</v>
      </c>
      <c r="F254" t="s">
        <v>88</v>
      </c>
      <c r="G254">
        <v>7</v>
      </c>
      <c r="H254">
        <v>12212.01</v>
      </c>
      <c r="I254">
        <v>6994.5</v>
      </c>
      <c r="J254" t="s">
        <v>22</v>
      </c>
    </row>
    <row r="255" spans="1:10">
      <c r="A255" t="s">
        <v>419</v>
      </c>
      <c r="B255">
        <v>45694</v>
      </c>
      <c r="C255" t="s">
        <v>30</v>
      </c>
      <c r="D255" t="s">
        <v>31</v>
      </c>
      <c r="E255" t="s">
        <v>420</v>
      </c>
      <c r="F255" t="s">
        <v>14</v>
      </c>
      <c r="G255">
        <v>1</v>
      </c>
      <c r="H255">
        <v>1759.18</v>
      </c>
      <c r="I255">
        <v>1493.17</v>
      </c>
      <c r="J255" t="s">
        <v>22</v>
      </c>
    </row>
    <row r="256" spans="1:10">
      <c r="A256" t="s">
        <v>421</v>
      </c>
      <c r="B256">
        <v>45986</v>
      </c>
      <c r="C256" t="s">
        <v>24</v>
      </c>
      <c r="D256" t="s">
        <v>57</v>
      </c>
      <c r="E256" t="s">
        <v>26</v>
      </c>
      <c r="F256" t="s">
        <v>27</v>
      </c>
      <c r="G256">
        <v>4</v>
      </c>
      <c r="H256" t="s">
        <v>422</v>
      </c>
      <c r="I256">
        <v>2146.46</v>
      </c>
      <c r="J256" t="s">
        <v>16</v>
      </c>
    </row>
    <row r="257" spans="1:10">
      <c r="A257" t="s">
        <v>423</v>
      </c>
      <c r="B257">
        <v>45945</v>
      </c>
      <c r="C257" t="s">
        <v>117</v>
      </c>
      <c r="D257" t="s">
        <v>63</v>
      </c>
      <c r="E257" t="s">
        <v>26</v>
      </c>
      <c r="F257" t="s">
        <v>131</v>
      </c>
      <c r="G257">
        <v>8</v>
      </c>
      <c r="H257">
        <v>1737.72</v>
      </c>
      <c r="I257">
        <v>1020.25</v>
      </c>
      <c r="J257" t="s">
        <v>71</v>
      </c>
    </row>
    <row r="258" spans="1:10">
      <c r="A258" t="s">
        <v>424</v>
      </c>
      <c r="B258">
        <v>45702</v>
      </c>
      <c r="C258" t="s">
        <v>40</v>
      </c>
      <c r="D258" t="s">
        <v>63</v>
      </c>
      <c r="E258" t="s">
        <v>26</v>
      </c>
      <c r="F258" t="s">
        <v>27</v>
      </c>
      <c r="G258">
        <v>2</v>
      </c>
      <c r="H258">
        <v>426.37</v>
      </c>
      <c r="I258">
        <v>346.25</v>
      </c>
      <c r="J258" t="s">
        <v>38</v>
      </c>
    </row>
    <row r="259" spans="1:10">
      <c r="A259" t="s">
        <v>425</v>
      </c>
      <c r="B259">
        <v>45773</v>
      </c>
      <c r="C259" t="s">
        <v>24</v>
      </c>
      <c r="D259" t="s">
        <v>19</v>
      </c>
      <c r="E259" t="s">
        <v>26</v>
      </c>
      <c r="F259" t="s">
        <v>103</v>
      </c>
      <c r="G259">
        <v>5</v>
      </c>
      <c r="H259">
        <v>282.06</v>
      </c>
      <c r="I259">
        <v>190.24</v>
      </c>
      <c r="J259" t="s">
        <v>71</v>
      </c>
    </row>
    <row r="260" spans="1:10">
      <c r="A260" t="s">
        <v>426</v>
      </c>
      <c r="B260" t="s">
        <v>427</v>
      </c>
      <c r="C260" t="s">
        <v>18</v>
      </c>
      <c r="D260" t="s">
        <v>41</v>
      </c>
      <c r="E260" t="s">
        <v>26</v>
      </c>
      <c r="F260" t="s">
        <v>103</v>
      </c>
      <c r="G260">
        <v>3</v>
      </c>
      <c r="H260">
        <v>773.1</v>
      </c>
      <c r="I260">
        <v>481.53</v>
      </c>
      <c r="J260" t="s">
        <v>22</v>
      </c>
    </row>
    <row r="261" spans="1:10">
      <c r="A261" t="s">
        <v>428</v>
      </c>
      <c r="B261">
        <v>45942</v>
      </c>
      <c r="C261" t="s">
        <v>59</v>
      </c>
      <c r="D261" t="s">
        <v>57</v>
      </c>
      <c r="E261" t="s">
        <v>82</v>
      </c>
      <c r="F261" t="s">
        <v>83</v>
      </c>
      <c r="G261">
        <v>8</v>
      </c>
      <c r="H261">
        <v>675.83</v>
      </c>
      <c r="I261">
        <v>552.95000000000005</v>
      </c>
      <c r="J261" t="s">
        <v>38</v>
      </c>
    </row>
    <row r="262" spans="1:10">
      <c r="A262" t="s">
        <v>429</v>
      </c>
      <c r="B262">
        <v>45709</v>
      </c>
      <c r="C262" t="s">
        <v>54</v>
      </c>
      <c r="D262" t="s">
        <v>63</v>
      </c>
      <c r="E262" t="s">
        <v>20</v>
      </c>
      <c r="F262" t="s">
        <v>14</v>
      </c>
      <c r="G262">
        <v>6</v>
      </c>
      <c r="H262">
        <v>1630.53</v>
      </c>
      <c r="I262">
        <v>999.02</v>
      </c>
      <c r="J262" t="s">
        <v>38</v>
      </c>
    </row>
    <row r="263" spans="1:10">
      <c r="A263" t="s">
        <v>430</v>
      </c>
      <c r="B263">
        <v>45790</v>
      </c>
      <c r="C263" t="s">
        <v>431</v>
      </c>
      <c r="D263" t="s">
        <v>12</v>
      </c>
      <c r="E263" t="s">
        <v>82</v>
      </c>
      <c r="F263" t="s">
        <v>432</v>
      </c>
      <c r="G263">
        <v>4</v>
      </c>
      <c r="H263">
        <v>5892.71</v>
      </c>
      <c r="I263">
        <v>3832.03</v>
      </c>
      <c r="J263" t="s">
        <v>28</v>
      </c>
    </row>
    <row r="264" spans="1:10">
      <c r="A264" t="s">
        <v>433</v>
      </c>
      <c r="B264">
        <v>45846</v>
      </c>
      <c r="C264" t="s">
        <v>434</v>
      </c>
      <c r="D264" t="s">
        <v>19</v>
      </c>
      <c r="E264" t="s">
        <v>122</v>
      </c>
      <c r="F264" t="s">
        <v>46</v>
      </c>
      <c r="G264">
        <v>5</v>
      </c>
      <c r="H264">
        <v>5368.28</v>
      </c>
      <c r="I264">
        <v>3902.28</v>
      </c>
      <c r="J264" t="s">
        <v>38</v>
      </c>
    </row>
    <row r="265" spans="1:10">
      <c r="A265" t="s">
        <v>435</v>
      </c>
      <c r="B265">
        <v>45896</v>
      </c>
      <c r="C265" t="s">
        <v>175</v>
      </c>
      <c r="D265" t="s">
        <v>41</v>
      </c>
      <c r="E265" t="s">
        <v>82</v>
      </c>
      <c r="F265" t="s">
        <v>150</v>
      </c>
      <c r="G265">
        <v>3</v>
      </c>
      <c r="H265">
        <v>1013.25</v>
      </c>
      <c r="I265">
        <v>825.57</v>
      </c>
      <c r="J265" t="s">
        <v>28</v>
      </c>
    </row>
    <row r="266" spans="1:10">
      <c r="A266" t="s">
        <v>436</v>
      </c>
      <c r="B266">
        <v>45978</v>
      </c>
      <c r="C266" t="s">
        <v>437</v>
      </c>
      <c r="D266" t="s">
        <v>57</v>
      </c>
      <c r="E266" t="s">
        <v>82</v>
      </c>
      <c r="F266" t="s">
        <v>150</v>
      </c>
      <c r="G266">
        <v>5</v>
      </c>
      <c r="H266">
        <v>5955.02</v>
      </c>
      <c r="I266">
        <v>4272.8999999999996</v>
      </c>
      <c r="J266" t="s">
        <v>71</v>
      </c>
    </row>
    <row r="267" spans="1:10">
      <c r="A267" t="s">
        <v>438</v>
      </c>
      <c r="B267">
        <v>45673</v>
      </c>
      <c r="C267" t="s">
        <v>133</v>
      </c>
      <c r="D267" t="s">
        <v>41</v>
      </c>
      <c r="E267" t="s">
        <v>36</v>
      </c>
      <c r="F267" t="s">
        <v>42</v>
      </c>
      <c r="G267">
        <v>4</v>
      </c>
      <c r="H267">
        <v>7269.18</v>
      </c>
      <c r="I267">
        <v>5423.06</v>
      </c>
      <c r="J267" t="s">
        <v>71</v>
      </c>
    </row>
    <row r="268" spans="1:10">
      <c r="A268" t="s">
        <v>439</v>
      </c>
      <c r="B268">
        <v>45746</v>
      </c>
      <c r="C268" t="s">
        <v>231</v>
      </c>
      <c r="D268" t="s">
        <v>31</v>
      </c>
      <c r="E268" t="s">
        <v>82</v>
      </c>
      <c r="F268" t="s">
        <v>137</v>
      </c>
      <c r="G268">
        <v>5</v>
      </c>
      <c r="H268">
        <v>589.80999999999995</v>
      </c>
      <c r="I268">
        <v>482.94</v>
      </c>
      <c r="J268" t="s">
        <v>71</v>
      </c>
    </row>
    <row r="269" spans="1:10">
      <c r="A269" t="s">
        <v>440</v>
      </c>
      <c r="B269">
        <v>45674</v>
      </c>
      <c r="C269" t="s">
        <v>441</v>
      </c>
      <c r="D269" t="s">
        <v>31</v>
      </c>
      <c r="E269" t="s">
        <v>82</v>
      </c>
      <c r="F269" t="s">
        <v>150</v>
      </c>
      <c r="G269">
        <v>7</v>
      </c>
      <c r="H269" t="s">
        <v>442</v>
      </c>
      <c r="I269">
        <v>3658.95</v>
      </c>
      <c r="J269" t="s">
        <v>28</v>
      </c>
    </row>
    <row r="270" spans="1:10">
      <c r="A270" t="s">
        <v>443</v>
      </c>
      <c r="B270">
        <v>45766</v>
      </c>
      <c r="D270" t="s">
        <v>63</v>
      </c>
      <c r="E270" t="s">
        <v>36</v>
      </c>
      <c r="F270" t="s">
        <v>42</v>
      </c>
      <c r="G270">
        <v>1</v>
      </c>
      <c r="H270">
        <v>1764.89</v>
      </c>
      <c r="I270">
        <v>1164.93</v>
      </c>
      <c r="J270" t="s">
        <v>71</v>
      </c>
    </row>
    <row r="271" spans="1:10">
      <c r="A271" t="s">
        <v>444</v>
      </c>
      <c r="B271">
        <v>45802</v>
      </c>
      <c r="C271" t="s">
        <v>445</v>
      </c>
      <c r="D271" t="s">
        <v>57</v>
      </c>
      <c r="E271" t="s">
        <v>82</v>
      </c>
      <c r="F271" t="s">
        <v>137</v>
      </c>
      <c r="G271">
        <v>7</v>
      </c>
      <c r="H271">
        <v>3477.25</v>
      </c>
      <c r="I271">
        <v>2656.89</v>
      </c>
      <c r="J271" t="s">
        <v>22</v>
      </c>
    </row>
    <row r="272" spans="1:10">
      <c r="A272" t="s">
        <v>446</v>
      </c>
      <c r="B272">
        <v>45706</v>
      </c>
      <c r="C272" t="s">
        <v>105</v>
      </c>
      <c r="D272" t="s">
        <v>81</v>
      </c>
      <c r="E272" t="s">
        <v>26</v>
      </c>
      <c r="F272" t="s">
        <v>27</v>
      </c>
      <c r="G272">
        <v>1</v>
      </c>
      <c r="H272">
        <v>419.37</v>
      </c>
      <c r="I272">
        <v>359.51</v>
      </c>
      <c r="J272" t="s">
        <v>28</v>
      </c>
    </row>
    <row r="273" spans="1:10">
      <c r="A273" t="s">
        <v>447</v>
      </c>
      <c r="B273">
        <v>45856</v>
      </c>
      <c r="C273" t="s">
        <v>24</v>
      </c>
      <c r="D273" t="s">
        <v>448</v>
      </c>
      <c r="E273" t="s">
        <v>82</v>
      </c>
      <c r="F273" t="s">
        <v>137</v>
      </c>
      <c r="G273">
        <v>5</v>
      </c>
      <c r="H273">
        <v>1586.78</v>
      </c>
      <c r="I273">
        <v>1039.71</v>
      </c>
      <c r="J273" t="s">
        <v>71</v>
      </c>
    </row>
    <row r="274" spans="1:10">
      <c r="A274" t="s">
        <v>449</v>
      </c>
      <c r="B274">
        <v>45786</v>
      </c>
      <c r="C274" t="s">
        <v>117</v>
      </c>
      <c r="D274" t="s">
        <v>12</v>
      </c>
      <c r="E274" t="s">
        <v>36</v>
      </c>
      <c r="F274" t="s">
        <v>113</v>
      </c>
      <c r="G274">
        <v>8</v>
      </c>
      <c r="H274">
        <v>1220.8800000000001</v>
      </c>
      <c r="I274">
        <v>872</v>
      </c>
      <c r="J274" t="s">
        <v>16</v>
      </c>
    </row>
    <row r="275" spans="1:10">
      <c r="A275" t="s">
        <v>450</v>
      </c>
      <c r="B275">
        <v>45886</v>
      </c>
      <c r="C275" t="s">
        <v>74</v>
      </c>
      <c r="D275" t="s">
        <v>41</v>
      </c>
      <c r="E275" t="s">
        <v>26</v>
      </c>
      <c r="F275" t="s">
        <v>350</v>
      </c>
      <c r="G275">
        <v>7</v>
      </c>
      <c r="H275">
        <v>791.6</v>
      </c>
      <c r="I275">
        <v>551.34</v>
      </c>
      <c r="J275" t="s">
        <v>28</v>
      </c>
    </row>
    <row r="276" spans="1:10">
      <c r="A276" t="s">
        <v>451</v>
      </c>
      <c r="B276">
        <v>45784</v>
      </c>
      <c r="C276" t="s">
        <v>70</v>
      </c>
      <c r="D276" t="s">
        <v>12</v>
      </c>
      <c r="E276" t="s">
        <v>235</v>
      </c>
      <c r="F276" t="s">
        <v>99</v>
      </c>
      <c r="G276">
        <v>6</v>
      </c>
      <c r="H276">
        <v>2293.6999999999998</v>
      </c>
      <c r="I276">
        <v>1927.05</v>
      </c>
      <c r="J276" t="s">
        <v>28</v>
      </c>
    </row>
    <row r="277" spans="1:10">
      <c r="A277" t="s">
        <v>452</v>
      </c>
      <c r="B277">
        <v>45747</v>
      </c>
      <c r="C277" t="s">
        <v>135</v>
      </c>
      <c r="D277" t="s">
        <v>41</v>
      </c>
      <c r="E277" t="s">
        <v>20</v>
      </c>
      <c r="F277" t="s">
        <v>21</v>
      </c>
      <c r="G277">
        <v>6</v>
      </c>
      <c r="H277">
        <v>5879.12</v>
      </c>
      <c r="I277">
        <v>4526.3500000000004</v>
      </c>
      <c r="J277" t="s">
        <v>16</v>
      </c>
    </row>
    <row r="278" spans="1:10">
      <c r="A278" t="s">
        <v>453</v>
      </c>
      <c r="B278">
        <v>45890</v>
      </c>
      <c r="C278" t="s">
        <v>162</v>
      </c>
      <c r="D278" t="s">
        <v>125</v>
      </c>
      <c r="E278" t="s">
        <v>26</v>
      </c>
      <c r="F278" t="s">
        <v>103</v>
      </c>
      <c r="G278">
        <v>2</v>
      </c>
      <c r="H278">
        <v>647.12</v>
      </c>
      <c r="I278">
        <v>460.41</v>
      </c>
      <c r="J278" t="s">
        <v>71</v>
      </c>
    </row>
    <row r="279" spans="1:10">
      <c r="A279" t="s">
        <v>454</v>
      </c>
      <c r="B279">
        <v>45687</v>
      </c>
      <c r="C279" t="s">
        <v>24</v>
      </c>
      <c r="D279" t="s">
        <v>19</v>
      </c>
      <c r="E279" t="s">
        <v>26</v>
      </c>
      <c r="F279" t="s">
        <v>103</v>
      </c>
      <c r="G279">
        <v>4</v>
      </c>
      <c r="H279">
        <v>3103.53</v>
      </c>
      <c r="I279">
        <v>2676.77</v>
      </c>
      <c r="J279" t="s">
        <v>16</v>
      </c>
    </row>
    <row r="280" spans="1:10">
      <c r="A280" t="s">
        <v>455</v>
      </c>
      <c r="B280">
        <v>45729</v>
      </c>
      <c r="C280" t="s">
        <v>135</v>
      </c>
      <c r="D280" t="s">
        <v>41</v>
      </c>
      <c r="E280" t="s">
        <v>36</v>
      </c>
      <c r="F280" t="s">
        <v>93</v>
      </c>
      <c r="G280">
        <v>4</v>
      </c>
      <c r="H280">
        <v>2814.04</v>
      </c>
      <c r="I280">
        <v>2229.7800000000002</v>
      </c>
      <c r="J280" t="s">
        <v>16</v>
      </c>
    </row>
    <row r="281" spans="1:10">
      <c r="A281" t="s">
        <v>456</v>
      </c>
      <c r="B281">
        <v>45783</v>
      </c>
      <c r="C281" t="s">
        <v>195</v>
      </c>
      <c r="D281" t="s">
        <v>57</v>
      </c>
      <c r="E281" t="s">
        <v>26</v>
      </c>
      <c r="F281" t="s">
        <v>79</v>
      </c>
      <c r="G281">
        <v>3</v>
      </c>
      <c r="H281">
        <v>886.96</v>
      </c>
      <c r="I281">
        <v>539.37</v>
      </c>
      <c r="J281" t="s">
        <v>22</v>
      </c>
    </row>
    <row r="282" spans="1:10">
      <c r="A282" t="s">
        <v>457</v>
      </c>
      <c r="B282">
        <v>45747</v>
      </c>
      <c r="C282" t="s">
        <v>11</v>
      </c>
      <c r="D282" t="s">
        <v>63</v>
      </c>
      <c r="E282" t="s">
        <v>60</v>
      </c>
      <c r="F282" t="s">
        <v>37</v>
      </c>
      <c r="G282">
        <v>1</v>
      </c>
      <c r="H282">
        <v>15473.45</v>
      </c>
      <c r="I282">
        <v>10349.74</v>
      </c>
      <c r="J282" t="s">
        <v>22</v>
      </c>
    </row>
    <row r="283" spans="1:10">
      <c r="A283" t="s">
        <v>458</v>
      </c>
      <c r="B283">
        <v>45780</v>
      </c>
      <c r="C283" t="s">
        <v>70</v>
      </c>
      <c r="D283" t="s">
        <v>19</v>
      </c>
      <c r="E283" t="s">
        <v>20</v>
      </c>
      <c r="F283" t="s">
        <v>91</v>
      </c>
      <c r="G283">
        <v>7</v>
      </c>
      <c r="H283">
        <v>1784.59</v>
      </c>
      <c r="I283">
        <v>1438.25</v>
      </c>
      <c r="J283" t="s">
        <v>16</v>
      </c>
    </row>
    <row r="284" spans="1:10">
      <c r="A284" t="s">
        <v>459</v>
      </c>
      <c r="B284">
        <v>45717</v>
      </c>
      <c r="C284" t="s">
        <v>54</v>
      </c>
      <c r="D284" t="s">
        <v>63</v>
      </c>
      <c r="E284" t="s">
        <v>20</v>
      </c>
      <c r="F284" t="s">
        <v>196</v>
      </c>
      <c r="G284">
        <v>5</v>
      </c>
      <c r="H284">
        <v>4378.96</v>
      </c>
      <c r="I284">
        <v>2862.9</v>
      </c>
      <c r="J284" t="s">
        <v>16</v>
      </c>
    </row>
    <row r="285" spans="1:10">
      <c r="A285" t="s">
        <v>460</v>
      </c>
      <c r="B285">
        <v>45934</v>
      </c>
      <c r="C285" t="s">
        <v>175</v>
      </c>
      <c r="D285" t="s">
        <v>63</v>
      </c>
      <c r="E285" t="s">
        <v>26</v>
      </c>
      <c r="F285" t="s">
        <v>79</v>
      </c>
      <c r="G285">
        <v>8</v>
      </c>
      <c r="H285">
        <v>1672.72</v>
      </c>
      <c r="I285">
        <v>1250.1099999999999</v>
      </c>
      <c r="J285" t="s">
        <v>28</v>
      </c>
    </row>
    <row r="286" spans="1:10">
      <c r="A286" t="s">
        <v>461</v>
      </c>
      <c r="B286">
        <v>45949</v>
      </c>
      <c r="C286" t="s">
        <v>117</v>
      </c>
      <c r="D286" t="s">
        <v>57</v>
      </c>
      <c r="E286" t="s">
        <v>26</v>
      </c>
      <c r="F286" t="s">
        <v>79</v>
      </c>
      <c r="G286">
        <v>5</v>
      </c>
      <c r="H286" t="s">
        <v>462</v>
      </c>
      <c r="I286">
        <v>1181.9100000000001</v>
      </c>
      <c r="J286" t="s">
        <v>22</v>
      </c>
    </row>
    <row r="287" spans="1:10">
      <c r="A287" t="s">
        <v>463</v>
      </c>
      <c r="B287" t="s">
        <v>464</v>
      </c>
      <c r="C287" t="s">
        <v>30</v>
      </c>
      <c r="D287" t="s">
        <v>31</v>
      </c>
      <c r="E287" t="s">
        <v>13</v>
      </c>
      <c r="F287" t="s">
        <v>191</v>
      </c>
      <c r="G287">
        <v>2</v>
      </c>
      <c r="H287">
        <v>2373.9299999999998</v>
      </c>
      <c r="I287">
        <v>1943.28</v>
      </c>
      <c r="J287" t="s">
        <v>38</v>
      </c>
    </row>
    <row r="288" spans="1:10">
      <c r="A288" t="s">
        <v>465</v>
      </c>
      <c r="B288">
        <v>45946</v>
      </c>
      <c r="C288" t="s">
        <v>56</v>
      </c>
      <c r="D288" t="s">
        <v>31</v>
      </c>
      <c r="E288" t="s">
        <v>60</v>
      </c>
      <c r="F288" t="s">
        <v>37</v>
      </c>
      <c r="H288">
        <v>14336.25</v>
      </c>
      <c r="I288">
        <v>11988.93</v>
      </c>
      <c r="J288" t="s">
        <v>22</v>
      </c>
    </row>
    <row r="289" spans="1:10">
      <c r="A289" t="s">
        <v>466</v>
      </c>
      <c r="B289">
        <v>45909</v>
      </c>
      <c r="C289" t="s">
        <v>59</v>
      </c>
      <c r="D289" t="s">
        <v>31</v>
      </c>
      <c r="E289" t="s">
        <v>32</v>
      </c>
      <c r="F289" t="s">
        <v>467</v>
      </c>
      <c r="G289">
        <v>2</v>
      </c>
      <c r="I289">
        <v>877.18</v>
      </c>
      <c r="J289" t="s">
        <v>22</v>
      </c>
    </row>
    <row r="290" spans="1:10">
      <c r="A290" t="s">
        <v>468</v>
      </c>
      <c r="B290">
        <v>45828</v>
      </c>
      <c r="C290" t="s">
        <v>115</v>
      </c>
      <c r="D290" t="s">
        <v>31</v>
      </c>
      <c r="E290" t="s">
        <v>82</v>
      </c>
      <c r="F290" t="s">
        <v>137</v>
      </c>
      <c r="G290">
        <v>5</v>
      </c>
      <c r="H290">
        <v>3044.06</v>
      </c>
      <c r="I290">
        <v>2309.38</v>
      </c>
      <c r="J290" t="s">
        <v>16</v>
      </c>
    </row>
    <row r="291" spans="1:10">
      <c r="A291" t="s">
        <v>469</v>
      </c>
      <c r="B291">
        <v>45788</v>
      </c>
      <c r="C291" t="s">
        <v>135</v>
      </c>
      <c r="D291" t="s">
        <v>19</v>
      </c>
      <c r="E291" t="s">
        <v>36</v>
      </c>
      <c r="F291" t="s">
        <v>93</v>
      </c>
      <c r="G291">
        <v>1</v>
      </c>
      <c r="H291">
        <v>13653.26</v>
      </c>
      <c r="I291">
        <v>10114.92</v>
      </c>
      <c r="J291" t="s">
        <v>16</v>
      </c>
    </row>
    <row r="292" spans="1:10">
      <c r="A292" t="s">
        <v>470</v>
      </c>
      <c r="B292">
        <v>45729</v>
      </c>
      <c r="C292" t="s">
        <v>48</v>
      </c>
      <c r="D292" t="s">
        <v>57</v>
      </c>
      <c r="E292" t="s">
        <v>32</v>
      </c>
      <c r="F292" t="s">
        <v>163</v>
      </c>
      <c r="G292">
        <v>5</v>
      </c>
      <c r="H292">
        <v>1281.42</v>
      </c>
      <c r="I292">
        <v>1010.33</v>
      </c>
      <c r="J292" t="s">
        <v>28</v>
      </c>
    </row>
    <row r="293" spans="1:10">
      <c r="A293" t="s">
        <v>471</v>
      </c>
      <c r="B293">
        <v>45901</v>
      </c>
      <c r="C293" t="s">
        <v>472</v>
      </c>
      <c r="D293" t="s">
        <v>57</v>
      </c>
      <c r="E293" t="s">
        <v>60</v>
      </c>
      <c r="F293" t="s">
        <v>42</v>
      </c>
      <c r="G293">
        <v>5</v>
      </c>
      <c r="H293">
        <v>16239.24</v>
      </c>
      <c r="I293">
        <v>9040.01</v>
      </c>
      <c r="J293" t="s">
        <v>22</v>
      </c>
    </row>
    <row r="294" spans="1:10">
      <c r="A294" t="s">
        <v>473</v>
      </c>
      <c r="B294">
        <v>45786</v>
      </c>
      <c r="C294" t="s">
        <v>437</v>
      </c>
      <c r="D294" t="s">
        <v>41</v>
      </c>
      <c r="E294" t="s">
        <v>149</v>
      </c>
      <c r="F294" t="s">
        <v>474</v>
      </c>
      <c r="G294">
        <v>8</v>
      </c>
      <c r="I294">
        <v>3921.07</v>
      </c>
      <c r="J294" t="s">
        <v>16</v>
      </c>
    </row>
    <row r="295" spans="1:10">
      <c r="A295" t="s">
        <v>475</v>
      </c>
      <c r="B295">
        <v>45891</v>
      </c>
      <c r="C295" t="s">
        <v>40</v>
      </c>
      <c r="D295" t="s">
        <v>12</v>
      </c>
      <c r="E295" t="s">
        <v>20</v>
      </c>
      <c r="F295" t="s">
        <v>191</v>
      </c>
      <c r="G295">
        <v>1</v>
      </c>
      <c r="H295">
        <v>5955.11</v>
      </c>
      <c r="I295">
        <v>4116.0200000000004</v>
      </c>
      <c r="J295" t="s">
        <v>71</v>
      </c>
    </row>
    <row r="296" spans="1:10">
      <c r="A296" t="s">
        <v>476</v>
      </c>
      <c r="B296">
        <v>45679</v>
      </c>
      <c r="C296" t="s">
        <v>59</v>
      </c>
      <c r="D296" t="s">
        <v>57</v>
      </c>
      <c r="E296" t="s">
        <v>20</v>
      </c>
      <c r="F296" t="s">
        <v>86</v>
      </c>
      <c r="G296">
        <v>7</v>
      </c>
      <c r="H296">
        <v>931.03</v>
      </c>
      <c r="I296">
        <v>721.95</v>
      </c>
      <c r="J296" t="s">
        <v>71</v>
      </c>
    </row>
    <row r="297" spans="1:10">
      <c r="A297" t="s">
        <v>477</v>
      </c>
      <c r="B297">
        <v>45919</v>
      </c>
      <c r="C297" t="s">
        <v>105</v>
      </c>
      <c r="D297" t="s">
        <v>19</v>
      </c>
      <c r="E297" t="s">
        <v>32</v>
      </c>
      <c r="F297" t="s">
        <v>99</v>
      </c>
      <c r="G297">
        <v>2</v>
      </c>
      <c r="H297">
        <v>1085.95</v>
      </c>
      <c r="I297">
        <v>803.9</v>
      </c>
      <c r="J297" t="s">
        <v>22</v>
      </c>
    </row>
    <row r="298" spans="1:10">
      <c r="A298" t="s">
        <v>478</v>
      </c>
      <c r="B298">
        <v>45714</v>
      </c>
      <c r="C298" t="s">
        <v>479</v>
      </c>
      <c r="D298" t="s">
        <v>19</v>
      </c>
      <c r="E298" t="s">
        <v>36</v>
      </c>
      <c r="F298" t="s">
        <v>113</v>
      </c>
      <c r="G298">
        <v>7</v>
      </c>
      <c r="H298">
        <v>2027.91</v>
      </c>
      <c r="I298">
        <v>1543.76</v>
      </c>
      <c r="J298" t="s">
        <v>22</v>
      </c>
    </row>
    <row r="299" spans="1:10">
      <c r="A299" t="s">
        <v>480</v>
      </c>
      <c r="B299">
        <v>45730</v>
      </c>
      <c r="C299" t="s">
        <v>85</v>
      </c>
      <c r="D299" t="s">
        <v>12</v>
      </c>
      <c r="E299" t="s">
        <v>235</v>
      </c>
      <c r="F299" t="s">
        <v>180</v>
      </c>
      <c r="G299">
        <v>4</v>
      </c>
      <c r="H299">
        <v>2178.3200000000002</v>
      </c>
      <c r="I299">
        <v>1718.68</v>
      </c>
      <c r="J299" t="s">
        <v>28</v>
      </c>
    </row>
    <row r="300" spans="1:10">
      <c r="A300" t="s">
        <v>481</v>
      </c>
      <c r="B300">
        <v>46007</v>
      </c>
      <c r="C300" t="s">
        <v>108</v>
      </c>
      <c r="D300" t="s">
        <v>63</v>
      </c>
      <c r="E300" t="s">
        <v>32</v>
      </c>
      <c r="F300" t="s">
        <v>180</v>
      </c>
      <c r="G300">
        <v>3</v>
      </c>
      <c r="H300">
        <v>1703.13</v>
      </c>
      <c r="I300">
        <v>1132.18</v>
      </c>
      <c r="J300" t="s">
        <v>71</v>
      </c>
    </row>
    <row r="301" spans="1:10">
      <c r="A301" t="s">
        <v>482</v>
      </c>
      <c r="B301">
        <v>45836</v>
      </c>
      <c r="C301" t="s">
        <v>121</v>
      </c>
      <c r="D301" t="s">
        <v>12</v>
      </c>
      <c r="E301" t="s">
        <v>32</v>
      </c>
      <c r="F301" t="s">
        <v>101</v>
      </c>
      <c r="G301">
        <v>2</v>
      </c>
      <c r="H301">
        <v>1209.8599999999999</v>
      </c>
      <c r="I301">
        <v>1062.26</v>
      </c>
      <c r="J301" t="s">
        <v>71</v>
      </c>
    </row>
    <row r="302" spans="1:10">
      <c r="A302" t="s">
        <v>483</v>
      </c>
      <c r="B302">
        <v>45964</v>
      </c>
      <c r="C302" t="s">
        <v>484</v>
      </c>
      <c r="D302" t="s">
        <v>19</v>
      </c>
      <c r="E302" t="s">
        <v>32</v>
      </c>
      <c r="F302" t="s">
        <v>180</v>
      </c>
      <c r="H302">
        <v>1776.67</v>
      </c>
      <c r="I302">
        <v>1326.84</v>
      </c>
      <c r="J302" t="s">
        <v>28</v>
      </c>
    </row>
    <row r="303" spans="1:10">
      <c r="A303" t="s">
        <v>485</v>
      </c>
      <c r="B303">
        <v>45966</v>
      </c>
      <c r="C303" t="s">
        <v>108</v>
      </c>
      <c r="D303" t="s">
        <v>31</v>
      </c>
      <c r="E303" t="s">
        <v>36</v>
      </c>
      <c r="F303" t="s">
        <v>46</v>
      </c>
      <c r="G303">
        <v>6</v>
      </c>
      <c r="H303">
        <v>16649.75</v>
      </c>
      <c r="I303">
        <v>14473.39</v>
      </c>
      <c r="J303" t="s">
        <v>71</v>
      </c>
    </row>
    <row r="304" spans="1:10">
      <c r="A304" t="s">
        <v>486</v>
      </c>
      <c r="B304">
        <v>45989</v>
      </c>
      <c r="C304" t="s">
        <v>48</v>
      </c>
      <c r="D304" t="s">
        <v>19</v>
      </c>
      <c r="E304" t="s">
        <v>26</v>
      </c>
      <c r="F304" t="s">
        <v>103</v>
      </c>
      <c r="G304">
        <v>2</v>
      </c>
      <c r="H304">
        <v>301.77</v>
      </c>
      <c r="I304">
        <v>232.6</v>
      </c>
      <c r="J304" t="s">
        <v>71</v>
      </c>
    </row>
    <row r="305" spans="1:10">
      <c r="A305" t="s">
        <v>487</v>
      </c>
      <c r="B305">
        <v>45895</v>
      </c>
      <c r="C305" t="s">
        <v>488</v>
      </c>
      <c r="D305" t="s">
        <v>12</v>
      </c>
      <c r="E305" t="s">
        <v>82</v>
      </c>
      <c r="F305" t="s">
        <v>205</v>
      </c>
      <c r="G305">
        <v>8</v>
      </c>
      <c r="H305">
        <v>996.91</v>
      </c>
      <c r="I305">
        <v>713.01</v>
      </c>
      <c r="J305" t="s">
        <v>71</v>
      </c>
    </row>
    <row r="306" spans="1:10">
      <c r="A306" t="s">
        <v>489</v>
      </c>
      <c r="B306">
        <v>45730</v>
      </c>
      <c r="C306" t="s">
        <v>56</v>
      </c>
      <c r="D306" t="s">
        <v>41</v>
      </c>
      <c r="E306" t="s">
        <v>32</v>
      </c>
      <c r="F306" t="s">
        <v>180</v>
      </c>
      <c r="G306">
        <v>1</v>
      </c>
      <c r="H306">
        <v>411.04</v>
      </c>
      <c r="I306">
        <v>298.02999999999997</v>
      </c>
      <c r="J306" t="s">
        <v>28</v>
      </c>
    </row>
    <row r="307" spans="1:10">
      <c r="A307" t="s">
        <v>490</v>
      </c>
      <c r="B307">
        <v>45946</v>
      </c>
      <c r="C307" t="s">
        <v>24</v>
      </c>
      <c r="D307" t="s">
        <v>12</v>
      </c>
      <c r="E307" t="s">
        <v>26</v>
      </c>
      <c r="F307" t="s">
        <v>103</v>
      </c>
      <c r="G307">
        <v>4</v>
      </c>
      <c r="H307">
        <v>2091.7600000000002</v>
      </c>
      <c r="I307">
        <v>1736.82</v>
      </c>
      <c r="J307" t="s">
        <v>38</v>
      </c>
    </row>
    <row r="308" spans="1:10">
      <c r="A308" t="s">
        <v>491</v>
      </c>
      <c r="B308">
        <v>45941</v>
      </c>
      <c r="C308" t="s">
        <v>56</v>
      </c>
      <c r="D308" t="s">
        <v>41</v>
      </c>
      <c r="E308" t="s">
        <v>32</v>
      </c>
      <c r="F308" t="s">
        <v>467</v>
      </c>
      <c r="G308">
        <v>8</v>
      </c>
      <c r="H308">
        <v>1294.5999999999999</v>
      </c>
      <c r="I308">
        <v>1077.02</v>
      </c>
    </row>
    <row r="309" spans="1:10">
      <c r="A309" t="s">
        <v>492</v>
      </c>
      <c r="B309">
        <v>45766</v>
      </c>
      <c r="C309" t="s">
        <v>11</v>
      </c>
      <c r="D309" t="s">
        <v>125</v>
      </c>
      <c r="E309" t="s">
        <v>149</v>
      </c>
      <c r="F309" t="s">
        <v>83</v>
      </c>
      <c r="G309">
        <v>4</v>
      </c>
      <c r="H309">
        <v>5105.46</v>
      </c>
      <c r="I309">
        <v>3480.23</v>
      </c>
      <c r="J309" t="s">
        <v>22</v>
      </c>
    </row>
    <row r="310" spans="1:10">
      <c r="A310" t="s">
        <v>493</v>
      </c>
      <c r="B310">
        <v>45742</v>
      </c>
      <c r="C310" t="s">
        <v>74</v>
      </c>
      <c r="D310" t="s">
        <v>63</v>
      </c>
      <c r="E310" t="s">
        <v>26</v>
      </c>
      <c r="F310" t="s">
        <v>103</v>
      </c>
      <c r="G310">
        <v>7</v>
      </c>
      <c r="H310">
        <v>312.16000000000003</v>
      </c>
      <c r="I310">
        <v>194.8</v>
      </c>
      <c r="J310" t="s">
        <v>71</v>
      </c>
    </row>
    <row r="311" spans="1:10">
      <c r="A311" t="s">
        <v>494</v>
      </c>
      <c r="B311">
        <v>45719</v>
      </c>
      <c r="C311" t="s">
        <v>119</v>
      </c>
      <c r="D311" t="s">
        <v>12</v>
      </c>
      <c r="E311" t="s">
        <v>82</v>
      </c>
      <c r="F311" t="s">
        <v>137</v>
      </c>
      <c r="G311">
        <v>1</v>
      </c>
      <c r="H311">
        <v>1583.67</v>
      </c>
      <c r="I311">
        <v>1291.3699999999999</v>
      </c>
      <c r="J311" t="s">
        <v>16</v>
      </c>
    </row>
    <row r="312" spans="1:10">
      <c r="A312" t="s">
        <v>495</v>
      </c>
      <c r="B312">
        <v>45814</v>
      </c>
      <c r="C312" t="s">
        <v>311</v>
      </c>
      <c r="D312" t="s">
        <v>57</v>
      </c>
      <c r="E312" t="s">
        <v>82</v>
      </c>
      <c r="F312" t="s">
        <v>109</v>
      </c>
      <c r="G312">
        <v>1</v>
      </c>
      <c r="H312">
        <v>3698.68</v>
      </c>
      <c r="I312">
        <v>2838.44</v>
      </c>
      <c r="J312" t="s">
        <v>22</v>
      </c>
    </row>
    <row r="313" spans="1:10">
      <c r="A313" t="s">
        <v>496</v>
      </c>
      <c r="B313">
        <v>45972</v>
      </c>
      <c r="C313" t="s">
        <v>11</v>
      </c>
      <c r="D313" t="s">
        <v>63</v>
      </c>
      <c r="E313" t="s">
        <v>20</v>
      </c>
      <c r="F313" t="s">
        <v>14</v>
      </c>
      <c r="G313">
        <v>4</v>
      </c>
      <c r="H313">
        <v>4060.03</v>
      </c>
      <c r="I313">
        <v>2901.44</v>
      </c>
    </row>
    <row r="314" spans="1:10">
      <c r="A314" t="s">
        <v>497</v>
      </c>
      <c r="B314">
        <v>45685</v>
      </c>
      <c r="C314" t="s">
        <v>59</v>
      </c>
      <c r="D314" t="s">
        <v>19</v>
      </c>
      <c r="E314" t="s">
        <v>32</v>
      </c>
      <c r="F314" t="s">
        <v>99</v>
      </c>
      <c r="G314">
        <v>6</v>
      </c>
      <c r="H314">
        <v>2389.2399999999998</v>
      </c>
      <c r="I314">
        <v>1696.17</v>
      </c>
      <c r="J314" t="s">
        <v>71</v>
      </c>
    </row>
    <row r="315" spans="1:10">
      <c r="A315" t="s">
        <v>498</v>
      </c>
      <c r="B315">
        <v>45880</v>
      </c>
      <c r="C315" t="s">
        <v>59</v>
      </c>
      <c r="D315" t="s">
        <v>499</v>
      </c>
      <c r="E315" t="s">
        <v>122</v>
      </c>
      <c r="F315" t="s">
        <v>37</v>
      </c>
      <c r="G315">
        <v>1</v>
      </c>
      <c r="H315">
        <v>3640.02</v>
      </c>
      <c r="I315">
        <v>3117.89</v>
      </c>
      <c r="J315" t="s">
        <v>28</v>
      </c>
    </row>
    <row r="316" spans="1:10">
      <c r="A316" t="s">
        <v>500</v>
      </c>
      <c r="B316">
        <v>45667</v>
      </c>
      <c r="C316" t="s">
        <v>129</v>
      </c>
      <c r="D316" t="s">
        <v>63</v>
      </c>
      <c r="E316" t="s">
        <v>82</v>
      </c>
      <c r="F316" t="s">
        <v>109</v>
      </c>
      <c r="G316">
        <v>3</v>
      </c>
      <c r="H316">
        <v>4207.17</v>
      </c>
      <c r="I316">
        <v>2609.6</v>
      </c>
      <c r="J316" t="s">
        <v>28</v>
      </c>
    </row>
    <row r="317" spans="1:10">
      <c r="A317" t="s">
        <v>501</v>
      </c>
      <c r="B317">
        <v>45685</v>
      </c>
      <c r="C317" t="s">
        <v>85</v>
      </c>
      <c r="D317" t="s">
        <v>41</v>
      </c>
      <c r="E317" t="s">
        <v>82</v>
      </c>
      <c r="F317" t="s">
        <v>137</v>
      </c>
      <c r="G317">
        <v>8</v>
      </c>
      <c r="H317">
        <v>4721.3999999999996</v>
      </c>
      <c r="I317">
        <v>2609.7600000000002</v>
      </c>
      <c r="J317" t="s">
        <v>28</v>
      </c>
    </row>
    <row r="318" spans="1:10">
      <c r="A318" t="s">
        <v>502</v>
      </c>
      <c r="B318">
        <v>45848</v>
      </c>
      <c r="C318" t="s">
        <v>74</v>
      </c>
      <c r="D318" t="s">
        <v>63</v>
      </c>
      <c r="E318" t="s">
        <v>26</v>
      </c>
      <c r="F318" t="s">
        <v>106</v>
      </c>
      <c r="G318">
        <v>8</v>
      </c>
      <c r="H318">
        <v>2515.04</v>
      </c>
      <c r="I318">
        <v>1409.61</v>
      </c>
      <c r="J318" t="s">
        <v>16</v>
      </c>
    </row>
    <row r="319" spans="1:10">
      <c r="A319" t="s">
        <v>503</v>
      </c>
      <c r="B319">
        <v>45808</v>
      </c>
      <c r="C319" t="s">
        <v>220</v>
      </c>
      <c r="D319" t="s">
        <v>504</v>
      </c>
      <c r="E319" t="s">
        <v>26</v>
      </c>
      <c r="F319" t="s">
        <v>27</v>
      </c>
      <c r="G319">
        <v>7</v>
      </c>
      <c r="H319">
        <v>764.01</v>
      </c>
      <c r="I319">
        <v>421.02</v>
      </c>
      <c r="J319" t="s">
        <v>22</v>
      </c>
    </row>
    <row r="320" spans="1:10">
      <c r="A320" t="s">
        <v>505</v>
      </c>
      <c r="B320">
        <v>45990</v>
      </c>
      <c r="C320" t="s">
        <v>506</v>
      </c>
      <c r="D320" t="s">
        <v>81</v>
      </c>
      <c r="E320" t="s">
        <v>36</v>
      </c>
      <c r="F320" t="s">
        <v>113</v>
      </c>
      <c r="G320">
        <v>3</v>
      </c>
      <c r="H320">
        <v>8425.7000000000007</v>
      </c>
      <c r="I320">
        <v>6642.84</v>
      </c>
      <c r="J320" t="s">
        <v>71</v>
      </c>
    </row>
    <row r="321" spans="1:10">
      <c r="A321" t="s">
        <v>507</v>
      </c>
      <c r="B321">
        <v>45750</v>
      </c>
      <c r="C321" t="s">
        <v>124</v>
      </c>
      <c r="D321" t="s">
        <v>63</v>
      </c>
      <c r="E321" t="s">
        <v>26</v>
      </c>
      <c r="F321" t="s">
        <v>106</v>
      </c>
      <c r="G321">
        <v>3</v>
      </c>
      <c r="H321">
        <v>3432.64</v>
      </c>
      <c r="I321">
        <v>2665.05</v>
      </c>
      <c r="J321" t="s">
        <v>16</v>
      </c>
    </row>
    <row r="322" spans="1:10">
      <c r="A322" t="s">
        <v>508</v>
      </c>
      <c r="B322">
        <v>45912</v>
      </c>
      <c r="C322" t="s">
        <v>115</v>
      </c>
      <c r="D322" t="s">
        <v>19</v>
      </c>
      <c r="E322" t="s">
        <v>36</v>
      </c>
      <c r="F322" t="s">
        <v>37</v>
      </c>
      <c r="G322">
        <v>4</v>
      </c>
      <c r="H322">
        <v>11313.93</v>
      </c>
      <c r="I322">
        <v>9127.25</v>
      </c>
      <c r="J322" t="s">
        <v>38</v>
      </c>
    </row>
    <row r="323" spans="1:10">
      <c r="A323" t="s">
        <v>509</v>
      </c>
      <c r="B323">
        <v>45674</v>
      </c>
      <c r="C323" t="s">
        <v>11</v>
      </c>
      <c r="D323" t="s">
        <v>57</v>
      </c>
      <c r="E323" t="s">
        <v>26</v>
      </c>
      <c r="F323" t="s">
        <v>103</v>
      </c>
      <c r="G323">
        <v>1</v>
      </c>
      <c r="H323">
        <v>1161.96</v>
      </c>
      <c r="I323">
        <v>681.68</v>
      </c>
      <c r="J323" t="s">
        <v>28</v>
      </c>
    </row>
    <row r="324" spans="1:10">
      <c r="A324" t="s">
        <v>510</v>
      </c>
      <c r="B324">
        <v>45868</v>
      </c>
      <c r="C324" t="s">
        <v>135</v>
      </c>
      <c r="D324" t="s">
        <v>511</v>
      </c>
      <c r="E324" t="s">
        <v>82</v>
      </c>
      <c r="F324" t="s">
        <v>137</v>
      </c>
      <c r="G324">
        <v>2</v>
      </c>
      <c r="H324">
        <v>1121.21</v>
      </c>
      <c r="I324">
        <v>828.53</v>
      </c>
      <c r="J324" t="s">
        <v>22</v>
      </c>
    </row>
    <row r="325" spans="1:10">
      <c r="A325" t="s">
        <v>512</v>
      </c>
      <c r="B325">
        <v>45806</v>
      </c>
      <c r="C325" t="s">
        <v>70</v>
      </c>
      <c r="D325" t="s">
        <v>41</v>
      </c>
      <c r="E325" t="s">
        <v>82</v>
      </c>
      <c r="F325" t="s">
        <v>150</v>
      </c>
      <c r="G325">
        <v>2</v>
      </c>
      <c r="H325">
        <v>2054.54</v>
      </c>
      <c r="I325">
        <v>1263.8499999999999</v>
      </c>
      <c r="J325" t="s">
        <v>38</v>
      </c>
    </row>
    <row r="326" spans="1:10">
      <c r="A326" t="s">
        <v>513</v>
      </c>
      <c r="B326">
        <v>46000</v>
      </c>
      <c r="C326" t="s">
        <v>67</v>
      </c>
      <c r="D326" t="s">
        <v>31</v>
      </c>
      <c r="E326" t="s">
        <v>20</v>
      </c>
      <c r="F326" t="s">
        <v>21</v>
      </c>
      <c r="G326">
        <v>8</v>
      </c>
      <c r="H326">
        <v>1678.3</v>
      </c>
      <c r="I326">
        <v>996.34</v>
      </c>
      <c r="J326" t="s">
        <v>38</v>
      </c>
    </row>
    <row r="327" spans="1:10">
      <c r="A327" t="s">
        <v>514</v>
      </c>
      <c r="B327">
        <v>45928</v>
      </c>
      <c r="C327" t="s">
        <v>124</v>
      </c>
      <c r="D327" t="s">
        <v>63</v>
      </c>
      <c r="E327" t="s">
        <v>32</v>
      </c>
      <c r="F327" t="s">
        <v>180</v>
      </c>
      <c r="G327">
        <v>5</v>
      </c>
      <c r="H327">
        <v>849.44</v>
      </c>
      <c r="I327">
        <v>725.94</v>
      </c>
      <c r="J327" t="s">
        <v>38</v>
      </c>
    </row>
    <row r="328" spans="1:10">
      <c r="A328" t="s">
        <v>515</v>
      </c>
      <c r="B328">
        <v>45928</v>
      </c>
      <c r="C328" t="s">
        <v>70</v>
      </c>
      <c r="D328" t="s">
        <v>19</v>
      </c>
      <c r="E328" t="s">
        <v>235</v>
      </c>
      <c r="F328" t="s">
        <v>99</v>
      </c>
      <c r="G328">
        <v>7</v>
      </c>
      <c r="H328">
        <v>2422.42</v>
      </c>
      <c r="I328">
        <v>1985.35</v>
      </c>
      <c r="J328" t="s">
        <v>38</v>
      </c>
    </row>
    <row r="329" spans="1:10">
      <c r="A329" t="s">
        <v>516</v>
      </c>
      <c r="B329">
        <v>46008</v>
      </c>
      <c r="C329" t="s">
        <v>56</v>
      </c>
      <c r="D329" t="s">
        <v>57</v>
      </c>
      <c r="E329" t="s">
        <v>82</v>
      </c>
      <c r="F329" t="s">
        <v>155</v>
      </c>
      <c r="G329">
        <v>8</v>
      </c>
      <c r="H329">
        <v>2217.91</v>
      </c>
      <c r="I329">
        <v>1225.3</v>
      </c>
      <c r="J329" t="s">
        <v>71</v>
      </c>
    </row>
    <row r="330" spans="1:10">
      <c r="A330" t="s">
        <v>517</v>
      </c>
      <c r="B330">
        <v>45881</v>
      </c>
      <c r="C330" t="s">
        <v>518</v>
      </c>
      <c r="D330" t="s">
        <v>57</v>
      </c>
      <c r="E330" t="s">
        <v>26</v>
      </c>
      <c r="F330" t="s">
        <v>79</v>
      </c>
      <c r="G330">
        <v>6</v>
      </c>
      <c r="H330">
        <v>1261.3599999999999</v>
      </c>
      <c r="I330">
        <v>1062.22</v>
      </c>
      <c r="J330" t="s">
        <v>71</v>
      </c>
    </row>
    <row r="331" spans="1:10">
      <c r="A331" t="s">
        <v>519</v>
      </c>
      <c r="B331">
        <v>45830</v>
      </c>
      <c r="C331" t="s">
        <v>129</v>
      </c>
      <c r="D331" t="s">
        <v>19</v>
      </c>
      <c r="E331" t="s">
        <v>13</v>
      </c>
      <c r="F331" t="s">
        <v>86</v>
      </c>
      <c r="G331">
        <v>7</v>
      </c>
      <c r="H331">
        <v>3135.57</v>
      </c>
      <c r="I331">
        <v>2252.14</v>
      </c>
      <c r="J331" t="s">
        <v>16</v>
      </c>
    </row>
    <row r="332" spans="1:10">
      <c r="A332" t="s">
        <v>520</v>
      </c>
      <c r="B332">
        <v>45785</v>
      </c>
      <c r="C332" t="s">
        <v>30</v>
      </c>
      <c r="D332" t="s">
        <v>63</v>
      </c>
      <c r="E332" t="s">
        <v>20</v>
      </c>
      <c r="F332" t="s">
        <v>196</v>
      </c>
      <c r="G332">
        <v>5</v>
      </c>
      <c r="H332">
        <v>2069.44</v>
      </c>
      <c r="I332">
        <v>1444.32</v>
      </c>
      <c r="J332" t="s">
        <v>71</v>
      </c>
    </row>
    <row r="333" spans="1:10">
      <c r="A333" t="s">
        <v>521</v>
      </c>
      <c r="B333">
        <v>46001</v>
      </c>
      <c r="C333" t="s">
        <v>59</v>
      </c>
      <c r="D333" t="s">
        <v>312</v>
      </c>
      <c r="E333" t="s">
        <v>26</v>
      </c>
      <c r="F333" t="s">
        <v>103</v>
      </c>
      <c r="G333">
        <v>5</v>
      </c>
      <c r="H333">
        <v>2530.92</v>
      </c>
      <c r="I333">
        <v>1962.91</v>
      </c>
      <c r="J333" t="s">
        <v>16</v>
      </c>
    </row>
    <row r="334" spans="1:10">
      <c r="A334" t="s">
        <v>522</v>
      </c>
      <c r="B334" t="s">
        <v>523</v>
      </c>
      <c r="C334" t="s">
        <v>24</v>
      </c>
      <c r="D334" t="s">
        <v>19</v>
      </c>
      <c r="E334" t="s">
        <v>20</v>
      </c>
      <c r="F334" t="s">
        <v>91</v>
      </c>
      <c r="G334">
        <v>2</v>
      </c>
      <c r="H334" t="s">
        <v>524</v>
      </c>
      <c r="I334">
        <v>1440.19</v>
      </c>
      <c r="J334" t="s">
        <v>71</v>
      </c>
    </row>
    <row r="335" spans="1:10">
      <c r="A335" t="s">
        <v>525</v>
      </c>
      <c r="B335">
        <v>45823</v>
      </c>
      <c r="C335" t="s">
        <v>526</v>
      </c>
      <c r="D335" t="s">
        <v>19</v>
      </c>
      <c r="E335" t="s">
        <v>82</v>
      </c>
      <c r="F335" t="s">
        <v>150</v>
      </c>
      <c r="G335">
        <v>3</v>
      </c>
      <c r="H335">
        <v>590.57000000000005</v>
      </c>
      <c r="I335">
        <v>414.51</v>
      </c>
      <c r="J335" t="s">
        <v>28</v>
      </c>
    </row>
    <row r="336" spans="1:10">
      <c r="A336" t="s">
        <v>527</v>
      </c>
      <c r="B336" t="s">
        <v>528</v>
      </c>
      <c r="C336" t="s">
        <v>529</v>
      </c>
      <c r="D336" t="s">
        <v>173</v>
      </c>
      <c r="E336" t="s">
        <v>36</v>
      </c>
      <c r="F336" t="s">
        <v>93</v>
      </c>
      <c r="G336">
        <v>5</v>
      </c>
      <c r="H336">
        <v>12716.97</v>
      </c>
      <c r="I336">
        <v>7577.72</v>
      </c>
      <c r="J336" t="s">
        <v>28</v>
      </c>
    </row>
    <row r="337" spans="1:10">
      <c r="A337" t="s">
        <v>530</v>
      </c>
      <c r="B337">
        <v>46007</v>
      </c>
      <c r="C337" t="s">
        <v>246</v>
      </c>
      <c r="D337" t="s">
        <v>57</v>
      </c>
      <c r="E337" t="s">
        <v>32</v>
      </c>
      <c r="F337" t="s">
        <v>180</v>
      </c>
      <c r="G337">
        <v>6</v>
      </c>
      <c r="H337" t="s">
        <v>531</v>
      </c>
      <c r="I337">
        <v>1361.31</v>
      </c>
      <c r="J337" t="s">
        <v>38</v>
      </c>
    </row>
    <row r="338" spans="1:10">
      <c r="A338" t="s">
        <v>532</v>
      </c>
      <c r="B338">
        <v>45899</v>
      </c>
      <c r="C338" t="s">
        <v>175</v>
      </c>
      <c r="D338" t="s">
        <v>19</v>
      </c>
      <c r="E338" t="s">
        <v>32</v>
      </c>
      <c r="F338" t="s">
        <v>33</v>
      </c>
      <c r="G338">
        <v>4</v>
      </c>
      <c r="H338">
        <v>1250.6099999999999</v>
      </c>
      <c r="I338">
        <v>747.53</v>
      </c>
      <c r="J338" t="s">
        <v>71</v>
      </c>
    </row>
    <row r="339" spans="1:10">
      <c r="A339" t="s">
        <v>533</v>
      </c>
      <c r="B339">
        <v>45722</v>
      </c>
      <c r="C339" t="s">
        <v>259</v>
      </c>
      <c r="E339" t="s">
        <v>82</v>
      </c>
      <c r="F339" t="s">
        <v>150</v>
      </c>
      <c r="G339">
        <v>6</v>
      </c>
      <c r="H339">
        <v>4639.43</v>
      </c>
      <c r="I339">
        <v>3240.6</v>
      </c>
      <c r="J339" t="s">
        <v>38</v>
      </c>
    </row>
    <row r="340" spans="1:10">
      <c r="A340" t="s">
        <v>534</v>
      </c>
      <c r="B340">
        <v>45976</v>
      </c>
      <c r="C340" t="s">
        <v>56</v>
      </c>
      <c r="D340" t="s">
        <v>19</v>
      </c>
      <c r="E340" t="s">
        <v>26</v>
      </c>
      <c r="F340" t="s">
        <v>535</v>
      </c>
      <c r="G340">
        <v>7</v>
      </c>
      <c r="H340">
        <v>-711.65</v>
      </c>
      <c r="I340">
        <v>311.79000000000002</v>
      </c>
      <c r="J340" t="s">
        <v>28</v>
      </c>
    </row>
    <row r="341" spans="1:10">
      <c r="A341" t="s">
        <v>536</v>
      </c>
      <c r="B341">
        <v>45735</v>
      </c>
      <c r="C341" t="s">
        <v>537</v>
      </c>
      <c r="D341" t="s">
        <v>65</v>
      </c>
      <c r="E341" t="s">
        <v>32</v>
      </c>
      <c r="F341" t="s">
        <v>101</v>
      </c>
      <c r="G341">
        <v>6</v>
      </c>
      <c r="H341">
        <v>2280.62</v>
      </c>
      <c r="I341">
        <v>1686.82</v>
      </c>
      <c r="J341" t="s">
        <v>38</v>
      </c>
    </row>
    <row r="342" spans="1:10">
      <c r="A342" t="s">
        <v>538</v>
      </c>
      <c r="B342">
        <v>45676</v>
      </c>
      <c r="C342" t="s">
        <v>119</v>
      </c>
      <c r="D342" t="s">
        <v>125</v>
      </c>
      <c r="E342" t="s">
        <v>32</v>
      </c>
      <c r="F342" t="s">
        <v>101</v>
      </c>
      <c r="G342">
        <v>4</v>
      </c>
      <c r="H342">
        <v>858.06</v>
      </c>
      <c r="I342">
        <v>716.06</v>
      </c>
      <c r="J342" t="s">
        <v>16</v>
      </c>
    </row>
    <row r="343" spans="1:10">
      <c r="A343" t="s">
        <v>539</v>
      </c>
      <c r="B343">
        <v>45995</v>
      </c>
      <c r="C343" t="s">
        <v>321</v>
      </c>
      <c r="D343" t="s">
        <v>540</v>
      </c>
      <c r="E343" t="s">
        <v>32</v>
      </c>
      <c r="F343" t="s">
        <v>541</v>
      </c>
      <c r="G343">
        <v>3</v>
      </c>
      <c r="H343">
        <v>1806.6</v>
      </c>
      <c r="I343">
        <v>1050.5899999999999</v>
      </c>
      <c r="J343" t="s">
        <v>16</v>
      </c>
    </row>
    <row r="344" spans="1:10">
      <c r="A344" t="s">
        <v>542</v>
      </c>
      <c r="B344">
        <v>45867</v>
      </c>
      <c r="C344" t="s">
        <v>48</v>
      </c>
      <c r="D344" t="s">
        <v>31</v>
      </c>
      <c r="E344" t="s">
        <v>26</v>
      </c>
      <c r="F344" t="s">
        <v>350</v>
      </c>
      <c r="G344">
        <v>6</v>
      </c>
      <c r="H344">
        <v>609.01</v>
      </c>
      <c r="I344">
        <v>440.1</v>
      </c>
      <c r="J344" t="s">
        <v>16</v>
      </c>
    </row>
    <row r="345" spans="1:10">
      <c r="A345" t="s">
        <v>543</v>
      </c>
      <c r="B345" t="s">
        <v>544</v>
      </c>
      <c r="C345" t="s">
        <v>108</v>
      </c>
      <c r="D345" t="s">
        <v>12</v>
      </c>
      <c r="E345" t="s">
        <v>32</v>
      </c>
      <c r="F345" t="s">
        <v>99</v>
      </c>
      <c r="G345">
        <v>1</v>
      </c>
      <c r="H345">
        <v>1699.93</v>
      </c>
      <c r="I345">
        <v>1238.22</v>
      </c>
      <c r="J345" t="s">
        <v>16</v>
      </c>
    </row>
    <row r="346" spans="1:10">
      <c r="A346" t="s">
        <v>545</v>
      </c>
      <c r="B346">
        <v>45936</v>
      </c>
      <c r="C346" t="s">
        <v>30</v>
      </c>
      <c r="D346" t="s">
        <v>57</v>
      </c>
      <c r="E346" t="s">
        <v>26</v>
      </c>
      <c r="F346" t="s">
        <v>79</v>
      </c>
      <c r="G346">
        <v>4</v>
      </c>
      <c r="H346">
        <v>2730.14</v>
      </c>
      <c r="I346">
        <v>1950.49</v>
      </c>
      <c r="J346" t="s">
        <v>38</v>
      </c>
    </row>
    <row r="347" spans="1:10">
      <c r="A347" t="s">
        <v>546</v>
      </c>
      <c r="B347">
        <v>45929</v>
      </c>
      <c r="C347" t="s">
        <v>40</v>
      </c>
      <c r="D347" t="s">
        <v>19</v>
      </c>
      <c r="E347" t="s">
        <v>36</v>
      </c>
      <c r="F347" t="s">
        <v>93</v>
      </c>
      <c r="G347">
        <v>6</v>
      </c>
      <c r="H347">
        <v>14013</v>
      </c>
      <c r="I347">
        <v>12329.62</v>
      </c>
      <c r="J347" t="s">
        <v>71</v>
      </c>
    </row>
    <row r="348" spans="1:10">
      <c r="A348" t="s">
        <v>547</v>
      </c>
      <c r="B348">
        <v>45811</v>
      </c>
      <c r="C348" t="s">
        <v>54</v>
      </c>
      <c r="D348" t="s">
        <v>19</v>
      </c>
      <c r="E348" t="s">
        <v>36</v>
      </c>
      <c r="F348" t="s">
        <v>42</v>
      </c>
      <c r="G348">
        <v>5</v>
      </c>
      <c r="H348">
        <v>12303.87</v>
      </c>
      <c r="I348">
        <v>8091.52</v>
      </c>
      <c r="J348" t="s">
        <v>22</v>
      </c>
    </row>
    <row r="349" spans="1:10">
      <c r="A349" t="s">
        <v>548</v>
      </c>
      <c r="B349">
        <v>45907</v>
      </c>
      <c r="C349" t="s">
        <v>56</v>
      </c>
      <c r="D349" t="s">
        <v>41</v>
      </c>
      <c r="E349" t="s">
        <v>82</v>
      </c>
      <c r="F349" t="s">
        <v>155</v>
      </c>
      <c r="G349">
        <v>4</v>
      </c>
      <c r="H349" t="s">
        <v>549</v>
      </c>
      <c r="I349">
        <v>3704.52</v>
      </c>
      <c r="J349" t="s">
        <v>28</v>
      </c>
    </row>
    <row r="350" spans="1:10">
      <c r="A350" t="s">
        <v>550</v>
      </c>
      <c r="B350">
        <v>45985</v>
      </c>
      <c r="C350" t="s">
        <v>85</v>
      </c>
      <c r="D350" t="s">
        <v>41</v>
      </c>
      <c r="E350" t="s">
        <v>20</v>
      </c>
      <c r="F350" t="s">
        <v>14</v>
      </c>
      <c r="G350">
        <v>4</v>
      </c>
      <c r="H350">
        <v>4295.09</v>
      </c>
      <c r="I350">
        <v>2722.91</v>
      </c>
      <c r="J350" t="s">
        <v>16</v>
      </c>
    </row>
    <row r="351" spans="1:10">
      <c r="A351" t="s">
        <v>551</v>
      </c>
      <c r="B351">
        <v>46018</v>
      </c>
      <c r="C351" t="s">
        <v>59</v>
      </c>
      <c r="D351" t="s">
        <v>57</v>
      </c>
      <c r="E351" t="s">
        <v>26</v>
      </c>
      <c r="F351" t="s">
        <v>103</v>
      </c>
      <c r="G351">
        <v>3</v>
      </c>
      <c r="H351">
        <v>893.57</v>
      </c>
      <c r="I351">
        <v>545.13</v>
      </c>
      <c r="J351" t="s">
        <v>16</v>
      </c>
    </row>
    <row r="352" spans="1:10">
      <c r="A352" t="s">
        <v>552</v>
      </c>
      <c r="B352">
        <v>45968</v>
      </c>
      <c r="C352" t="s">
        <v>220</v>
      </c>
      <c r="D352" t="s">
        <v>75</v>
      </c>
      <c r="E352" t="s">
        <v>20</v>
      </c>
      <c r="F352" t="s">
        <v>196</v>
      </c>
      <c r="G352">
        <v>2</v>
      </c>
      <c r="H352">
        <v>4777.8599999999997</v>
      </c>
      <c r="I352">
        <v>2886.03</v>
      </c>
      <c r="J352" t="s">
        <v>22</v>
      </c>
    </row>
    <row r="353" spans="1:10">
      <c r="A353" t="s">
        <v>553</v>
      </c>
      <c r="B353">
        <v>45846</v>
      </c>
      <c r="C353" t="s">
        <v>231</v>
      </c>
      <c r="D353" t="s">
        <v>57</v>
      </c>
      <c r="E353" t="s">
        <v>26</v>
      </c>
      <c r="F353" t="s">
        <v>106</v>
      </c>
      <c r="G353">
        <v>5</v>
      </c>
      <c r="H353" t="s">
        <v>554</v>
      </c>
      <c r="I353">
        <v>276.77999999999997</v>
      </c>
      <c r="J353" t="s">
        <v>38</v>
      </c>
    </row>
    <row r="354" spans="1:10">
      <c r="A354" t="s">
        <v>555</v>
      </c>
      <c r="B354">
        <v>45929</v>
      </c>
      <c r="C354" t="s">
        <v>105</v>
      </c>
      <c r="D354" t="s">
        <v>448</v>
      </c>
      <c r="E354" t="s">
        <v>36</v>
      </c>
      <c r="F354" t="s">
        <v>93</v>
      </c>
      <c r="G354">
        <v>7</v>
      </c>
      <c r="H354">
        <v>9095.51</v>
      </c>
      <c r="I354">
        <v>7397.79</v>
      </c>
      <c r="J354" t="s">
        <v>16</v>
      </c>
    </row>
    <row r="355" spans="1:10">
      <c r="A355" t="s">
        <v>556</v>
      </c>
      <c r="B355">
        <v>45677</v>
      </c>
      <c r="C355" t="s">
        <v>557</v>
      </c>
      <c r="D355" t="s">
        <v>57</v>
      </c>
      <c r="E355" t="s">
        <v>36</v>
      </c>
      <c r="F355" t="s">
        <v>93</v>
      </c>
      <c r="G355">
        <v>8</v>
      </c>
      <c r="H355">
        <v>4703.62</v>
      </c>
      <c r="I355">
        <v>3854.49</v>
      </c>
      <c r="J355" t="s">
        <v>28</v>
      </c>
    </row>
    <row r="356" spans="1:10">
      <c r="A356" t="s">
        <v>558</v>
      </c>
      <c r="B356">
        <v>45963</v>
      </c>
      <c r="C356" t="s">
        <v>70</v>
      </c>
      <c r="D356" t="s">
        <v>12</v>
      </c>
      <c r="E356" t="s">
        <v>36</v>
      </c>
      <c r="F356" t="s">
        <v>93</v>
      </c>
      <c r="G356">
        <v>1</v>
      </c>
      <c r="H356">
        <v>11706.43</v>
      </c>
      <c r="I356">
        <v>8660.01</v>
      </c>
      <c r="J356" t="s">
        <v>71</v>
      </c>
    </row>
    <row r="357" spans="1:10">
      <c r="A357" t="s">
        <v>559</v>
      </c>
      <c r="B357">
        <v>45692</v>
      </c>
      <c r="C357" t="s">
        <v>35</v>
      </c>
      <c r="D357" t="s">
        <v>31</v>
      </c>
      <c r="E357" t="s">
        <v>20</v>
      </c>
      <c r="F357" t="s">
        <v>21</v>
      </c>
      <c r="G357">
        <v>2</v>
      </c>
      <c r="H357">
        <v>1512.74</v>
      </c>
      <c r="I357">
        <v>1251.0999999999999</v>
      </c>
      <c r="J357" t="s">
        <v>71</v>
      </c>
    </row>
    <row r="358" spans="1:10">
      <c r="A358" t="s">
        <v>560</v>
      </c>
      <c r="B358">
        <v>45905</v>
      </c>
      <c r="C358" t="s">
        <v>59</v>
      </c>
      <c r="D358" t="s">
        <v>19</v>
      </c>
      <c r="E358" t="s">
        <v>82</v>
      </c>
      <c r="F358" t="s">
        <v>97</v>
      </c>
      <c r="G358">
        <v>5</v>
      </c>
      <c r="H358" t="s">
        <v>561</v>
      </c>
      <c r="I358">
        <v>5128.2</v>
      </c>
      <c r="J358" t="s">
        <v>28</v>
      </c>
    </row>
    <row r="359" spans="1:10">
      <c r="A359" t="s">
        <v>562</v>
      </c>
      <c r="B359">
        <v>45934</v>
      </c>
      <c r="C359" t="s">
        <v>129</v>
      </c>
      <c r="D359" t="s">
        <v>75</v>
      </c>
      <c r="E359" t="s">
        <v>32</v>
      </c>
      <c r="F359" t="s">
        <v>163</v>
      </c>
      <c r="G359">
        <v>6</v>
      </c>
      <c r="H359">
        <v>660.18</v>
      </c>
      <c r="I359">
        <v>450.74</v>
      </c>
      <c r="J359" t="s">
        <v>38</v>
      </c>
    </row>
    <row r="360" spans="1:10">
      <c r="A360" t="s">
        <v>563</v>
      </c>
      <c r="B360">
        <v>45683</v>
      </c>
      <c r="C360" t="s">
        <v>11</v>
      </c>
      <c r="D360" t="s">
        <v>12</v>
      </c>
      <c r="E360" t="s">
        <v>82</v>
      </c>
      <c r="F360" t="s">
        <v>155</v>
      </c>
      <c r="G360">
        <v>8</v>
      </c>
      <c r="H360">
        <v>5896.74</v>
      </c>
      <c r="I360">
        <v>5000.25</v>
      </c>
      <c r="J360" t="s">
        <v>71</v>
      </c>
    </row>
    <row r="361" spans="1:10">
      <c r="A361" t="s">
        <v>564</v>
      </c>
      <c r="B361">
        <v>45858</v>
      </c>
      <c r="C361" t="s">
        <v>108</v>
      </c>
      <c r="D361" t="s">
        <v>125</v>
      </c>
      <c r="E361" t="s">
        <v>26</v>
      </c>
      <c r="F361" t="s">
        <v>350</v>
      </c>
      <c r="G361">
        <v>3</v>
      </c>
      <c r="H361">
        <v>2523.75</v>
      </c>
      <c r="I361">
        <v>1942.05</v>
      </c>
      <c r="J361" t="s">
        <v>22</v>
      </c>
    </row>
    <row r="362" spans="1:10">
      <c r="A362" t="s">
        <v>565</v>
      </c>
      <c r="B362">
        <v>45745</v>
      </c>
      <c r="C362" t="s">
        <v>48</v>
      </c>
      <c r="D362" t="s">
        <v>63</v>
      </c>
      <c r="E362" t="s">
        <v>26</v>
      </c>
      <c r="F362" t="s">
        <v>103</v>
      </c>
      <c r="G362">
        <v>1</v>
      </c>
      <c r="H362">
        <v>2222.71</v>
      </c>
      <c r="I362">
        <v>1352.49</v>
      </c>
      <c r="J362" t="s">
        <v>16</v>
      </c>
    </row>
    <row r="363" spans="1:10">
      <c r="A363" t="s">
        <v>566</v>
      </c>
      <c r="B363">
        <v>45854</v>
      </c>
      <c r="C363" t="s">
        <v>567</v>
      </c>
      <c r="D363" t="s">
        <v>57</v>
      </c>
      <c r="E363" t="s">
        <v>13</v>
      </c>
      <c r="F363" t="s">
        <v>86</v>
      </c>
      <c r="G363">
        <v>3</v>
      </c>
      <c r="H363">
        <v>4385.3100000000004</v>
      </c>
      <c r="I363">
        <v>2504.87</v>
      </c>
      <c r="J363" t="s">
        <v>28</v>
      </c>
    </row>
    <row r="364" spans="1:10">
      <c r="A364" t="s">
        <v>568</v>
      </c>
      <c r="B364">
        <v>45748</v>
      </c>
      <c r="C364" t="s">
        <v>108</v>
      </c>
      <c r="D364" t="s">
        <v>63</v>
      </c>
      <c r="E364" t="s">
        <v>26</v>
      </c>
      <c r="F364" t="s">
        <v>103</v>
      </c>
      <c r="G364">
        <v>4</v>
      </c>
      <c r="H364" t="s">
        <v>111</v>
      </c>
      <c r="I364">
        <v>1775.47</v>
      </c>
      <c r="J364" t="s">
        <v>22</v>
      </c>
    </row>
    <row r="365" spans="1:10">
      <c r="A365" t="s">
        <v>569</v>
      </c>
      <c r="B365">
        <v>45824</v>
      </c>
      <c r="C365" t="s">
        <v>135</v>
      </c>
      <c r="D365" t="s">
        <v>57</v>
      </c>
      <c r="E365" t="s">
        <v>36</v>
      </c>
      <c r="F365" t="s">
        <v>113</v>
      </c>
      <c r="G365">
        <v>3</v>
      </c>
      <c r="H365">
        <v>1364.63</v>
      </c>
      <c r="I365">
        <v>776.89</v>
      </c>
      <c r="J365" t="s">
        <v>28</v>
      </c>
    </row>
    <row r="366" spans="1:10">
      <c r="A366" t="s">
        <v>570</v>
      </c>
      <c r="B366">
        <v>45703</v>
      </c>
      <c r="C366" t="s">
        <v>74</v>
      </c>
      <c r="D366" t="s">
        <v>12</v>
      </c>
      <c r="E366" t="s">
        <v>82</v>
      </c>
      <c r="F366" t="s">
        <v>83</v>
      </c>
      <c r="G366">
        <v>1</v>
      </c>
      <c r="H366">
        <v>3102.44</v>
      </c>
      <c r="I366">
        <v>2642.52</v>
      </c>
      <c r="J366" t="s">
        <v>28</v>
      </c>
    </row>
    <row r="367" spans="1:10">
      <c r="A367" t="s">
        <v>571</v>
      </c>
      <c r="B367">
        <v>46006</v>
      </c>
      <c r="C367" t="s">
        <v>40</v>
      </c>
      <c r="D367" t="s">
        <v>57</v>
      </c>
      <c r="E367" t="s">
        <v>36</v>
      </c>
      <c r="F367" t="s">
        <v>88</v>
      </c>
      <c r="G367">
        <v>6</v>
      </c>
      <c r="H367">
        <v>4174.8500000000004</v>
      </c>
      <c r="I367">
        <v>3420.76</v>
      </c>
      <c r="J367" t="s">
        <v>22</v>
      </c>
    </row>
    <row r="368" spans="1:10">
      <c r="A368" t="s">
        <v>572</v>
      </c>
      <c r="B368">
        <v>45960</v>
      </c>
      <c r="D368" t="s">
        <v>63</v>
      </c>
      <c r="E368" t="s">
        <v>26</v>
      </c>
      <c r="F368" t="s">
        <v>106</v>
      </c>
      <c r="G368">
        <v>7</v>
      </c>
      <c r="H368">
        <v>2255.0500000000002</v>
      </c>
      <c r="I368">
        <v>1502.79</v>
      </c>
      <c r="J368" t="s">
        <v>22</v>
      </c>
    </row>
    <row r="369" spans="1:10">
      <c r="A369" t="s">
        <v>573</v>
      </c>
      <c r="B369">
        <v>45922</v>
      </c>
      <c r="C369" t="s">
        <v>121</v>
      </c>
      <c r="D369" t="s">
        <v>19</v>
      </c>
      <c r="E369" t="s">
        <v>20</v>
      </c>
      <c r="F369" t="s">
        <v>14</v>
      </c>
      <c r="G369">
        <v>3</v>
      </c>
      <c r="H369" t="s">
        <v>574</v>
      </c>
      <c r="I369">
        <v>915.34</v>
      </c>
      <c r="J369" t="s">
        <v>28</v>
      </c>
    </row>
    <row r="370" spans="1:10">
      <c r="A370" t="s">
        <v>575</v>
      </c>
      <c r="B370">
        <v>46012</v>
      </c>
      <c r="C370" t="s">
        <v>175</v>
      </c>
      <c r="D370" t="s">
        <v>57</v>
      </c>
      <c r="E370" t="s">
        <v>32</v>
      </c>
      <c r="F370" t="s">
        <v>101</v>
      </c>
      <c r="G370">
        <v>2</v>
      </c>
      <c r="H370">
        <v>2083.62</v>
      </c>
      <c r="I370">
        <v>1693.08</v>
      </c>
      <c r="J370" t="s">
        <v>28</v>
      </c>
    </row>
    <row r="371" spans="1:10">
      <c r="A371" t="s">
        <v>576</v>
      </c>
      <c r="B371">
        <v>45985</v>
      </c>
      <c r="C371" t="s">
        <v>11</v>
      </c>
      <c r="D371" t="s">
        <v>577</v>
      </c>
      <c r="E371" t="s">
        <v>32</v>
      </c>
      <c r="F371" t="s">
        <v>393</v>
      </c>
      <c r="G371">
        <v>6</v>
      </c>
      <c r="H371">
        <v>1573.03</v>
      </c>
      <c r="I371">
        <v>1182.5</v>
      </c>
      <c r="J371" t="s">
        <v>38</v>
      </c>
    </row>
    <row r="372" spans="1:10">
      <c r="A372" t="s">
        <v>578</v>
      </c>
      <c r="B372">
        <v>45897</v>
      </c>
      <c r="C372" t="s">
        <v>59</v>
      </c>
      <c r="D372" t="s">
        <v>31</v>
      </c>
      <c r="E372" t="s">
        <v>26</v>
      </c>
      <c r="F372" t="s">
        <v>350</v>
      </c>
      <c r="G372">
        <v>5</v>
      </c>
      <c r="H372">
        <v>3069.9</v>
      </c>
      <c r="I372">
        <v>2294.9499999999998</v>
      </c>
      <c r="J372" t="s">
        <v>38</v>
      </c>
    </row>
    <row r="373" spans="1:10">
      <c r="A373" t="s">
        <v>579</v>
      </c>
      <c r="B373">
        <v>45697</v>
      </c>
      <c r="C373" t="s">
        <v>51</v>
      </c>
      <c r="D373" t="s">
        <v>41</v>
      </c>
      <c r="E373" t="s">
        <v>32</v>
      </c>
      <c r="F373" t="s">
        <v>52</v>
      </c>
      <c r="G373">
        <v>1</v>
      </c>
      <c r="H373">
        <v>1757.98</v>
      </c>
      <c r="I373">
        <v>1055.94</v>
      </c>
      <c r="J373" t="s">
        <v>22</v>
      </c>
    </row>
    <row r="374" spans="1:10">
      <c r="A374" t="s">
        <v>580</v>
      </c>
      <c r="B374" t="s">
        <v>581</v>
      </c>
      <c r="C374" t="s">
        <v>582</v>
      </c>
      <c r="D374" t="s">
        <v>41</v>
      </c>
      <c r="E374" t="s">
        <v>82</v>
      </c>
      <c r="F374" t="s">
        <v>137</v>
      </c>
      <c r="G374">
        <v>6</v>
      </c>
      <c r="H374">
        <v>6487.52</v>
      </c>
      <c r="I374">
        <v>4845.24</v>
      </c>
      <c r="J374" t="s">
        <v>16</v>
      </c>
    </row>
    <row r="375" spans="1:10">
      <c r="A375" t="s">
        <v>583</v>
      </c>
      <c r="B375">
        <v>45747</v>
      </c>
      <c r="C375" t="s">
        <v>18</v>
      </c>
      <c r="D375" t="s">
        <v>63</v>
      </c>
      <c r="E375" t="s">
        <v>149</v>
      </c>
      <c r="F375" t="s">
        <v>137</v>
      </c>
      <c r="G375">
        <v>8</v>
      </c>
      <c r="H375" t="s">
        <v>584</v>
      </c>
      <c r="I375">
        <v>369.87</v>
      </c>
      <c r="J375" t="s">
        <v>38</v>
      </c>
    </row>
    <row r="376" spans="1:10">
      <c r="A376" t="s">
        <v>585</v>
      </c>
      <c r="B376">
        <v>45784</v>
      </c>
      <c r="C376" t="s">
        <v>105</v>
      </c>
      <c r="D376" t="s">
        <v>63</v>
      </c>
      <c r="E376" t="s">
        <v>32</v>
      </c>
      <c r="F376" t="s">
        <v>101</v>
      </c>
      <c r="G376">
        <v>5</v>
      </c>
      <c r="H376">
        <v>1961.37</v>
      </c>
      <c r="I376">
        <v>1416.17</v>
      </c>
      <c r="J376" t="s">
        <v>71</v>
      </c>
    </row>
    <row r="377" spans="1:10">
      <c r="A377" t="s">
        <v>586</v>
      </c>
      <c r="B377">
        <v>45816</v>
      </c>
      <c r="C377" t="s">
        <v>48</v>
      </c>
      <c r="D377" t="s">
        <v>31</v>
      </c>
      <c r="E377" t="s">
        <v>36</v>
      </c>
      <c r="F377" t="s">
        <v>37</v>
      </c>
      <c r="G377">
        <v>7</v>
      </c>
      <c r="H377">
        <v>17993.080000000002</v>
      </c>
      <c r="I377">
        <v>14164.64</v>
      </c>
      <c r="J377" t="s">
        <v>38</v>
      </c>
    </row>
    <row r="378" spans="1:10">
      <c r="A378" t="s">
        <v>587</v>
      </c>
      <c r="B378">
        <v>46014</v>
      </c>
      <c r="C378" t="s">
        <v>135</v>
      </c>
      <c r="D378" t="s">
        <v>63</v>
      </c>
      <c r="E378" t="s">
        <v>36</v>
      </c>
      <c r="F378" t="s">
        <v>37</v>
      </c>
      <c r="G378">
        <v>6</v>
      </c>
      <c r="H378">
        <v>14872.56</v>
      </c>
      <c r="I378">
        <v>13029.72</v>
      </c>
      <c r="J378" t="s">
        <v>28</v>
      </c>
    </row>
    <row r="379" spans="1:10">
      <c r="A379" t="s">
        <v>588</v>
      </c>
      <c r="B379">
        <v>45829</v>
      </c>
      <c r="C379" t="s">
        <v>220</v>
      </c>
      <c r="D379" t="s">
        <v>12</v>
      </c>
      <c r="E379" t="s">
        <v>82</v>
      </c>
      <c r="F379" t="s">
        <v>109</v>
      </c>
      <c r="G379">
        <v>2</v>
      </c>
      <c r="H379">
        <v>1196.92</v>
      </c>
      <c r="I379">
        <v>714.09</v>
      </c>
      <c r="J379" t="s">
        <v>28</v>
      </c>
    </row>
    <row r="380" spans="1:10">
      <c r="A380" t="s">
        <v>589</v>
      </c>
      <c r="B380">
        <v>45740</v>
      </c>
      <c r="C380" t="s">
        <v>121</v>
      </c>
      <c r="D380" t="s">
        <v>63</v>
      </c>
      <c r="E380" t="s">
        <v>20</v>
      </c>
      <c r="F380" t="s">
        <v>196</v>
      </c>
      <c r="G380">
        <v>5</v>
      </c>
      <c r="H380">
        <v>1502.54</v>
      </c>
      <c r="I380">
        <v>913.35</v>
      </c>
      <c r="J380" t="s">
        <v>71</v>
      </c>
    </row>
    <row r="381" spans="1:10">
      <c r="A381" t="s">
        <v>590</v>
      </c>
      <c r="B381">
        <v>45782</v>
      </c>
      <c r="C381" t="s">
        <v>59</v>
      </c>
      <c r="D381" t="s">
        <v>499</v>
      </c>
      <c r="E381" t="s">
        <v>235</v>
      </c>
      <c r="F381" t="s">
        <v>180</v>
      </c>
      <c r="G381">
        <v>1</v>
      </c>
      <c r="H381">
        <v>494.14</v>
      </c>
      <c r="I381">
        <v>368.37</v>
      </c>
      <c r="J381" t="s">
        <v>71</v>
      </c>
    </row>
    <row r="382" spans="1:10">
      <c r="A382" t="s">
        <v>591</v>
      </c>
      <c r="B382">
        <v>45715</v>
      </c>
      <c r="C382" t="s">
        <v>48</v>
      </c>
      <c r="D382" t="s">
        <v>19</v>
      </c>
      <c r="E382" t="s">
        <v>20</v>
      </c>
      <c r="F382" t="s">
        <v>91</v>
      </c>
      <c r="G382">
        <v>1</v>
      </c>
      <c r="H382">
        <v>4952.13</v>
      </c>
      <c r="I382">
        <v>3408.8</v>
      </c>
      <c r="J382" t="s">
        <v>16</v>
      </c>
    </row>
    <row r="383" spans="1:10">
      <c r="A383" t="s">
        <v>592</v>
      </c>
      <c r="B383">
        <v>45900</v>
      </c>
      <c r="C383" t="s">
        <v>121</v>
      </c>
      <c r="D383" t="s">
        <v>593</v>
      </c>
      <c r="E383" t="s">
        <v>82</v>
      </c>
      <c r="F383" t="s">
        <v>109</v>
      </c>
      <c r="G383">
        <v>6</v>
      </c>
      <c r="H383">
        <v>3172.86</v>
      </c>
      <c r="I383">
        <v>2517.4899999999998</v>
      </c>
      <c r="J383" t="s">
        <v>16</v>
      </c>
    </row>
    <row r="384" spans="1:10">
      <c r="A384" t="s">
        <v>594</v>
      </c>
      <c r="B384">
        <v>45925</v>
      </c>
      <c r="C384" t="s">
        <v>48</v>
      </c>
      <c r="D384" t="s">
        <v>19</v>
      </c>
      <c r="E384" t="s">
        <v>82</v>
      </c>
      <c r="F384" t="s">
        <v>109</v>
      </c>
      <c r="G384">
        <v>5</v>
      </c>
      <c r="H384">
        <v>1666.22</v>
      </c>
      <c r="I384">
        <v>1289.21</v>
      </c>
      <c r="J384" t="s">
        <v>38</v>
      </c>
    </row>
    <row r="385" spans="1:10">
      <c r="A385" t="s">
        <v>595</v>
      </c>
      <c r="B385">
        <v>45913</v>
      </c>
      <c r="C385" t="s">
        <v>115</v>
      </c>
      <c r="D385" t="s">
        <v>19</v>
      </c>
      <c r="E385" t="s">
        <v>122</v>
      </c>
      <c r="F385" t="s">
        <v>46</v>
      </c>
      <c r="G385">
        <v>5</v>
      </c>
      <c r="H385">
        <v>13687.78</v>
      </c>
      <c r="I385">
        <v>11712.06</v>
      </c>
      <c r="J385" t="s">
        <v>22</v>
      </c>
    </row>
    <row r="386" spans="1:10">
      <c r="A386" t="s">
        <v>596</v>
      </c>
      <c r="B386">
        <v>45860</v>
      </c>
      <c r="C386" t="s">
        <v>18</v>
      </c>
      <c r="D386" t="s">
        <v>12</v>
      </c>
      <c r="E386" t="s">
        <v>20</v>
      </c>
      <c r="F386" t="s">
        <v>91</v>
      </c>
      <c r="G386">
        <v>2</v>
      </c>
      <c r="I386">
        <v>3898.95</v>
      </c>
      <c r="J386" t="s">
        <v>28</v>
      </c>
    </row>
    <row r="387" spans="1:10">
      <c r="A387" t="s">
        <v>597</v>
      </c>
      <c r="B387">
        <v>45746</v>
      </c>
      <c r="C387" t="s">
        <v>70</v>
      </c>
      <c r="D387" t="s">
        <v>57</v>
      </c>
      <c r="E387" t="s">
        <v>36</v>
      </c>
      <c r="F387" t="s">
        <v>598</v>
      </c>
      <c r="G387">
        <v>2</v>
      </c>
      <c r="I387">
        <v>5081.91</v>
      </c>
      <c r="J387" t="s">
        <v>38</v>
      </c>
    </row>
    <row r="388" spans="1:10">
      <c r="A388" t="s">
        <v>599</v>
      </c>
      <c r="B388">
        <v>45668</v>
      </c>
      <c r="C388" t="s">
        <v>56</v>
      </c>
      <c r="D388" t="s">
        <v>31</v>
      </c>
      <c r="E388" t="s">
        <v>32</v>
      </c>
      <c r="F388" t="s">
        <v>101</v>
      </c>
      <c r="G388">
        <v>8</v>
      </c>
      <c r="H388">
        <v>1552.38</v>
      </c>
      <c r="I388">
        <v>1358.8</v>
      </c>
      <c r="J388" t="s">
        <v>28</v>
      </c>
    </row>
    <row r="389" spans="1:10">
      <c r="A389" t="s">
        <v>600</v>
      </c>
      <c r="B389">
        <v>45938</v>
      </c>
      <c r="C389" t="s">
        <v>129</v>
      </c>
      <c r="D389" t="s">
        <v>19</v>
      </c>
      <c r="E389" t="s">
        <v>20</v>
      </c>
      <c r="F389" t="s">
        <v>21</v>
      </c>
      <c r="G389">
        <v>1</v>
      </c>
      <c r="H389">
        <v>4200.41</v>
      </c>
      <c r="I389">
        <v>3463.06</v>
      </c>
      <c r="J389" t="s">
        <v>16</v>
      </c>
    </row>
    <row r="390" spans="1:10">
      <c r="A390" t="s">
        <v>601</v>
      </c>
      <c r="B390">
        <v>45977</v>
      </c>
      <c r="C390" t="s">
        <v>129</v>
      </c>
      <c r="D390" t="s">
        <v>63</v>
      </c>
      <c r="E390" t="s">
        <v>149</v>
      </c>
      <c r="F390" t="s">
        <v>137</v>
      </c>
      <c r="G390">
        <v>2</v>
      </c>
      <c r="I390">
        <v>726.9</v>
      </c>
      <c r="J390" t="s">
        <v>22</v>
      </c>
    </row>
    <row r="391" spans="1:10">
      <c r="A391" t="s">
        <v>602</v>
      </c>
      <c r="B391">
        <v>45755</v>
      </c>
      <c r="C391" t="s">
        <v>282</v>
      </c>
      <c r="D391" t="s">
        <v>12</v>
      </c>
      <c r="E391" t="s">
        <v>32</v>
      </c>
      <c r="F391" t="s">
        <v>163</v>
      </c>
      <c r="G391">
        <v>3</v>
      </c>
      <c r="H391">
        <v>282.11</v>
      </c>
      <c r="I391">
        <v>157.52000000000001</v>
      </c>
      <c r="J391" t="s">
        <v>38</v>
      </c>
    </row>
    <row r="392" spans="1:10">
      <c r="A392" t="s">
        <v>603</v>
      </c>
      <c r="B392">
        <v>45723</v>
      </c>
      <c r="C392" t="s">
        <v>121</v>
      </c>
      <c r="E392" t="s">
        <v>82</v>
      </c>
      <c r="F392" t="s">
        <v>97</v>
      </c>
      <c r="G392">
        <v>2</v>
      </c>
      <c r="H392">
        <v>3077.53</v>
      </c>
      <c r="I392">
        <v>2418.0500000000002</v>
      </c>
      <c r="J392" t="s">
        <v>16</v>
      </c>
    </row>
    <row r="393" spans="1:10">
      <c r="A393" t="s">
        <v>604</v>
      </c>
      <c r="B393">
        <v>45770</v>
      </c>
      <c r="C393" t="s">
        <v>70</v>
      </c>
      <c r="D393" t="s">
        <v>63</v>
      </c>
      <c r="E393" t="s">
        <v>20</v>
      </c>
      <c r="F393" t="s">
        <v>21</v>
      </c>
      <c r="G393">
        <v>5</v>
      </c>
      <c r="H393">
        <v>3820</v>
      </c>
      <c r="I393">
        <v>3096.3</v>
      </c>
      <c r="J393" t="s">
        <v>38</v>
      </c>
    </row>
    <row r="394" spans="1:10">
      <c r="A394" t="s">
        <v>605</v>
      </c>
      <c r="B394">
        <v>45883</v>
      </c>
      <c r="C394" t="s">
        <v>124</v>
      </c>
      <c r="D394" t="s">
        <v>504</v>
      </c>
      <c r="E394" t="s">
        <v>82</v>
      </c>
      <c r="F394" t="s">
        <v>109</v>
      </c>
      <c r="G394">
        <v>2</v>
      </c>
      <c r="H394">
        <v>1593.6</v>
      </c>
      <c r="I394">
        <v>1063.08</v>
      </c>
      <c r="J394" t="s">
        <v>28</v>
      </c>
    </row>
    <row r="395" spans="1:10">
      <c r="A395" t="s">
        <v>606</v>
      </c>
      <c r="B395">
        <v>45752</v>
      </c>
      <c r="C395" t="s">
        <v>85</v>
      </c>
      <c r="D395" t="s">
        <v>49</v>
      </c>
      <c r="E395" t="s">
        <v>36</v>
      </c>
      <c r="F395" t="s">
        <v>42</v>
      </c>
      <c r="G395">
        <v>5</v>
      </c>
      <c r="H395">
        <v>5937.12</v>
      </c>
      <c r="I395">
        <v>4559.46</v>
      </c>
      <c r="J395" t="s">
        <v>16</v>
      </c>
    </row>
    <row r="396" spans="1:10">
      <c r="A396" t="s">
        <v>607</v>
      </c>
      <c r="B396">
        <v>45660</v>
      </c>
      <c r="C396" t="s">
        <v>124</v>
      </c>
      <c r="D396" t="s">
        <v>19</v>
      </c>
      <c r="E396" t="s">
        <v>32</v>
      </c>
      <c r="F396" t="s">
        <v>52</v>
      </c>
      <c r="G396">
        <v>6</v>
      </c>
      <c r="H396">
        <v>766.2</v>
      </c>
      <c r="I396">
        <v>477.42</v>
      </c>
      <c r="J396" t="s">
        <v>28</v>
      </c>
    </row>
    <row r="397" spans="1:10">
      <c r="A397" t="s">
        <v>608</v>
      </c>
      <c r="B397">
        <v>45671</v>
      </c>
      <c r="C397" t="s">
        <v>105</v>
      </c>
      <c r="D397" t="s">
        <v>19</v>
      </c>
      <c r="E397" t="s">
        <v>82</v>
      </c>
      <c r="F397" t="s">
        <v>137</v>
      </c>
      <c r="G397">
        <v>2</v>
      </c>
      <c r="H397">
        <v>1910.9</v>
      </c>
      <c r="I397">
        <v>1476.21</v>
      </c>
    </row>
    <row r="398" spans="1:10">
      <c r="A398" t="s">
        <v>609</v>
      </c>
      <c r="B398">
        <v>46001</v>
      </c>
      <c r="C398" t="s">
        <v>327</v>
      </c>
      <c r="D398" t="s">
        <v>504</v>
      </c>
      <c r="E398" t="s">
        <v>179</v>
      </c>
      <c r="F398" t="s">
        <v>467</v>
      </c>
      <c r="G398">
        <v>2</v>
      </c>
      <c r="H398">
        <v>1988.78</v>
      </c>
      <c r="I398">
        <v>1661.46</v>
      </c>
      <c r="J398" t="s">
        <v>28</v>
      </c>
    </row>
    <row r="399" spans="1:10">
      <c r="A399" t="s">
        <v>610</v>
      </c>
      <c r="B399" t="s">
        <v>611</v>
      </c>
      <c r="C399" t="s">
        <v>612</v>
      </c>
      <c r="D399" t="s">
        <v>57</v>
      </c>
      <c r="E399" t="s">
        <v>82</v>
      </c>
      <c r="F399" t="s">
        <v>150</v>
      </c>
      <c r="G399">
        <v>7</v>
      </c>
      <c r="H399">
        <v>3756.02</v>
      </c>
      <c r="I399">
        <v>2088.41</v>
      </c>
      <c r="J399" t="s">
        <v>22</v>
      </c>
    </row>
    <row r="400" spans="1:10">
      <c r="A400" t="s">
        <v>613</v>
      </c>
      <c r="B400">
        <v>45710</v>
      </c>
      <c r="C400" t="s">
        <v>11</v>
      </c>
      <c r="D400" t="s">
        <v>41</v>
      </c>
      <c r="E400" t="s">
        <v>36</v>
      </c>
      <c r="F400" t="s">
        <v>113</v>
      </c>
      <c r="G400">
        <v>3</v>
      </c>
      <c r="H400">
        <v>7155.06</v>
      </c>
      <c r="I400">
        <v>4400.6099999999997</v>
      </c>
      <c r="J400" t="s">
        <v>16</v>
      </c>
    </row>
    <row r="401" spans="1:10">
      <c r="A401" t="s">
        <v>614</v>
      </c>
      <c r="B401">
        <v>45769</v>
      </c>
      <c r="C401" t="s">
        <v>74</v>
      </c>
      <c r="D401" t="s">
        <v>511</v>
      </c>
      <c r="E401" t="s">
        <v>36</v>
      </c>
      <c r="F401" t="s">
        <v>146</v>
      </c>
      <c r="G401">
        <v>3</v>
      </c>
      <c r="H401">
        <v>16072.17</v>
      </c>
      <c r="I401">
        <v>13630.4</v>
      </c>
      <c r="J401" t="s">
        <v>16</v>
      </c>
    </row>
    <row r="402" spans="1:10">
      <c r="A402" t="s">
        <v>615</v>
      </c>
      <c r="B402">
        <v>45759</v>
      </c>
      <c r="C402" t="s">
        <v>24</v>
      </c>
      <c r="D402" t="s">
        <v>19</v>
      </c>
      <c r="E402" t="s">
        <v>36</v>
      </c>
      <c r="F402" t="s">
        <v>37</v>
      </c>
      <c r="G402">
        <v>4</v>
      </c>
      <c r="H402">
        <v>5758.13</v>
      </c>
      <c r="I402">
        <v>3583.01</v>
      </c>
      <c r="J402" t="s">
        <v>22</v>
      </c>
    </row>
    <row r="403" spans="1:10">
      <c r="A403" t="s">
        <v>616</v>
      </c>
      <c r="B403">
        <v>45863</v>
      </c>
      <c r="C403" t="s">
        <v>11</v>
      </c>
      <c r="D403" t="s">
        <v>41</v>
      </c>
      <c r="E403" t="s">
        <v>20</v>
      </c>
      <c r="F403" t="s">
        <v>14</v>
      </c>
      <c r="G403">
        <v>7</v>
      </c>
      <c r="H403">
        <v>3802.16</v>
      </c>
      <c r="I403">
        <v>2278.46</v>
      </c>
    </row>
    <row r="404" spans="1:10">
      <c r="A404" t="s">
        <v>617</v>
      </c>
      <c r="B404">
        <v>45670</v>
      </c>
      <c r="C404" t="s">
        <v>35</v>
      </c>
      <c r="D404" t="s">
        <v>618</v>
      </c>
      <c r="E404" t="s">
        <v>13</v>
      </c>
      <c r="F404" t="s">
        <v>91</v>
      </c>
      <c r="G404">
        <v>5</v>
      </c>
      <c r="H404">
        <v>3585.74</v>
      </c>
      <c r="I404">
        <v>2118.63</v>
      </c>
      <c r="J404" t="s">
        <v>38</v>
      </c>
    </row>
    <row r="405" spans="1:10">
      <c r="A405" t="s">
        <v>619</v>
      </c>
      <c r="B405">
        <v>45956</v>
      </c>
      <c r="C405" t="s">
        <v>175</v>
      </c>
      <c r="D405" t="s">
        <v>63</v>
      </c>
      <c r="E405" t="s">
        <v>82</v>
      </c>
      <c r="F405" t="s">
        <v>155</v>
      </c>
      <c r="G405">
        <v>1</v>
      </c>
      <c r="H405">
        <v>6844.38</v>
      </c>
      <c r="I405">
        <v>4811.88</v>
      </c>
      <c r="J405" t="s">
        <v>71</v>
      </c>
    </row>
    <row r="406" spans="1:10">
      <c r="A406" t="s">
        <v>620</v>
      </c>
      <c r="B406">
        <v>45789</v>
      </c>
      <c r="C406" t="s">
        <v>59</v>
      </c>
      <c r="D406" t="s">
        <v>41</v>
      </c>
      <c r="E406" t="s">
        <v>32</v>
      </c>
      <c r="F406" t="s">
        <v>163</v>
      </c>
      <c r="G406">
        <v>3</v>
      </c>
      <c r="H406">
        <v>232.39</v>
      </c>
      <c r="I406">
        <v>153.66999999999999</v>
      </c>
      <c r="J406" t="s">
        <v>22</v>
      </c>
    </row>
    <row r="407" spans="1:10">
      <c r="A407" t="s">
        <v>621</v>
      </c>
      <c r="B407">
        <v>45885</v>
      </c>
      <c r="C407" t="s">
        <v>117</v>
      </c>
      <c r="D407" t="s">
        <v>41</v>
      </c>
      <c r="E407" t="s">
        <v>26</v>
      </c>
      <c r="F407" t="s">
        <v>103</v>
      </c>
      <c r="G407">
        <v>8</v>
      </c>
      <c r="H407">
        <v>3339.3</v>
      </c>
      <c r="I407">
        <v>2779.29</v>
      </c>
      <c r="J407" t="s">
        <v>16</v>
      </c>
    </row>
    <row r="408" spans="1:10">
      <c r="A408" t="s">
        <v>622</v>
      </c>
      <c r="B408">
        <v>45904</v>
      </c>
      <c r="C408" t="s">
        <v>506</v>
      </c>
      <c r="D408" t="s">
        <v>63</v>
      </c>
      <c r="E408" t="s">
        <v>20</v>
      </c>
      <c r="F408" t="s">
        <v>86</v>
      </c>
      <c r="G408">
        <v>4</v>
      </c>
      <c r="H408" t="s">
        <v>623</v>
      </c>
      <c r="I408">
        <v>2435.9499999999998</v>
      </c>
      <c r="J408" t="s">
        <v>71</v>
      </c>
    </row>
    <row r="409" spans="1:10">
      <c r="A409" t="s">
        <v>624</v>
      </c>
      <c r="B409">
        <v>45922</v>
      </c>
      <c r="C409" t="s">
        <v>129</v>
      </c>
      <c r="D409" t="s">
        <v>19</v>
      </c>
      <c r="E409" t="s">
        <v>32</v>
      </c>
      <c r="F409" t="s">
        <v>52</v>
      </c>
      <c r="G409">
        <v>7</v>
      </c>
      <c r="H409">
        <v>1011.67</v>
      </c>
      <c r="I409">
        <v>846.11</v>
      </c>
      <c r="J409" t="s">
        <v>28</v>
      </c>
    </row>
    <row r="410" spans="1:10">
      <c r="A410" t="s">
        <v>625</v>
      </c>
      <c r="B410">
        <v>45869</v>
      </c>
      <c r="C410" t="s">
        <v>85</v>
      </c>
      <c r="D410" t="s">
        <v>173</v>
      </c>
      <c r="E410" t="s">
        <v>20</v>
      </c>
      <c r="F410" t="s">
        <v>191</v>
      </c>
      <c r="G410">
        <v>7</v>
      </c>
      <c r="H410">
        <v>5439.36</v>
      </c>
      <c r="I410">
        <v>4700.1899999999996</v>
      </c>
      <c r="J410" t="s">
        <v>38</v>
      </c>
    </row>
    <row r="411" spans="1:10">
      <c r="A411" t="s">
        <v>626</v>
      </c>
      <c r="B411">
        <v>45661</v>
      </c>
      <c r="C411" t="s">
        <v>135</v>
      </c>
      <c r="D411" t="s">
        <v>577</v>
      </c>
      <c r="E411" t="s">
        <v>179</v>
      </c>
      <c r="F411" t="s">
        <v>627</v>
      </c>
      <c r="G411">
        <v>1</v>
      </c>
      <c r="H411">
        <v>2150.42</v>
      </c>
      <c r="I411">
        <v>1446.15</v>
      </c>
      <c r="J411" t="s">
        <v>22</v>
      </c>
    </row>
    <row r="412" spans="1:10">
      <c r="A412" t="s">
        <v>628</v>
      </c>
      <c r="B412">
        <v>45884</v>
      </c>
      <c r="D412" t="s">
        <v>57</v>
      </c>
      <c r="E412" t="s">
        <v>149</v>
      </c>
      <c r="F412" t="s">
        <v>155</v>
      </c>
      <c r="G412">
        <v>6</v>
      </c>
      <c r="H412" t="s">
        <v>629</v>
      </c>
      <c r="I412">
        <v>3916.34</v>
      </c>
      <c r="J412" t="s">
        <v>16</v>
      </c>
    </row>
    <row r="413" spans="1:10">
      <c r="A413" t="s">
        <v>630</v>
      </c>
      <c r="B413">
        <v>45880</v>
      </c>
      <c r="C413" t="s">
        <v>386</v>
      </c>
      <c r="D413" t="s">
        <v>12</v>
      </c>
      <c r="E413" t="s">
        <v>26</v>
      </c>
      <c r="F413" t="s">
        <v>350</v>
      </c>
      <c r="G413">
        <v>7</v>
      </c>
      <c r="H413">
        <v>3273.3</v>
      </c>
      <c r="I413">
        <v>1930.52</v>
      </c>
      <c r="J413" t="s">
        <v>71</v>
      </c>
    </row>
    <row r="414" spans="1:10">
      <c r="A414" t="s">
        <v>631</v>
      </c>
      <c r="B414">
        <v>45927</v>
      </c>
      <c r="C414" t="s">
        <v>133</v>
      </c>
      <c r="D414" t="s">
        <v>12</v>
      </c>
      <c r="E414" t="s">
        <v>36</v>
      </c>
      <c r="F414" t="s">
        <v>46</v>
      </c>
      <c r="G414">
        <v>5</v>
      </c>
      <c r="H414">
        <v>10968.94</v>
      </c>
      <c r="I414">
        <v>8953.32</v>
      </c>
      <c r="J414" t="s">
        <v>16</v>
      </c>
    </row>
    <row r="415" spans="1:10">
      <c r="A415" t="s">
        <v>632</v>
      </c>
      <c r="B415">
        <v>45848</v>
      </c>
      <c r="C415" t="s">
        <v>231</v>
      </c>
      <c r="D415" t="s">
        <v>19</v>
      </c>
      <c r="E415" t="s">
        <v>82</v>
      </c>
      <c r="F415" t="s">
        <v>137</v>
      </c>
      <c r="G415">
        <v>0</v>
      </c>
      <c r="H415">
        <v>5443.62</v>
      </c>
      <c r="I415">
        <v>3767.5</v>
      </c>
      <c r="J415" t="s">
        <v>22</v>
      </c>
    </row>
    <row r="416" spans="1:10">
      <c r="A416" t="s">
        <v>633</v>
      </c>
      <c r="B416">
        <v>45659</v>
      </c>
      <c r="C416" t="s">
        <v>35</v>
      </c>
      <c r="D416" t="s">
        <v>63</v>
      </c>
      <c r="E416" t="s">
        <v>26</v>
      </c>
      <c r="F416" t="s">
        <v>27</v>
      </c>
      <c r="G416">
        <v>6</v>
      </c>
      <c r="H416">
        <v>2756.14</v>
      </c>
      <c r="I416">
        <v>2095.35</v>
      </c>
      <c r="J416" t="s">
        <v>22</v>
      </c>
    </row>
    <row r="417" spans="1:10">
      <c r="A417" t="s">
        <v>634</v>
      </c>
      <c r="B417">
        <v>45789</v>
      </c>
      <c r="C417" t="s">
        <v>220</v>
      </c>
      <c r="D417" t="s">
        <v>19</v>
      </c>
      <c r="E417" t="s">
        <v>20</v>
      </c>
      <c r="F417" t="s">
        <v>91</v>
      </c>
      <c r="G417">
        <v>8</v>
      </c>
      <c r="H417">
        <v>5733.27</v>
      </c>
      <c r="I417">
        <v>4422.0600000000004</v>
      </c>
      <c r="J417" t="s">
        <v>71</v>
      </c>
    </row>
    <row r="418" spans="1:10">
      <c r="A418" t="s">
        <v>635</v>
      </c>
      <c r="B418">
        <v>45998</v>
      </c>
      <c r="C418" t="s">
        <v>175</v>
      </c>
      <c r="D418" t="s">
        <v>63</v>
      </c>
      <c r="E418" t="s">
        <v>26</v>
      </c>
      <c r="F418" t="s">
        <v>131</v>
      </c>
      <c r="G418">
        <v>4</v>
      </c>
      <c r="H418">
        <v>742.74</v>
      </c>
      <c r="I418">
        <v>593.19000000000005</v>
      </c>
      <c r="J418" t="s">
        <v>28</v>
      </c>
    </row>
    <row r="419" spans="1:10">
      <c r="A419" t="s">
        <v>636</v>
      </c>
      <c r="B419">
        <v>45678</v>
      </c>
      <c r="C419" t="s">
        <v>30</v>
      </c>
      <c r="D419" t="s">
        <v>41</v>
      </c>
      <c r="E419" t="s">
        <v>36</v>
      </c>
      <c r="F419" t="s">
        <v>42</v>
      </c>
      <c r="G419">
        <v>1</v>
      </c>
      <c r="H419">
        <v>17138.36</v>
      </c>
      <c r="I419">
        <v>10553.61</v>
      </c>
      <c r="J419" t="s">
        <v>16</v>
      </c>
    </row>
    <row r="420" spans="1:10">
      <c r="A420" t="s">
        <v>637</v>
      </c>
      <c r="B420">
        <v>45870</v>
      </c>
      <c r="C420" t="s">
        <v>119</v>
      </c>
      <c r="D420" t="s">
        <v>57</v>
      </c>
      <c r="E420" t="s">
        <v>26</v>
      </c>
      <c r="F420" t="s">
        <v>27</v>
      </c>
      <c r="G420">
        <v>1</v>
      </c>
      <c r="H420">
        <v>3261.54</v>
      </c>
      <c r="I420">
        <v>2695.22</v>
      </c>
      <c r="J420" t="s">
        <v>38</v>
      </c>
    </row>
    <row r="421" spans="1:10">
      <c r="A421" t="s">
        <v>638</v>
      </c>
      <c r="B421">
        <v>45756</v>
      </c>
      <c r="C421" t="s">
        <v>162</v>
      </c>
      <c r="D421" t="s">
        <v>63</v>
      </c>
      <c r="E421" t="s">
        <v>20</v>
      </c>
      <c r="F421" t="s">
        <v>86</v>
      </c>
      <c r="G421">
        <v>4</v>
      </c>
      <c r="H421">
        <v>677.26</v>
      </c>
      <c r="I421">
        <v>543.36</v>
      </c>
      <c r="J421" t="s">
        <v>16</v>
      </c>
    </row>
    <row r="422" spans="1:10">
      <c r="A422" t="s">
        <v>639</v>
      </c>
      <c r="B422">
        <v>45886</v>
      </c>
      <c r="C422" t="s">
        <v>135</v>
      </c>
      <c r="D422" t="s">
        <v>448</v>
      </c>
      <c r="E422" t="s">
        <v>32</v>
      </c>
      <c r="F422" t="s">
        <v>241</v>
      </c>
      <c r="G422">
        <v>2</v>
      </c>
      <c r="H422">
        <v>1076.46</v>
      </c>
      <c r="I422">
        <v>693.84</v>
      </c>
      <c r="J422" t="s">
        <v>71</v>
      </c>
    </row>
    <row r="423" spans="1:10">
      <c r="A423" t="s">
        <v>640</v>
      </c>
      <c r="B423">
        <v>46012</v>
      </c>
      <c r="C423" t="s">
        <v>67</v>
      </c>
      <c r="D423" t="s">
        <v>19</v>
      </c>
      <c r="E423" t="s">
        <v>20</v>
      </c>
      <c r="F423" t="s">
        <v>157</v>
      </c>
      <c r="G423">
        <v>4</v>
      </c>
      <c r="H423">
        <v>2184.13</v>
      </c>
      <c r="I423">
        <v>1620.44</v>
      </c>
      <c r="J423" t="s">
        <v>28</v>
      </c>
    </row>
    <row r="424" spans="1:10">
      <c r="A424" t="s">
        <v>641</v>
      </c>
      <c r="B424">
        <v>45693</v>
      </c>
      <c r="C424" t="s">
        <v>117</v>
      </c>
      <c r="D424" t="s">
        <v>31</v>
      </c>
      <c r="E424" t="s">
        <v>36</v>
      </c>
      <c r="F424" t="s">
        <v>46</v>
      </c>
      <c r="G424">
        <v>2</v>
      </c>
      <c r="H424">
        <v>12446.13</v>
      </c>
      <c r="I424">
        <v>7811.41</v>
      </c>
      <c r="J424" t="s">
        <v>16</v>
      </c>
    </row>
    <row r="425" spans="1:10">
      <c r="A425" t="s">
        <v>642</v>
      </c>
      <c r="B425">
        <v>45695</v>
      </c>
      <c r="C425" t="s">
        <v>67</v>
      </c>
      <c r="D425" t="s">
        <v>448</v>
      </c>
      <c r="E425" t="s">
        <v>26</v>
      </c>
      <c r="F425" t="s">
        <v>103</v>
      </c>
      <c r="H425">
        <v>1120.9100000000001</v>
      </c>
      <c r="I425">
        <v>757.06</v>
      </c>
      <c r="J425" t="s">
        <v>71</v>
      </c>
    </row>
    <row r="426" spans="1:10">
      <c r="A426" t="s">
        <v>643</v>
      </c>
      <c r="B426">
        <v>45939</v>
      </c>
      <c r="C426" t="s">
        <v>56</v>
      </c>
      <c r="D426" t="s">
        <v>57</v>
      </c>
      <c r="E426" t="s">
        <v>78</v>
      </c>
      <c r="F426" t="s">
        <v>350</v>
      </c>
      <c r="G426">
        <v>2</v>
      </c>
      <c r="H426">
        <v>686.57</v>
      </c>
      <c r="I426">
        <v>396.65</v>
      </c>
      <c r="J426" t="s">
        <v>28</v>
      </c>
    </row>
    <row r="427" spans="1:10">
      <c r="A427" t="s">
        <v>644</v>
      </c>
      <c r="B427">
        <v>45892</v>
      </c>
      <c r="C427" t="s">
        <v>645</v>
      </c>
      <c r="D427" t="s">
        <v>12</v>
      </c>
      <c r="E427" t="s">
        <v>36</v>
      </c>
      <c r="F427" t="s">
        <v>646</v>
      </c>
      <c r="G427">
        <v>2</v>
      </c>
      <c r="H427">
        <v>17566.68</v>
      </c>
      <c r="I427">
        <v>14192.92</v>
      </c>
      <c r="J427" t="s">
        <v>38</v>
      </c>
    </row>
    <row r="428" spans="1:10">
      <c r="A428" t="s">
        <v>647</v>
      </c>
      <c r="B428">
        <v>45931</v>
      </c>
      <c r="C428" t="s">
        <v>648</v>
      </c>
      <c r="D428" t="s">
        <v>12</v>
      </c>
      <c r="E428" t="s">
        <v>20</v>
      </c>
      <c r="F428" t="s">
        <v>14</v>
      </c>
      <c r="G428">
        <v>1</v>
      </c>
      <c r="H428">
        <v>1522.66</v>
      </c>
      <c r="I428">
        <v>888.85</v>
      </c>
      <c r="J428" t="s">
        <v>22</v>
      </c>
    </row>
    <row r="429" spans="1:10">
      <c r="A429" t="s">
        <v>649</v>
      </c>
      <c r="B429">
        <v>45662</v>
      </c>
      <c r="C429" t="s">
        <v>259</v>
      </c>
      <c r="D429" t="s">
        <v>19</v>
      </c>
      <c r="E429" t="s">
        <v>82</v>
      </c>
      <c r="F429" t="s">
        <v>97</v>
      </c>
      <c r="G429">
        <v>5</v>
      </c>
      <c r="H429">
        <v>2038.5</v>
      </c>
      <c r="I429">
        <v>1183.74</v>
      </c>
      <c r="J429" t="s">
        <v>22</v>
      </c>
    </row>
    <row r="430" spans="1:10">
      <c r="A430" t="s">
        <v>650</v>
      </c>
      <c r="B430">
        <v>45671</v>
      </c>
      <c r="C430" t="s">
        <v>651</v>
      </c>
      <c r="D430" t="s">
        <v>57</v>
      </c>
      <c r="E430" t="s">
        <v>32</v>
      </c>
      <c r="F430" t="s">
        <v>101</v>
      </c>
      <c r="G430">
        <v>7</v>
      </c>
      <c r="H430">
        <v>322.49</v>
      </c>
      <c r="I430">
        <v>230.79</v>
      </c>
      <c r="J430" t="s">
        <v>71</v>
      </c>
    </row>
    <row r="431" spans="1:10">
      <c r="A431" t="s">
        <v>652</v>
      </c>
      <c r="B431">
        <v>45778</v>
      </c>
      <c r="C431" t="s">
        <v>124</v>
      </c>
      <c r="D431" t="s">
        <v>12</v>
      </c>
      <c r="E431" t="s">
        <v>20</v>
      </c>
      <c r="F431" t="s">
        <v>14</v>
      </c>
      <c r="G431">
        <v>7</v>
      </c>
      <c r="H431">
        <v>2284.8200000000002</v>
      </c>
      <c r="I431">
        <v>1382.84</v>
      </c>
      <c r="J431" t="s">
        <v>22</v>
      </c>
    </row>
    <row r="432" spans="1:10">
      <c r="A432" t="s">
        <v>653</v>
      </c>
      <c r="B432">
        <v>46010</v>
      </c>
      <c r="C432" t="s">
        <v>54</v>
      </c>
      <c r="D432" t="s">
        <v>19</v>
      </c>
      <c r="E432" t="s">
        <v>26</v>
      </c>
      <c r="F432" t="s">
        <v>79</v>
      </c>
      <c r="G432">
        <v>2</v>
      </c>
      <c r="H432">
        <v>1138.72</v>
      </c>
      <c r="I432">
        <v>944.83</v>
      </c>
      <c r="J432" t="s">
        <v>38</v>
      </c>
    </row>
    <row r="433" spans="1:10">
      <c r="A433" t="s">
        <v>654</v>
      </c>
      <c r="B433">
        <v>45748</v>
      </c>
      <c r="C433" t="s">
        <v>117</v>
      </c>
      <c r="D433" t="s">
        <v>12</v>
      </c>
      <c r="E433" t="s">
        <v>36</v>
      </c>
      <c r="F433" t="s">
        <v>113</v>
      </c>
      <c r="G433">
        <v>3</v>
      </c>
      <c r="H433">
        <v>14331.91</v>
      </c>
      <c r="I433">
        <v>10176.66</v>
      </c>
      <c r="J433" t="s">
        <v>16</v>
      </c>
    </row>
    <row r="434" spans="1:10">
      <c r="A434" t="s">
        <v>655</v>
      </c>
      <c r="B434">
        <v>45979</v>
      </c>
      <c r="C434" t="s">
        <v>85</v>
      </c>
      <c r="D434" t="s">
        <v>63</v>
      </c>
      <c r="E434" t="s">
        <v>414</v>
      </c>
      <c r="F434" t="s">
        <v>137</v>
      </c>
      <c r="G434">
        <v>7</v>
      </c>
      <c r="H434">
        <v>3195.6</v>
      </c>
      <c r="I434">
        <v>2181.8000000000002</v>
      </c>
      <c r="J434" t="s">
        <v>38</v>
      </c>
    </row>
    <row r="435" spans="1:10">
      <c r="A435" t="s">
        <v>656</v>
      </c>
      <c r="B435">
        <v>45882</v>
      </c>
      <c r="C435" t="s">
        <v>30</v>
      </c>
      <c r="D435" t="s">
        <v>41</v>
      </c>
      <c r="E435" t="s">
        <v>36</v>
      </c>
      <c r="F435" t="s">
        <v>93</v>
      </c>
      <c r="G435">
        <v>-2</v>
      </c>
      <c r="H435">
        <v>10129.89</v>
      </c>
      <c r="I435">
        <v>8093.25</v>
      </c>
      <c r="J435" t="s">
        <v>16</v>
      </c>
    </row>
    <row r="436" spans="1:10">
      <c r="A436" t="s">
        <v>657</v>
      </c>
      <c r="B436">
        <v>45799</v>
      </c>
      <c r="C436" t="s">
        <v>24</v>
      </c>
      <c r="D436" t="s">
        <v>31</v>
      </c>
      <c r="E436" t="s">
        <v>26</v>
      </c>
      <c r="F436" t="s">
        <v>350</v>
      </c>
      <c r="G436">
        <v>4</v>
      </c>
      <c r="H436">
        <v>2220.6799999999998</v>
      </c>
      <c r="I436">
        <v>1363.93</v>
      </c>
      <c r="J436" t="s">
        <v>28</v>
      </c>
    </row>
    <row r="437" spans="1:10">
      <c r="A437" t="s">
        <v>658</v>
      </c>
      <c r="B437">
        <v>45762</v>
      </c>
      <c r="C437" t="s">
        <v>56</v>
      </c>
      <c r="D437" t="s">
        <v>31</v>
      </c>
      <c r="E437" t="s">
        <v>26</v>
      </c>
      <c r="F437" t="s">
        <v>350</v>
      </c>
      <c r="G437">
        <v>6</v>
      </c>
      <c r="H437">
        <v>1025.73</v>
      </c>
      <c r="I437">
        <v>698.12</v>
      </c>
      <c r="J437" t="s">
        <v>22</v>
      </c>
    </row>
    <row r="438" spans="1:10">
      <c r="A438" t="s">
        <v>659</v>
      </c>
      <c r="B438">
        <v>45689</v>
      </c>
      <c r="C438" t="s">
        <v>382</v>
      </c>
      <c r="D438" t="s">
        <v>41</v>
      </c>
      <c r="E438" t="s">
        <v>36</v>
      </c>
      <c r="F438" t="s">
        <v>660</v>
      </c>
      <c r="G438">
        <v>8</v>
      </c>
      <c r="H438" t="s">
        <v>661</v>
      </c>
      <c r="I438">
        <v>1380.5</v>
      </c>
      <c r="J438" t="s">
        <v>28</v>
      </c>
    </row>
    <row r="439" spans="1:10">
      <c r="A439" t="s">
        <v>662</v>
      </c>
      <c r="B439">
        <v>45825</v>
      </c>
      <c r="C439" t="s">
        <v>59</v>
      </c>
      <c r="D439" t="s">
        <v>12</v>
      </c>
      <c r="E439" t="s">
        <v>26</v>
      </c>
      <c r="F439" t="s">
        <v>106</v>
      </c>
      <c r="G439">
        <v>4</v>
      </c>
      <c r="H439">
        <v>1727.77</v>
      </c>
      <c r="I439">
        <v>1142.7</v>
      </c>
      <c r="J439" t="s">
        <v>28</v>
      </c>
    </row>
    <row r="440" spans="1:10">
      <c r="A440" t="s">
        <v>663</v>
      </c>
      <c r="B440">
        <v>45982</v>
      </c>
      <c r="C440" t="s">
        <v>105</v>
      </c>
      <c r="D440" t="s">
        <v>41</v>
      </c>
      <c r="E440" t="s">
        <v>82</v>
      </c>
      <c r="F440" t="s">
        <v>150</v>
      </c>
      <c r="G440">
        <v>7</v>
      </c>
      <c r="H440">
        <v>757.24</v>
      </c>
      <c r="I440">
        <v>547.52</v>
      </c>
      <c r="J440" t="s">
        <v>22</v>
      </c>
    </row>
    <row r="441" spans="1:10">
      <c r="A441" t="s">
        <v>664</v>
      </c>
      <c r="B441">
        <v>45665</v>
      </c>
      <c r="C441" t="s">
        <v>54</v>
      </c>
      <c r="D441" t="s">
        <v>312</v>
      </c>
      <c r="E441" t="s">
        <v>26</v>
      </c>
      <c r="F441" t="s">
        <v>350</v>
      </c>
      <c r="G441">
        <v>2</v>
      </c>
      <c r="H441">
        <v>2212.42</v>
      </c>
      <c r="I441">
        <v>1881.32</v>
      </c>
      <c r="J441" t="s">
        <v>71</v>
      </c>
    </row>
    <row r="442" spans="1:10">
      <c r="A442" t="s">
        <v>665</v>
      </c>
      <c r="B442">
        <v>45871</v>
      </c>
      <c r="C442" t="s">
        <v>74</v>
      </c>
      <c r="D442" t="s">
        <v>57</v>
      </c>
      <c r="E442" t="s">
        <v>32</v>
      </c>
      <c r="F442" t="s">
        <v>163</v>
      </c>
      <c r="G442">
        <v>4</v>
      </c>
      <c r="H442">
        <v>1208.97</v>
      </c>
      <c r="I442">
        <v>1005.22</v>
      </c>
      <c r="J442" t="s">
        <v>16</v>
      </c>
    </row>
    <row r="443" spans="1:10">
      <c r="A443" t="s">
        <v>666</v>
      </c>
      <c r="B443">
        <v>45705</v>
      </c>
      <c r="C443" t="s">
        <v>129</v>
      </c>
      <c r="D443" t="s">
        <v>31</v>
      </c>
      <c r="E443" t="s">
        <v>26</v>
      </c>
      <c r="F443" t="s">
        <v>103</v>
      </c>
      <c r="G443">
        <v>5</v>
      </c>
      <c r="H443">
        <v>1944.34</v>
      </c>
      <c r="I443">
        <v>1555.13</v>
      </c>
      <c r="J443" t="s">
        <v>71</v>
      </c>
    </row>
    <row r="444" spans="1:10">
      <c r="A444" t="s">
        <v>667</v>
      </c>
      <c r="B444">
        <v>45819</v>
      </c>
      <c r="C444" t="s">
        <v>582</v>
      </c>
      <c r="D444" t="s">
        <v>57</v>
      </c>
      <c r="E444" t="s">
        <v>32</v>
      </c>
      <c r="F444" t="s">
        <v>52</v>
      </c>
      <c r="G444">
        <v>7</v>
      </c>
      <c r="H444">
        <v>1071.57</v>
      </c>
      <c r="I444">
        <v>930.26</v>
      </c>
      <c r="J444" t="s">
        <v>71</v>
      </c>
    </row>
    <row r="445" spans="1:10">
      <c r="A445" t="s">
        <v>668</v>
      </c>
      <c r="B445">
        <v>45828</v>
      </c>
      <c r="C445" t="s">
        <v>121</v>
      </c>
      <c r="D445" t="s">
        <v>19</v>
      </c>
      <c r="E445" t="s">
        <v>36</v>
      </c>
      <c r="F445" t="s">
        <v>113</v>
      </c>
      <c r="G445">
        <v>2</v>
      </c>
      <c r="H445">
        <v>7064.44</v>
      </c>
      <c r="I445">
        <v>6041.17</v>
      </c>
      <c r="J445" t="s">
        <v>16</v>
      </c>
    </row>
    <row r="446" spans="1:10">
      <c r="A446" t="s">
        <v>669</v>
      </c>
      <c r="B446">
        <v>45665</v>
      </c>
      <c r="C446" t="s">
        <v>249</v>
      </c>
      <c r="D446" t="s">
        <v>31</v>
      </c>
      <c r="E446" t="s">
        <v>20</v>
      </c>
      <c r="F446" t="s">
        <v>196</v>
      </c>
      <c r="G446">
        <v>2</v>
      </c>
      <c r="H446">
        <v>5555.48</v>
      </c>
      <c r="I446">
        <v>4063.09</v>
      </c>
      <c r="J446" t="s">
        <v>38</v>
      </c>
    </row>
    <row r="447" spans="1:10">
      <c r="A447" t="s">
        <v>670</v>
      </c>
      <c r="B447">
        <v>45674</v>
      </c>
      <c r="C447" t="s">
        <v>133</v>
      </c>
      <c r="D447" t="s">
        <v>41</v>
      </c>
      <c r="E447" t="s">
        <v>26</v>
      </c>
      <c r="F447" t="s">
        <v>79</v>
      </c>
      <c r="G447">
        <v>5</v>
      </c>
      <c r="H447">
        <v>1634.18</v>
      </c>
      <c r="I447">
        <v>1044.29</v>
      </c>
      <c r="J447" t="s">
        <v>38</v>
      </c>
    </row>
    <row r="448" spans="1:10">
      <c r="A448" t="s">
        <v>671</v>
      </c>
      <c r="B448">
        <v>45860</v>
      </c>
      <c r="C448" t="s">
        <v>672</v>
      </c>
      <c r="D448" t="s">
        <v>31</v>
      </c>
      <c r="E448" t="s">
        <v>26</v>
      </c>
      <c r="F448" t="s">
        <v>68</v>
      </c>
      <c r="G448">
        <v>1</v>
      </c>
      <c r="H448">
        <v>1109.49</v>
      </c>
      <c r="I448">
        <v>655.47</v>
      </c>
      <c r="J448" t="s">
        <v>22</v>
      </c>
    </row>
    <row r="449" spans="1:10">
      <c r="A449" t="s">
        <v>673</v>
      </c>
      <c r="B449">
        <v>45786</v>
      </c>
      <c r="C449" t="s">
        <v>124</v>
      </c>
      <c r="D449" t="s">
        <v>31</v>
      </c>
      <c r="E449" t="s">
        <v>26</v>
      </c>
      <c r="F449" t="s">
        <v>27</v>
      </c>
      <c r="G449">
        <v>4</v>
      </c>
      <c r="H449">
        <v>2313.94</v>
      </c>
      <c r="I449">
        <v>1693.29</v>
      </c>
      <c r="J449" t="s">
        <v>71</v>
      </c>
    </row>
    <row r="450" spans="1:10">
      <c r="A450" t="s">
        <v>674</v>
      </c>
      <c r="B450">
        <v>45964</v>
      </c>
      <c r="C450" t="s">
        <v>24</v>
      </c>
      <c r="D450" t="s">
        <v>19</v>
      </c>
      <c r="E450" t="s">
        <v>82</v>
      </c>
      <c r="F450" t="s">
        <v>155</v>
      </c>
      <c r="G450">
        <v>1</v>
      </c>
      <c r="H450">
        <v>435.38</v>
      </c>
      <c r="I450">
        <v>311.95</v>
      </c>
      <c r="J450" t="s">
        <v>28</v>
      </c>
    </row>
    <row r="451" spans="1:10">
      <c r="A451" t="s">
        <v>675</v>
      </c>
      <c r="B451">
        <v>46006</v>
      </c>
      <c r="C451" t="s">
        <v>108</v>
      </c>
      <c r="D451" t="s">
        <v>31</v>
      </c>
      <c r="E451" t="s">
        <v>32</v>
      </c>
      <c r="F451" t="s">
        <v>180</v>
      </c>
      <c r="G451">
        <v>4</v>
      </c>
      <c r="H451">
        <v>1848.91</v>
      </c>
      <c r="I451">
        <v>1315.15</v>
      </c>
      <c r="J451" t="s">
        <v>38</v>
      </c>
    </row>
    <row r="452" spans="1:10">
      <c r="A452" t="s">
        <v>676</v>
      </c>
      <c r="B452">
        <v>45728</v>
      </c>
      <c r="C452" t="s">
        <v>24</v>
      </c>
      <c r="D452" t="s">
        <v>12</v>
      </c>
      <c r="E452" t="s">
        <v>36</v>
      </c>
      <c r="F452" t="s">
        <v>42</v>
      </c>
      <c r="G452">
        <v>7</v>
      </c>
      <c r="H452">
        <v>12098.26</v>
      </c>
      <c r="I452">
        <v>10187.39</v>
      </c>
      <c r="J452" t="s">
        <v>22</v>
      </c>
    </row>
    <row r="453" spans="1:10">
      <c r="A453" t="s">
        <v>677</v>
      </c>
      <c r="B453">
        <v>45911</v>
      </c>
      <c r="C453" t="s">
        <v>678</v>
      </c>
      <c r="D453" t="s">
        <v>63</v>
      </c>
      <c r="E453" t="s">
        <v>26</v>
      </c>
      <c r="F453" t="s">
        <v>27</v>
      </c>
      <c r="G453">
        <v>6</v>
      </c>
      <c r="H453">
        <v>840.98</v>
      </c>
      <c r="I453">
        <v>521.41</v>
      </c>
      <c r="J453" t="s">
        <v>22</v>
      </c>
    </row>
    <row r="454" spans="1:10">
      <c r="A454" t="s">
        <v>679</v>
      </c>
      <c r="B454">
        <v>46020</v>
      </c>
      <c r="C454" t="s">
        <v>85</v>
      </c>
      <c r="D454" t="s">
        <v>57</v>
      </c>
      <c r="E454" t="s">
        <v>82</v>
      </c>
      <c r="F454" t="s">
        <v>109</v>
      </c>
      <c r="G454">
        <v>5</v>
      </c>
      <c r="H454">
        <v>6863.1</v>
      </c>
      <c r="I454">
        <v>3778.29</v>
      </c>
      <c r="J454" t="s">
        <v>16</v>
      </c>
    </row>
    <row r="455" spans="1:10">
      <c r="A455" t="s">
        <v>680</v>
      </c>
      <c r="B455">
        <v>45952</v>
      </c>
      <c r="C455" t="s">
        <v>105</v>
      </c>
      <c r="D455" t="s">
        <v>57</v>
      </c>
      <c r="E455" t="s">
        <v>36</v>
      </c>
      <c r="F455" t="s">
        <v>46</v>
      </c>
      <c r="G455">
        <v>1</v>
      </c>
      <c r="H455">
        <v>2346.41</v>
      </c>
      <c r="I455">
        <v>1511.86</v>
      </c>
      <c r="J455" t="s">
        <v>28</v>
      </c>
    </row>
    <row r="456" spans="1:10">
      <c r="A456" t="s">
        <v>681</v>
      </c>
      <c r="B456">
        <v>45960</v>
      </c>
      <c r="C456" t="s">
        <v>162</v>
      </c>
      <c r="D456" t="s">
        <v>12</v>
      </c>
      <c r="E456" t="s">
        <v>20</v>
      </c>
      <c r="F456" t="s">
        <v>196</v>
      </c>
      <c r="G456">
        <v>6</v>
      </c>
      <c r="H456">
        <v>5283.35</v>
      </c>
      <c r="I456">
        <v>4430</v>
      </c>
      <c r="J456" t="s">
        <v>28</v>
      </c>
    </row>
    <row r="457" spans="1:10">
      <c r="A457" t="s">
        <v>682</v>
      </c>
      <c r="B457">
        <v>45778</v>
      </c>
      <c r="C457" t="s">
        <v>259</v>
      </c>
      <c r="D457" t="s">
        <v>31</v>
      </c>
      <c r="E457" t="s">
        <v>32</v>
      </c>
      <c r="F457" t="s">
        <v>99</v>
      </c>
      <c r="G457">
        <v>8</v>
      </c>
      <c r="H457">
        <v>887.36</v>
      </c>
      <c r="I457">
        <v>603.66</v>
      </c>
      <c r="J457" t="s">
        <v>16</v>
      </c>
    </row>
    <row r="458" spans="1:10">
      <c r="A458" t="s">
        <v>683</v>
      </c>
      <c r="B458">
        <v>45953</v>
      </c>
      <c r="C458" t="s">
        <v>175</v>
      </c>
      <c r="D458" t="s">
        <v>41</v>
      </c>
      <c r="E458" t="s">
        <v>82</v>
      </c>
      <c r="F458" t="s">
        <v>155</v>
      </c>
      <c r="G458">
        <v>4</v>
      </c>
      <c r="H458">
        <v>6854.11</v>
      </c>
      <c r="I458">
        <v>5284.85</v>
      </c>
      <c r="J458" t="s">
        <v>22</v>
      </c>
    </row>
    <row r="459" spans="1:10">
      <c r="A459" t="s">
        <v>684</v>
      </c>
      <c r="B459">
        <v>45916</v>
      </c>
      <c r="C459" t="s">
        <v>18</v>
      </c>
      <c r="D459" t="s">
        <v>41</v>
      </c>
      <c r="E459" t="s">
        <v>36</v>
      </c>
      <c r="F459" t="s">
        <v>113</v>
      </c>
      <c r="G459">
        <v>3</v>
      </c>
      <c r="H459">
        <v>3006.07</v>
      </c>
      <c r="I459">
        <v>2358.7600000000002</v>
      </c>
      <c r="J459" t="s">
        <v>16</v>
      </c>
    </row>
    <row r="460" spans="1:10">
      <c r="A460" t="s">
        <v>685</v>
      </c>
      <c r="B460">
        <v>45807</v>
      </c>
      <c r="C460" t="s">
        <v>24</v>
      </c>
      <c r="D460" t="s">
        <v>19</v>
      </c>
      <c r="E460" t="s">
        <v>20</v>
      </c>
      <c r="F460" t="s">
        <v>91</v>
      </c>
      <c r="G460">
        <v>8</v>
      </c>
      <c r="H460">
        <v>4690.8100000000004</v>
      </c>
      <c r="I460">
        <v>3351.44</v>
      </c>
      <c r="J460" t="s">
        <v>16</v>
      </c>
    </row>
    <row r="461" spans="1:10">
      <c r="A461" t="s">
        <v>686</v>
      </c>
      <c r="B461">
        <v>45880</v>
      </c>
      <c r="C461" t="s">
        <v>117</v>
      </c>
      <c r="D461" t="s">
        <v>41</v>
      </c>
      <c r="E461" t="s">
        <v>26</v>
      </c>
      <c r="F461" t="s">
        <v>79</v>
      </c>
      <c r="G461">
        <v>5</v>
      </c>
      <c r="H461">
        <v>2328.2800000000002</v>
      </c>
      <c r="I461">
        <v>1888.67</v>
      </c>
      <c r="J461" t="s">
        <v>16</v>
      </c>
    </row>
    <row r="462" spans="1:10">
      <c r="A462" t="s">
        <v>687</v>
      </c>
      <c r="B462">
        <v>45837</v>
      </c>
      <c r="C462" t="s">
        <v>18</v>
      </c>
      <c r="D462" t="s">
        <v>41</v>
      </c>
      <c r="E462" t="s">
        <v>82</v>
      </c>
      <c r="F462" t="s">
        <v>155</v>
      </c>
      <c r="G462">
        <v>7</v>
      </c>
      <c r="H462">
        <v>1495.48</v>
      </c>
      <c r="I462">
        <v>891.23</v>
      </c>
      <c r="J462" t="s">
        <v>71</v>
      </c>
    </row>
    <row r="463" spans="1:10">
      <c r="A463" t="s">
        <v>688</v>
      </c>
      <c r="B463">
        <v>45742</v>
      </c>
      <c r="C463" t="s">
        <v>689</v>
      </c>
      <c r="D463" t="s">
        <v>75</v>
      </c>
      <c r="E463" t="s">
        <v>36</v>
      </c>
      <c r="F463" t="s">
        <v>42</v>
      </c>
      <c r="G463">
        <v>4</v>
      </c>
      <c r="H463">
        <v>9723.5</v>
      </c>
      <c r="I463">
        <v>7118.87</v>
      </c>
      <c r="J463" t="s">
        <v>22</v>
      </c>
    </row>
    <row r="464" spans="1:10">
      <c r="A464" t="s">
        <v>690</v>
      </c>
      <c r="B464">
        <v>46022</v>
      </c>
      <c r="C464" t="s">
        <v>40</v>
      </c>
      <c r="D464" t="s">
        <v>12</v>
      </c>
      <c r="E464" t="s">
        <v>36</v>
      </c>
      <c r="F464" t="s">
        <v>42</v>
      </c>
      <c r="G464">
        <v>7</v>
      </c>
      <c r="H464">
        <v>7700.1</v>
      </c>
      <c r="I464">
        <v>5724.51</v>
      </c>
      <c r="J464" t="s">
        <v>16</v>
      </c>
    </row>
    <row r="465" spans="1:10">
      <c r="A465" t="s">
        <v>691</v>
      </c>
      <c r="B465">
        <v>46006</v>
      </c>
      <c r="C465" t="s">
        <v>129</v>
      </c>
      <c r="D465" t="s">
        <v>19</v>
      </c>
      <c r="E465" t="s">
        <v>82</v>
      </c>
      <c r="F465" t="s">
        <v>150</v>
      </c>
      <c r="G465">
        <v>2</v>
      </c>
      <c r="H465">
        <v>4899.29</v>
      </c>
      <c r="I465">
        <v>3562.76</v>
      </c>
      <c r="J465" t="s">
        <v>22</v>
      </c>
    </row>
    <row r="466" spans="1:10">
      <c r="A466" t="s">
        <v>692</v>
      </c>
      <c r="B466">
        <v>45903</v>
      </c>
      <c r="C466" t="s">
        <v>175</v>
      </c>
      <c r="D466" t="s">
        <v>12</v>
      </c>
      <c r="E466" t="s">
        <v>182</v>
      </c>
      <c r="F466" t="s">
        <v>79</v>
      </c>
      <c r="G466">
        <v>7</v>
      </c>
      <c r="H466">
        <v>2441.29</v>
      </c>
      <c r="I466">
        <v>2062.83</v>
      </c>
      <c r="J466" t="s">
        <v>38</v>
      </c>
    </row>
    <row r="467" spans="1:10">
      <c r="A467" t="s">
        <v>693</v>
      </c>
      <c r="B467">
        <v>45847</v>
      </c>
      <c r="C467" t="s">
        <v>133</v>
      </c>
      <c r="D467" t="s">
        <v>57</v>
      </c>
      <c r="E467" t="s">
        <v>26</v>
      </c>
      <c r="F467" t="s">
        <v>106</v>
      </c>
      <c r="G467">
        <v>3</v>
      </c>
      <c r="H467">
        <v>1698.77</v>
      </c>
      <c r="I467">
        <v>1081.93</v>
      </c>
      <c r="J467" t="s">
        <v>28</v>
      </c>
    </row>
    <row r="468" spans="1:10">
      <c r="A468" t="s">
        <v>694</v>
      </c>
      <c r="B468">
        <v>45729</v>
      </c>
      <c r="C468" t="s">
        <v>108</v>
      </c>
      <c r="D468" t="s">
        <v>31</v>
      </c>
      <c r="E468" t="s">
        <v>20</v>
      </c>
      <c r="F468" t="s">
        <v>196</v>
      </c>
      <c r="G468">
        <v>8</v>
      </c>
      <c r="H468">
        <v>1375.72</v>
      </c>
      <c r="I468">
        <v>1013.77</v>
      </c>
      <c r="J468" t="s">
        <v>38</v>
      </c>
    </row>
    <row r="469" spans="1:10">
      <c r="A469" t="s">
        <v>695</v>
      </c>
      <c r="B469">
        <v>45958</v>
      </c>
      <c r="C469" t="s">
        <v>11</v>
      </c>
      <c r="D469" t="s">
        <v>63</v>
      </c>
      <c r="E469" t="s">
        <v>26</v>
      </c>
      <c r="F469" t="s">
        <v>131</v>
      </c>
      <c r="G469">
        <v>8</v>
      </c>
      <c r="H469">
        <v>1595.46</v>
      </c>
      <c r="I469">
        <v>974.32</v>
      </c>
      <c r="J469" t="s">
        <v>16</v>
      </c>
    </row>
    <row r="470" spans="1:10">
      <c r="A470" t="s">
        <v>696</v>
      </c>
      <c r="B470">
        <v>45823</v>
      </c>
      <c r="C470" t="s">
        <v>115</v>
      </c>
      <c r="D470" t="s">
        <v>19</v>
      </c>
      <c r="E470" t="s">
        <v>20</v>
      </c>
      <c r="F470" t="s">
        <v>191</v>
      </c>
      <c r="G470">
        <v>5</v>
      </c>
      <c r="H470">
        <v>2565.3200000000002</v>
      </c>
      <c r="I470">
        <v>2111.66</v>
      </c>
      <c r="J470" t="s">
        <v>16</v>
      </c>
    </row>
    <row r="471" spans="1:10">
      <c r="A471" t="s">
        <v>697</v>
      </c>
      <c r="B471">
        <v>45722</v>
      </c>
      <c r="C471" t="s">
        <v>11</v>
      </c>
      <c r="D471" t="s">
        <v>12</v>
      </c>
      <c r="E471" t="s">
        <v>96</v>
      </c>
      <c r="F471" t="s">
        <v>83</v>
      </c>
      <c r="G471">
        <v>4</v>
      </c>
      <c r="H471">
        <v>3042.66</v>
      </c>
      <c r="I471">
        <v>1729.69</v>
      </c>
    </row>
    <row r="472" spans="1:10">
      <c r="A472" t="s">
        <v>698</v>
      </c>
      <c r="B472">
        <v>45662</v>
      </c>
      <c r="C472" t="s">
        <v>108</v>
      </c>
      <c r="D472" t="s">
        <v>41</v>
      </c>
      <c r="E472" t="s">
        <v>82</v>
      </c>
      <c r="F472" t="s">
        <v>137</v>
      </c>
      <c r="G472">
        <v>5</v>
      </c>
      <c r="H472">
        <v>2260.1799999999998</v>
      </c>
      <c r="I472">
        <v>1501.64</v>
      </c>
      <c r="J472" t="s">
        <v>28</v>
      </c>
    </row>
    <row r="473" spans="1:10">
      <c r="A473" t="s">
        <v>699</v>
      </c>
      <c r="B473">
        <v>45955</v>
      </c>
      <c r="C473" t="s">
        <v>175</v>
      </c>
      <c r="D473" t="s">
        <v>63</v>
      </c>
      <c r="E473" t="s">
        <v>32</v>
      </c>
      <c r="F473" t="s">
        <v>101</v>
      </c>
      <c r="G473">
        <v>7</v>
      </c>
      <c r="H473">
        <v>1667.64</v>
      </c>
      <c r="I473">
        <v>1352.3</v>
      </c>
      <c r="J473" t="s">
        <v>16</v>
      </c>
    </row>
    <row r="474" spans="1:10">
      <c r="A474" t="s">
        <v>700</v>
      </c>
      <c r="B474">
        <v>45969</v>
      </c>
      <c r="C474" t="s">
        <v>11</v>
      </c>
      <c r="D474" t="s">
        <v>63</v>
      </c>
      <c r="E474" t="s">
        <v>20</v>
      </c>
      <c r="F474" t="s">
        <v>196</v>
      </c>
      <c r="G474">
        <v>7</v>
      </c>
      <c r="H474">
        <v>713.3</v>
      </c>
      <c r="I474">
        <v>601.71</v>
      </c>
      <c r="J474" t="s">
        <v>22</v>
      </c>
    </row>
    <row r="475" spans="1:10">
      <c r="A475" t="s">
        <v>701</v>
      </c>
      <c r="B475">
        <v>45816</v>
      </c>
      <c r="C475" t="s">
        <v>133</v>
      </c>
      <c r="D475" t="s">
        <v>19</v>
      </c>
      <c r="E475" t="s">
        <v>20</v>
      </c>
      <c r="F475" t="s">
        <v>86</v>
      </c>
      <c r="G475">
        <v>1</v>
      </c>
      <c r="H475">
        <v>3678.66</v>
      </c>
      <c r="I475">
        <v>3051.25</v>
      </c>
      <c r="J475" t="s">
        <v>71</v>
      </c>
    </row>
    <row r="476" spans="1:10">
      <c r="A476" t="s">
        <v>702</v>
      </c>
      <c r="B476">
        <v>45978</v>
      </c>
      <c r="C476" t="s">
        <v>121</v>
      </c>
      <c r="D476" t="s">
        <v>41</v>
      </c>
      <c r="E476" t="s">
        <v>32</v>
      </c>
      <c r="F476" t="s">
        <v>101</v>
      </c>
      <c r="G476">
        <v>3</v>
      </c>
      <c r="H476">
        <v>470.37</v>
      </c>
      <c r="I476">
        <v>279.13</v>
      </c>
      <c r="J476" t="s">
        <v>71</v>
      </c>
    </row>
    <row r="477" spans="1:10">
      <c r="A477" t="s">
        <v>703</v>
      </c>
      <c r="B477">
        <v>45856</v>
      </c>
      <c r="C477" t="s">
        <v>67</v>
      </c>
      <c r="D477" t="s">
        <v>12</v>
      </c>
      <c r="E477" t="s">
        <v>20</v>
      </c>
      <c r="F477" t="s">
        <v>86</v>
      </c>
      <c r="G477">
        <v>7</v>
      </c>
      <c r="H477">
        <v>2067.15</v>
      </c>
      <c r="I477">
        <v>1650.3</v>
      </c>
      <c r="J477" t="s">
        <v>71</v>
      </c>
    </row>
    <row r="478" spans="1:10">
      <c r="A478" t="s">
        <v>704</v>
      </c>
      <c r="B478">
        <v>45827</v>
      </c>
      <c r="C478" t="s">
        <v>231</v>
      </c>
      <c r="D478" t="s">
        <v>593</v>
      </c>
      <c r="E478" t="s">
        <v>20</v>
      </c>
      <c r="F478" t="s">
        <v>21</v>
      </c>
      <c r="G478">
        <v>0</v>
      </c>
      <c r="H478">
        <v>1349.82</v>
      </c>
      <c r="I478">
        <v>767.29</v>
      </c>
      <c r="J478" t="s">
        <v>22</v>
      </c>
    </row>
    <row r="479" spans="1:10">
      <c r="A479" t="s">
        <v>705</v>
      </c>
      <c r="B479">
        <v>45723</v>
      </c>
      <c r="C479" t="s">
        <v>231</v>
      </c>
      <c r="D479" t="s">
        <v>31</v>
      </c>
      <c r="E479" t="s">
        <v>82</v>
      </c>
      <c r="F479" t="s">
        <v>150</v>
      </c>
      <c r="H479">
        <v>5659.02</v>
      </c>
      <c r="I479">
        <v>3675.22</v>
      </c>
      <c r="J479" t="s">
        <v>38</v>
      </c>
    </row>
    <row r="480" spans="1:10">
      <c r="A480" t="s">
        <v>706</v>
      </c>
      <c r="B480">
        <v>45794</v>
      </c>
      <c r="C480" t="s">
        <v>35</v>
      </c>
      <c r="D480" t="s">
        <v>63</v>
      </c>
      <c r="E480" t="s">
        <v>36</v>
      </c>
      <c r="F480" t="s">
        <v>46</v>
      </c>
      <c r="G480">
        <v>3</v>
      </c>
      <c r="H480">
        <v>16763.2</v>
      </c>
      <c r="I480">
        <v>11643.36</v>
      </c>
      <c r="J480" t="s">
        <v>28</v>
      </c>
    </row>
    <row r="481" spans="1:10">
      <c r="A481" t="s">
        <v>707</v>
      </c>
      <c r="B481">
        <v>45874</v>
      </c>
      <c r="C481" t="s">
        <v>105</v>
      </c>
      <c r="D481" t="s">
        <v>63</v>
      </c>
      <c r="E481" t="s">
        <v>26</v>
      </c>
      <c r="F481" t="s">
        <v>131</v>
      </c>
      <c r="G481">
        <v>2</v>
      </c>
      <c r="H481">
        <v>2929.3</v>
      </c>
      <c r="I481">
        <v>2286.3200000000002</v>
      </c>
      <c r="J481" t="s">
        <v>38</v>
      </c>
    </row>
    <row r="482" spans="1:10">
      <c r="A482" t="s">
        <v>708</v>
      </c>
      <c r="B482">
        <v>45777</v>
      </c>
      <c r="C482" t="s">
        <v>135</v>
      </c>
      <c r="D482" t="s">
        <v>57</v>
      </c>
      <c r="E482" t="s">
        <v>26</v>
      </c>
      <c r="F482" t="s">
        <v>27</v>
      </c>
      <c r="G482">
        <v>2</v>
      </c>
      <c r="H482">
        <v>1485.41</v>
      </c>
      <c r="I482">
        <v>1039.23</v>
      </c>
      <c r="J482" t="s">
        <v>22</v>
      </c>
    </row>
    <row r="483" spans="1:10">
      <c r="A483" t="s">
        <v>709</v>
      </c>
      <c r="B483">
        <v>45781</v>
      </c>
      <c r="C483" t="s">
        <v>115</v>
      </c>
      <c r="D483" t="s">
        <v>41</v>
      </c>
      <c r="E483" t="s">
        <v>26</v>
      </c>
      <c r="F483" t="s">
        <v>106</v>
      </c>
      <c r="G483">
        <v>4</v>
      </c>
      <c r="H483">
        <v>3366.41</v>
      </c>
      <c r="I483">
        <v>2609.7800000000002</v>
      </c>
      <c r="J483" t="s">
        <v>22</v>
      </c>
    </row>
    <row r="484" spans="1:10">
      <c r="A484" t="s">
        <v>710</v>
      </c>
      <c r="B484">
        <v>45868</v>
      </c>
      <c r="C484" t="s">
        <v>711</v>
      </c>
      <c r="D484" t="s">
        <v>57</v>
      </c>
      <c r="E484" t="s">
        <v>26</v>
      </c>
      <c r="F484" t="s">
        <v>106</v>
      </c>
      <c r="G484">
        <v>6</v>
      </c>
      <c r="H484">
        <v>3045.6</v>
      </c>
      <c r="I484">
        <v>2590.8200000000002</v>
      </c>
      <c r="J484" t="s">
        <v>71</v>
      </c>
    </row>
    <row r="485" spans="1:10">
      <c r="A485" t="s">
        <v>712</v>
      </c>
      <c r="B485">
        <v>45692</v>
      </c>
      <c r="C485" t="s">
        <v>220</v>
      </c>
      <c r="D485" t="s">
        <v>12</v>
      </c>
      <c r="E485" t="s">
        <v>36</v>
      </c>
      <c r="F485" t="s">
        <v>113</v>
      </c>
      <c r="G485">
        <v>1</v>
      </c>
      <c r="H485">
        <v>5383.37</v>
      </c>
      <c r="I485">
        <v>3031.61</v>
      </c>
      <c r="J485" t="s">
        <v>16</v>
      </c>
    </row>
    <row r="486" spans="1:10">
      <c r="A486" t="s">
        <v>713</v>
      </c>
      <c r="B486">
        <v>45715</v>
      </c>
      <c r="C486" t="s">
        <v>30</v>
      </c>
      <c r="D486" t="s">
        <v>41</v>
      </c>
      <c r="E486" t="s">
        <v>32</v>
      </c>
      <c r="F486" t="s">
        <v>163</v>
      </c>
      <c r="G486">
        <v>8</v>
      </c>
      <c r="H486">
        <v>589.99</v>
      </c>
      <c r="I486">
        <v>345.94</v>
      </c>
      <c r="J486" t="s">
        <v>16</v>
      </c>
    </row>
    <row r="487" spans="1:10">
      <c r="A487" t="s">
        <v>714</v>
      </c>
      <c r="B487">
        <v>45690</v>
      </c>
      <c r="C487" t="s">
        <v>67</v>
      </c>
      <c r="D487" t="s">
        <v>63</v>
      </c>
      <c r="E487" t="s">
        <v>36</v>
      </c>
      <c r="F487" t="s">
        <v>88</v>
      </c>
      <c r="G487">
        <v>6</v>
      </c>
      <c r="H487">
        <v>-718.66</v>
      </c>
      <c r="I487">
        <v>883.05</v>
      </c>
      <c r="J487" t="s">
        <v>28</v>
      </c>
    </row>
    <row r="488" spans="1:10">
      <c r="A488" t="s">
        <v>715</v>
      </c>
      <c r="B488">
        <v>45668</v>
      </c>
      <c r="C488" t="s">
        <v>56</v>
      </c>
      <c r="D488" t="s">
        <v>41</v>
      </c>
      <c r="E488" t="s">
        <v>36</v>
      </c>
      <c r="F488" t="s">
        <v>46</v>
      </c>
      <c r="G488">
        <v>2</v>
      </c>
      <c r="H488">
        <v>6181.31</v>
      </c>
      <c r="I488">
        <v>4904.9399999999996</v>
      </c>
      <c r="J488" t="s">
        <v>71</v>
      </c>
    </row>
    <row r="489" spans="1:10">
      <c r="A489" t="s">
        <v>716</v>
      </c>
      <c r="B489">
        <v>45686</v>
      </c>
      <c r="C489" t="s">
        <v>162</v>
      </c>
      <c r="D489" t="s">
        <v>63</v>
      </c>
      <c r="E489" t="s">
        <v>82</v>
      </c>
      <c r="F489" t="s">
        <v>137</v>
      </c>
      <c r="G489">
        <v>8</v>
      </c>
      <c r="H489">
        <v>-538.55999999999995</v>
      </c>
      <c r="I489">
        <v>3673.85</v>
      </c>
      <c r="J489" t="s">
        <v>71</v>
      </c>
    </row>
    <row r="490" spans="1:10">
      <c r="A490" t="s">
        <v>717</v>
      </c>
      <c r="B490">
        <v>45951</v>
      </c>
      <c r="C490" t="s">
        <v>30</v>
      </c>
      <c r="D490" t="s">
        <v>12</v>
      </c>
      <c r="E490" t="s">
        <v>96</v>
      </c>
      <c r="F490" t="s">
        <v>97</v>
      </c>
      <c r="G490">
        <v>8</v>
      </c>
      <c r="H490">
        <v>2206.58</v>
      </c>
      <c r="I490">
        <v>1756.37</v>
      </c>
      <c r="J490" t="s">
        <v>38</v>
      </c>
    </row>
    <row r="491" spans="1:10">
      <c r="A491" t="s">
        <v>718</v>
      </c>
      <c r="B491">
        <v>45715</v>
      </c>
      <c r="C491" t="s">
        <v>162</v>
      </c>
      <c r="D491" t="s">
        <v>63</v>
      </c>
      <c r="E491" t="s">
        <v>20</v>
      </c>
      <c r="F491" t="s">
        <v>21</v>
      </c>
      <c r="G491">
        <v>6</v>
      </c>
      <c r="H491">
        <v>5527.25</v>
      </c>
      <c r="I491">
        <v>3495.56</v>
      </c>
      <c r="J491" t="s">
        <v>38</v>
      </c>
    </row>
    <row r="492" spans="1:10">
      <c r="A492" t="s">
        <v>719</v>
      </c>
      <c r="B492">
        <v>45981</v>
      </c>
      <c r="C492" t="s">
        <v>720</v>
      </c>
      <c r="D492" t="s">
        <v>57</v>
      </c>
      <c r="E492" t="s">
        <v>26</v>
      </c>
      <c r="F492" t="s">
        <v>106</v>
      </c>
      <c r="G492">
        <v>7</v>
      </c>
      <c r="H492">
        <v>3008.93</v>
      </c>
      <c r="I492">
        <v>1725.75</v>
      </c>
      <c r="J492" t="s">
        <v>71</v>
      </c>
    </row>
    <row r="493" spans="1:10">
      <c r="A493" t="s">
        <v>721</v>
      </c>
      <c r="B493">
        <v>45887</v>
      </c>
      <c r="C493" t="s">
        <v>30</v>
      </c>
      <c r="D493" t="s">
        <v>57</v>
      </c>
      <c r="E493" t="s">
        <v>20</v>
      </c>
      <c r="F493" t="s">
        <v>196</v>
      </c>
      <c r="G493">
        <v>3</v>
      </c>
      <c r="H493">
        <v>2820.35</v>
      </c>
      <c r="I493">
        <v>1810.44</v>
      </c>
      <c r="J493" t="s">
        <v>71</v>
      </c>
    </row>
    <row r="494" spans="1:10">
      <c r="A494" t="s">
        <v>722</v>
      </c>
      <c r="B494">
        <v>45848</v>
      </c>
      <c r="C494" t="s">
        <v>59</v>
      </c>
      <c r="D494" t="s">
        <v>19</v>
      </c>
      <c r="E494" t="s">
        <v>20</v>
      </c>
      <c r="F494" t="s">
        <v>191</v>
      </c>
      <c r="G494">
        <v>5</v>
      </c>
      <c r="H494">
        <v>4733.62</v>
      </c>
      <c r="I494">
        <v>2677.41</v>
      </c>
      <c r="J494" t="s">
        <v>22</v>
      </c>
    </row>
    <row r="495" spans="1:10">
      <c r="A495" t="s">
        <v>723</v>
      </c>
      <c r="B495">
        <v>45811</v>
      </c>
      <c r="C495" t="s">
        <v>35</v>
      </c>
      <c r="D495" t="s">
        <v>63</v>
      </c>
      <c r="E495" t="s">
        <v>26</v>
      </c>
      <c r="F495" t="s">
        <v>79</v>
      </c>
      <c r="G495">
        <v>3</v>
      </c>
      <c r="H495">
        <v>2982.08</v>
      </c>
      <c r="I495">
        <v>2502.69</v>
      </c>
      <c r="J495" t="s">
        <v>71</v>
      </c>
    </row>
    <row r="496" spans="1:10">
      <c r="A496" t="s">
        <v>724</v>
      </c>
      <c r="B496">
        <v>45813</v>
      </c>
      <c r="C496" t="s">
        <v>70</v>
      </c>
      <c r="D496" t="s">
        <v>31</v>
      </c>
      <c r="E496" t="s">
        <v>82</v>
      </c>
      <c r="F496" t="s">
        <v>137</v>
      </c>
      <c r="G496">
        <v>4</v>
      </c>
      <c r="H496">
        <v>2356</v>
      </c>
      <c r="I496">
        <v>1504.56</v>
      </c>
      <c r="J496" t="s">
        <v>16</v>
      </c>
    </row>
    <row r="497" spans="1:10">
      <c r="A497" t="s">
        <v>725</v>
      </c>
      <c r="B497" t="s">
        <v>726</v>
      </c>
      <c r="C497" t="s">
        <v>108</v>
      </c>
      <c r="D497" t="s">
        <v>41</v>
      </c>
      <c r="E497" t="s">
        <v>32</v>
      </c>
      <c r="F497" t="s">
        <v>180</v>
      </c>
      <c r="G497">
        <v>7</v>
      </c>
      <c r="H497">
        <v>1687.09</v>
      </c>
      <c r="I497">
        <v>1451.1</v>
      </c>
      <c r="J497" t="s">
        <v>71</v>
      </c>
    </row>
    <row r="498" spans="1:10">
      <c r="A498" t="s">
        <v>727</v>
      </c>
      <c r="B498">
        <v>45914</v>
      </c>
      <c r="C498" t="s">
        <v>51</v>
      </c>
      <c r="D498" t="s">
        <v>41</v>
      </c>
      <c r="E498" t="s">
        <v>78</v>
      </c>
      <c r="F498" t="s">
        <v>79</v>
      </c>
      <c r="G498">
        <v>5</v>
      </c>
      <c r="H498">
        <v>2555.4</v>
      </c>
      <c r="I498">
        <v>1762.74</v>
      </c>
      <c r="J498" t="s">
        <v>71</v>
      </c>
    </row>
    <row r="499" spans="1:10">
      <c r="A499" t="s">
        <v>728</v>
      </c>
      <c r="B499">
        <v>45906</v>
      </c>
      <c r="C499" t="s">
        <v>133</v>
      </c>
      <c r="D499" t="s">
        <v>31</v>
      </c>
      <c r="E499" t="s">
        <v>36</v>
      </c>
      <c r="F499" t="s">
        <v>88</v>
      </c>
      <c r="G499">
        <v>2</v>
      </c>
      <c r="H499">
        <v>4087.74</v>
      </c>
      <c r="I499">
        <v>2923.61</v>
      </c>
      <c r="J499" t="s">
        <v>28</v>
      </c>
    </row>
    <row r="500" spans="1:10">
      <c r="A500" t="s">
        <v>729</v>
      </c>
      <c r="B500">
        <v>45801</v>
      </c>
      <c r="C500" t="s">
        <v>119</v>
      </c>
      <c r="D500" t="s">
        <v>19</v>
      </c>
      <c r="E500" t="s">
        <v>20</v>
      </c>
      <c r="F500" t="s">
        <v>91</v>
      </c>
      <c r="G500">
        <v>3</v>
      </c>
      <c r="H500">
        <v>1907.93</v>
      </c>
      <c r="I500">
        <v>1059.21</v>
      </c>
      <c r="J500" t="s">
        <v>38</v>
      </c>
    </row>
    <row r="501" spans="1:10">
      <c r="A501" t="s">
        <v>730</v>
      </c>
      <c r="B501">
        <v>45904</v>
      </c>
      <c r="C501" t="s">
        <v>121</v>
      </c>
      <c r="D501" t="s">
        <v>63</v>
      </c>
      <c r="E501" t="s">
        <v>82</v>
      </c>
      <c r="F501" t="s">
        <v>97</v>
      </c>
      <c r="G501">
        <v>2</v>
      </c>
      <c r="H501">
        <v>2599.35</v>
      </c>
      <c r="I501">
        <v>2042.84</v>
      </c>
      <c r="J501" t="s">
        <v>71</v>
      </c>
    </row>
    <row r="502" spans="1:10">
      <c r="A502" t="s">
        <v>731</v>
      </c>
      <c r="B502">
        <v>45948</v>
      </c>
      <c r="C502" t="s">
        <v>59</v>
      </c>
      <c r="D502" t="s">
        <v>31</v>
      </c>
      <c r="E502" t="s">
        <v>32</v>
      </c>
      <c r="F502" t="s">
        <v>163</v>
      </c>
      <c r="G502">
        <v>3</v>
      </c>
      <c r="H502">
        <v>658.29</v>
      </c>
      <c r="I502">
        <v>542.86</v>
      </c>
      <c r="J502" t="s">
        <v>22</v>
      </c>
    </row>
    <row r="503" spans="1:10">
      <c r="A503" t="s">
        <v>732</v>
      </c>
      <c r="B503">
        <v>45930</v>
      </c>
      <c r="C503" t="s">
        <v>85</v>
      </c>
      <c r="D503" t="s">
        <v>31</v>
      </c>
      <c r="E503" t="s">
        <v>36</v>
      </c>
      <c r="F503" t="s">
        <v>88</v>
      </c>
      <c r="G503">
        <v>7</v>
      </c>
      <c r="H503">
        <v>12212.01</v>
      </c>
      <c r="I503">
        <v>6994.5</v>
      </c>
      <c r="J503" t="s">
        <v>22</v>
      </c>
    </row>
    <row r="504" spans="1:10">
      <c r="A504" t="s">
        <v>733</v>
      </c>
      <c r="B504">
        <v>45663</v>
      </c>
      <c r="C504" t="s">
        <v>48</v>
      </c>
      <c r="D504" t="s">
        <v>31</v>
      </c>
      <c r="E504" t="s">
        <v>82</v>
      </c>
      <c r="F504" t="s">
        <v>150</v>
      </c>
      <c r="G504">
        <v>3</v>
      </c>
      <c r="H504">
        <v>3736.75</v>
      </c>
      <c r="I504">
        <v>2633.91</v>
      </c>
      <c r="J504" t="s">
        <v>28</v>
      </c>
    </row>
    <row r="505" spans="1:10">
      <c r="A505" t="s">
        <v>734</v>
      </c>
      <c r="B505">
        <v>45805</v>
      </c>
      <c r="C505" t="s">
        <v>67</v>
      </c>
      <c r="D505" t="s">
        <v>63</v>
      </c>
      <c r="E505" t="s">
        <v>82</v>
      </c>
      <c r="F505" t="s">
        <v>155</v>
      </c>
      <c r="G505">
        <v>7</v>
      </c>
      <c r="H505">
        <v>4418.37</v>
      </c>
      <c r="I505">
        <v>2891.56</v>
      </c>
      <c r="J505" t="s">
        <v>38</v>
      </c>
    </row>
    <row r="506" spans="1:10">
      <c r="A506" t="s">
        <v>735</v>
      </c>
      <c r="B506">
        <v>45683</v>
      </c>
      <c r="C506" t="s">
        <v>18</v>
      </c>
      <c r="D506" t="s">
        <v>125</v>
      </c>
      <c r="E506" t="s">
        <v>26</v>
      </c>
      <c r="F506" t="s">
        <v>27</v>
      </c>
      <c r="G506">
        <v>5</v>
      </c>
      <c r="H506">
        <v>1858.41</v>
      </c>
      <c r="I506">
        <v>1563.24</v>
      </c>
      <c r="J506" t="s">
        <v>28</v>
      </c>
    </row>
    <row r="507" spans="1:10">
      <c r="A507" t="s">
        <v>736</v>
      </c>
      <c r="B507">
        <v>45998</v>
      </c>
      <c r="C507" t="s">
        <v>59</v>
      </c>
      <c r="D507" t="s">
        <v>41</v>
      </c>
      <c r="E507" t="s">
        <v>20</v>
      </c>
      <c r="F507" t="s">
        <v>191</v>
      </c>
      <c r="G507">
        <v>5</v>
      </c>
      <c r="H507">
        <v>1153.3599999999999</v>
      </c>
      <c r="I507">
        <v>820.49</v>
      </c>
      <c r="J507" t="s">
        <v>28</v>
      </c>
    </row>
    <row r="508" spans="1:10">
      <c r="A508" t="s">
        <v>737</v>
      </c>
      <c r="B508">
        <v>45750</v>
      </c>
      <c r="C508" t="s">
        <v>231</v>
      </c>
      <c r="D508" t="s">
        <v>63</v>
      </c>
      <c r="E508" t="s">
        <v>36</v>
      </c>
      <c r="F508" t="s">
        <v>93</v>
      </c>
      <c r="G508">
        <v>8</v>
      </c>
      <c r="H508">
        <v>4063.98</v>
      </c>
      <c r="I508">
        <v>3391.7</v>
      </c>
    </row>
    <row r="509" spans="1:10">
      <c r="A509" t="s">
        <v>738</v>
      </c>
      <c r="B509">
        <v>45693</v>
      </c>
      <c r="C509" t="s">
        <v>119</v>
      </c>
      <c r="D509" t="s">
        <v>63</v>
      </c>
      <c r="E509" t="s">
        <v>36</v>
      </c>
      <c r="F509" t="s">
        <v>37</v>
      </c>
      <c r="G509">
        <v>7</v>
      </c>
      <c r="H509">
        <v>9876.85</v>
      </c>
      <c r="I509">
        <v>7565.59</v>
      </c>
      <c r="J509" t="s">
        <v>28</v>
      </c>
    </row>
    <row r="510" spans="1:10">
      <c r="A510" t="s">
        <v>739</v>
      </c>
      <c r="B510">
        <v>45906</v>
      </c>
      <c r="C510" t="s">
        <v>67</v>
      </c>
      <c r="D510" t="s">
        <v>57</v>
      </c>
      <c r="E510" t="s">
        <v>20</v>
      </c>
      <c r="F510" t="s">
        <v>191</v>
      </c>
      <c r="G510">
        <v>8</v>
      </c>
      <c r="H510">
        <v>1675.61</v>
      </c>
      <c r="I510">
        <v>1143.3399999999999</v>
      </c>
      <c r="J510" t="s">
        <v>16</v>
      </c>
    </row>
    <row r="511" spans="1:10">
      <c r="A511" t="s">
        <v>740</v>
      </c>
      <c r="B511">
        <v>45686</v>
      </c>
      <c r="C511" t="s">
        <v>741</v>
      </c>
      <c r="D511" t="s">
        <v>19</v>
      </c>
      <c r="E511" t="s">
        <v>32</v>
      </c>
      <c r="F511" t="s">
        <v>33</v>
      </c>
      <c r="G511">
        <v>5</v>
      </c>
      <c r="H511">
        <v>1499.37</v>
      </c>
      <c r="I511">
        <v>1160.22</v>
      </c>
      <c r="J511" t="s">
        <v>38</v>
      </c>
    </row>
    <row r="512" spans="1:10">
      <c r="A512" t="s">
        <v>742</v>
      </c>
      <c r="B512">
        <v>45927</v>
      </c>
      <c r="C512" t="s">
        <v>70</v>
      </c>
      <c r="D512" t="s">
        <v>41</v>
      </c>
      <c r="E512" t="s">
        <v>20</v>
      </c>
      <c r="F512" t="s">
        <v>86</v>
      </c>
      <c r="G512">
        <v>3</v>
      </c>
      <c r="H512">
        <v>657.14</v>
      </c>
      <c r="I512">
        <v>505.32</v>
      </c>
      <c r="J512" t="s">
        <v>22</v>
      </c>
    </row>
    <row r="513" spans="1:10">
      <c r="A513" t="s">
        <v>743</v>
      </c>
      <c r="B513">
        <v>45840</v>
      </c>
      <c r="C513" t="s">
        <v>30</v>
      </c>
      <c r="D513" t="s">
        <v>57</v>
      </c>
      <c r="E513" t="s">
        <v>20</v>
      </c>
      <c r="F513" t="s">
        <v>252</v>
      </c>
      <c r="G513">
        <v>3</v>
      </c>
      <c r="H513">
        <v>4784.16</v>
      </c>
      <c r="I513">
        <v>2820.55</v>
      </c>
      <c r="J513" t="s">
        <v>16</v>
      </c>
    </row>
    <row r="514" spans="1:10">
      <c r="A514" t="s">
        <v>744</v>
      </c>
      <c r="B514">
        <v>45753</v>
      </c>
      <c r="C514" t="s">
        <v>35</v>
      </c>
      <c r="E514" t="s">
        <v>20</v>
      </c>
      <c r="F514" t="s">
        <v>86</v>
      </c>
      <c r="G514">
        <v>3</v>
      </c>
      <c r="H514">
        <v>2492.23</v>
      </c>
      <c r="I514">
        <v>1960.66</v>
      </c>
      <c r="J514" t="s">
        <v>16</v>
      </c>
    </row>
    <row r="515" spans="1:10">
      <c r="A515" t="s">
        <v>745</v>
      </c>
      <c r="B515">
        <v>45881</v>
      </c>
      <c r="C515" t="s">
        <v>35</v>
      </c>
      <c r="D515" t="s">
        <v>19</v>
      </c>
      <c r="E515" t="s">
        <v>32</v>
      </c>
      <c r="F515" t="s">
        <v>163</v>
      </c>
      <c r="G515">
        <v>1</v>
      </c>
      <c r="H515">
        <v>571.07000000000005</v>
      </c>
      <c r="I515">
        <v>450.94</v>
      </c>
      <c r="J515" t="s">
        <v>28</v>
      </c>
    </row>
    <row r="516" spans="1:10">
      <c r="A516" t="s">
        <v>746</v>
      </c>
      <c r="B516">
        <v>45896</v>
      </c>
      <c r="C516" t="s">
        <v>747</v>
      </c>
      <c r="D516" t="s">
        <v>19</v>
      </c>
      <c r="E516" t="s">
        <v>82</v>
      </c>
      <c r="F516" t="s">
        <v>83</v>
      </c>
      <c r="G516">
        <v>2</v>
      </c>
      <c r="H516">
        <v>5698.59</v>
      </c>
      <c r="I516">
        <v>4492.75</v>
      </c>
      <c r="J516" t="s">
        <v>22</v>
      </c>
    </row>
    <row r="517" spans="1:10">
      <c r="A517" t="s">
        <v>748</v>
      </c>
      <c r="B517">
        <v>46005</v>
      </c>
      <c r="C517" t="s">
        <v>74</v>
      </c>
      <c r="D517" t="s">
        <v>511</v>
      </c>
      <c r="E517" t="s">
        <v>20</v>
      </c>
      <c r="F517" t="s">
        <v>21</v>
      </c>
      <c r="G517">
        <v>7</v>
      </c>
      <c r="H517">
        <v>3122.74</v>
      </c>
      <c r="I517">
        <v>1848.97</v>
      </c>
      <c r="J517" t="s">
        <v>16</v>
      </c>
    </row>
    <row r="518" spans="1:10">
      <c r="A518" t="s">
        <v>749</v>
      </c>
      <c r="B518">
        <v>45957</v>
      </c>
      <c r="C518" t="s">
        <v>750</v>
      </c>
      <c r="D518" t="s">
        <v>63</v>
      </c>
      <c r="E518" t="s">
        <v>36</v>
      </c>
      <c r="F518" t="s">
        <v>88</v>
      </c>
      <c r="G518">
        <v>5</v>
      </c>
      <c r="H518">
        <v>9349.1200000000008</v>
      </c>
      <c r="I518">
        <v>7424.63</v>
      </c>
      <c r="J518" t="s">
        <v>71</v>
      </c>
    </row>
    <row r="519" spans="1:10">
      <c r="A519" t="s">
        <v>751</v>
      </c>
      <c r="B519">
        <v>45950</v>
      </c>
      <c r="C519" t="s">
        <v>24</v>
      </c>
      <c r="D519" t="s">
        <v>31</v>
      </c>
      <c r="E519" t="s">
        <v>82</v>
      </c>
      <c r="F519" t="s">
        <v>97</v>
      </c>
      <c r="G519">
        <v>3</v>
      </c>
      <c r="H519">
        <v>1022.3</v>
      </c>
      <c r="I519">
        <v>717.57</v>
      </c>
      <c r="J519" t="s">
        <v>71</v>
      </c>
    </row>
    <row r="520" spans="1:10">
      <c r="A520" t="s">
        <v>752</v>
      </c>
      <c r="B520">
        <v>45824</v>
      </c>
      <c r="C520" t="s">
        <v>220</v>
      </c>
      <c r="D520" t="s">
        <v>63</v>
      </c>
      <c r="E520" t="s">
        <v>32</v>
      </c>
      <c r="F520" t="s">
        <v>52</v>
      </c>
      <c r="G520">
        <v>2</v>
      </c>
      <c r="H520">
        <v>2039.57</v>
      </c>
      <c r="I520">
        <v>1569.01</v>
      </c>
      <c r="J520" t="s">
        <v>28</v>
      </c>
    </row>
    <row r="521" spans="1:10">
      <c r="A521" t="s">
        <v>753</v>
      </c>
      <c r="B521">
        <v>45871</v>
      </c>
      <c r="C521" t="s">
        <v>24</v>
      </c>
      <c r="D521" t="s">
        <v>12</v>
      </c>
      <c r="E521" t="s">
        <v>149</v>
      </c>
      <c r="F521" t="s">
        <v>83</v>
      </c>
      <c r="G521">
        <v>3</v>
      </c>
      <c r="H521">
        <v>2963.57</v>
      </c>
      <c r="I521">
        <v>1879.34</v>
      </c>
      <c r="J521" t="s">
        <v>22</v>
      </c>
    </row>
    <row r="522" spans="1:10">
      <c r="A522" t="s">
        <v>754</v>
      </c>
      <c r="B522">
        <v>45768</v>
      </c>
      <c r="C522" t="s">
        <v>115</v>
      </c>
      <c r="D522" t="s">
        <v>41</v>
      </c>
      <c r="E522" t="s">
        <v>20</v>
      </c>
      <c r="F522" t="s">
        <v>755</v>
      </c>
      <c r="G522">
        <v>5</v>
      </c>
      <c r="H522">
        <v>3120.97</v>
      </c>
      <c r="I522">
        <v>2365.2399999999998</v>
      </c>
      <c r="J522" t="s">
        <v>28</v>
      </c>
    </row>
    <row r="523" spans="1:10">
      <c r="A523" t="s">
        <v>756</v>
      </c>
      <c r="B523">
        <v>45879</v>
      </c>
      <c r="C523" t="s">
        <v>757</v>
      </c>
      <c r="D523" t="s">
        <v>63</v>
      </c>
      <c r="E523" t="s">
        <v>32</v>
      </c>
      <c r="F523" t="s">
        <v>180</v>
      </c>
      <c r="G523">
        <v>6</v>
      </c>
      <c r="H523">
        <v>1661.85</v>
      </c>
      <c r="I523">
        <v>1368.49</v>
      </c>
      <c r="J523" t="s">
        <v>71</v>
      </c>
    </row>
    <row r="524" spans="1:10">
      <c r="A524" t="s">
        <v>758</v>
      </c>
      <c r="B524">
        <v>45990</v>
      </c>
      <c r="C524" t="s">
        <v>759</v>
      </c>
      <c r="D524" t="s">
        <v>19</v>
      </c>
      <c r="E524" t="s">
        <v>20</v>
      </c>
      <c r="F524" t="s">
        <v>91</v>
      </c>
      <c r="G524">
        <v>3</v>
      </c>
      <c r="H524">
        <v>3271.41</v>
      </c>
      <c r="I524">
        <v>2548.83</v>
      </c>
      <c r="J524" t="s">
        <v>22</v>
      </c>
    </row>
    <row r="525" spans="1:10">
      <c r="A525" t="s">
        <v>760</v>
      </c>
      <c r="B525">
        <v>45850</v>
      </c>
      <c r="C525" t="s">
        <v>30</v>
      </c>
      <c r="D525" t="s">
        <v>63</v>
      </c>
      <c r="E525" t="s">
        <v>26</v>
      </c>
      <c r="F525" t="s">
        <v>131</v>
      </c>
      <c r="G525">
        <v>4</v>
      </c>
      <c r="H525">
        <v>1551.02</v>
      </c>
      <c r="I525">
        <v>1275.8800000000001</v>
      </c>
      <c r="J525" t="s">
        <v>16</v>
      </c>
    </row>
    <row r="526" spans="1:10">
      <c r="A526" t="s">
        <v>761</v>
      </c>
      <c r="B526">
        <v>45824</v>
      </c>
      <c r="C526" t="s">
        <v>672</v>
      </c>
      <c r="D526" t="s">
        <v>31</v>
      </c>
      <c r="E526" t="s">
        <v>179</v>
      </c>
      <c r="F526" t="s">
        <v>163</v>
      </c>
      <c r="G526">
        <v>8</v>
      </c>
      <c r="H526">
        <v>2241.4499999999998</v>
      </c>
      <c r="I526">
        <v>1549.05</v>
      </c>
      <c r="J526" t="s">
        <v>16</v>
      </c>
    </row>
    <row r="527" spans="1:10">
      <c r="A527" t="s">
        <v>762</v>
      </c>
      <c r="B527">
        <v>45907</v>
      </c>
      <c r="C527" t="s">
        <v>108</v>
      </c>
      <c r="D527" t="s">
        <v>41</v>
      </c>
      <c r="E527" t="s">
        <v>82</v>
      </c>
      <c r="F527" t="s">
        <v>155</v>
      </c>
      <c r="G527">
        <v>5</v>
      </c>
      <c r="H527">
        <v>4482.1000000000004</v>
      </c>
      <c r="I527">
        <v>3905.68</v>
      </c>
      <c r="J527" t="s">
        <v>22</v>
      </c>
    </row>
    <row r="528" spans="1:10">
      <c r="A528" t="s">
        <v>763</v>
      </c>
      <c r="B528">
        <v>45754</v>
      </c>
      <c r="C528" t="s">
        <v>51</v>
      </c>
      <c r="D528" t="s">
        <v>63</v>
      </c>
      <c r="E528" t="s">
        <v>26</v>
      </c>
      <c r="F528" t="s">
        <v>106</v>
      </c>
      <c r="G528">
        <v>2</v>
      </c>
      <c r="H528">
        <v>3157.95</v>
      </c>
      <c r="I528">
        <v>2573.11</v>
      </c>
      <c r="J528" t="s">
        <v>22</v>
      </c>
    </row>
    <row r="529" spans="1:10">
      <c r="A529" t="s">
        <v>764</v>
      </c>
      <c r="B529">
        <v>45889</v>
      </c>
      <c r="C529" t="s">
        <v>11</v>
      </c>
      <c r="D529" t="s">
        <v>63</v>
      </c>
      <c r="E529" t="s">
        <v>26</v>
      </c>
      <c r="F529" t="s">
        <v>350</v>
      </c>
      <c r="G529">
        <v>3</v>
      </c>
      <c r="H529">
        <v>699.09</v>
      </c>
      <c r="I529">
        <v>523.5</v>
      </c>
      <c r="J529" t="s">
        <v>38</v>
      </c>
    </row>
    <row r="530" spans="1:10">
      <c r="A530" t="s">
        <v>765</v>
      </c>
      <c r="B530">
        <v>45847</v>
      </c>
      <c r="C530" t="s">
        <v>720</v>
      </c>
      <c r="D530" t="s">
        <v>41</v>
      </c>
      <c r="E530" t="s">
        <v>32</v>
      </c>
      <c r="F530" t="s">
        <v>766</v>
      </c>
      <c r="G530">
        <v>8</v>
      </c>
      <c r="H530">
        <v>1818.97</v>
      </c>
      <c r="I530">
        <v>1001.25</v>
      </c>
      <c r="J530" t="s">
        <v>16</v>
      </c>
    </row>
    <row r="531" spans="1:10">
      <c r="A531" t="s">
        <v>767</v>
      </c>
      <c r="B531">
        <v>45754</v>
      </c>
      <c r="C531" t="s">
        <v>115</v>
      </c>
      <c r="D531" t="s">
        <v>75</v>
      </c>
      <c r="E531" t="s">
        <v>82</v>
      </c>
      <c r="F531" t="s">
        <v>109</v>
      </c>
      <c r="G531">
        <v>2</v>
      </c>
      <c r="H531">
        <v>6539.43</v>
      </c>
      <c r="I531">
        <v>4444.5600000000004</v>
      </c>
      <c r="J531" t="s">
        <v>28</v>
      </c>
    </row>
    <row r="532" spans="1:10">
      <c r="A532" t="s">
        <v>181</v>
      </c>
      <c r="B532">
        <v>45716</v>
      </c>
      <c r="C532" t="s">
        <v>85</v>
      </c>
      <c r="D532" t="s">
        <v>12</v>
      </c>
      <c r="E532" t="s">
        <v>182</v>
      </c>
      <c r="F532" t="s">
        <v>106</v>
      </c>
      <c r="G532">
        <v>4</v>
      </c>
      <c r="H532">
        <v>642.24</v>
      </c>
      <c r="I532">
        <v>400.73</v>
      </c>
      <c r="J532" t="s">
        <v>22</v>
      </c>
    </row>
    <row r="533" spans="1:10">
      <c r="A533" t="s">
        <v>768</v>
      </c>
      <c r="B533">
        <v>45999</v>
      </c>
      <c r="C533" t="s">
        <v>54</v>
      </c>
      <c r="D533" t="s">
        <v>41</v>
      </c>
      <c r="E533" t="s">
        <v>82</v>
      </c>
      <c r="F533" t="s">
        <v>150</v>
      </c>
      <c r="G533">
        <v>5</v>
      </c>
      <c r="H533">
        <v>6549.59</v>
      </c>
      <c r="I533">
        <v>3826.16</v>
      </c>
      <c r="J533" t="s">
        <v>71</v>
      </c>
    </row>
    <row r="534" spans="1:10">
      <c r="A534" t="s">
        <v>769</v>
      </c>
      <c r="B534">
        <v>45659</v>
      </c>
      <c r="C534" t="s">
        <v>231</v>
      </c>
      <c r="D534" t="s">
        <v>12</v>
      </c>
      <c r="E534" t="s">
        <v>32</v>
      </c>
      <c r="F534" t="s">
        <v>52</v>
      </c>
      <c r="G534">
        <v>4</v>
      </c>
      <c r="H534">
        <v>1794.41</v>
      </c>
      <c r="I534">
        <v>1263.19</v>
      </c>
      <c r="J534" t="s">
        <v>71</v>
      </c>
    </row>
    <row r="535" spans="1:10">
      <c r="A535" t="s">
        <v>770</v>
      </c>
      <c r="B535">
        <v>45718</v>
      </c>
      <c r="C535" t="s">
        <v>67</v>
      </c>
      <c r="D535" t="s">
        <v>63</v>
      </c>
      <c r="E535" t="s">
        <v>32</v>
      </c>
      <c r="F535" t="s">
        <v>101</v>
      </c>
      <c r="G535">
        <v>8</v>
      </c>
      <c r="H535">
        <v>1914.05</v>
      </c>
      <c r="I535">
        <v>1063.95</v>
      </c>
      <c r="J535" t="s">
        <v>28</v>
      </c>
    </row>
    <row r="536" spans="1:10">
      <c r="A536" t="s">
        <v>771</v>
      </c>
      <c r="B536">
        <v>45930</v>
      </c>
      <c r="C536" t="s">
        <v>129</v>
      </c>
      <c r="D536" t="s">
        <v>12</v>
      </c>
      <c r="E536" t="s">
        <v>36</v>
      </c>
      <c r="F536" t="s">
        <v>42</v>
      </c>
      <c r="G536">
        <v>3</v>
      </c>
      <c r="H536">
        <v>17356.64</v>
      </c>
      <c r="I536">
        <v>11121.05</v>
      </c>
      <c r="J536" t="s">
        <v>71</v>
      </c>
    </row>
    <row r="537" spans="1:10">
      <c r="A537" t="s">
        <v>772</v>
      </c>
      <c r="B537">
        <v>45869</v>
      </c>
      <c r="C537" t="s">
        <v>119</v>
      </c>
      <c r="D537" t="s">
        <v>12</v>
      </c>
      <c r="E537" t="s">
        <v>82</v>
      </c>
      <c r="F537" t="s">
        <v>83</v>
      </c>
      <c r="G537">
        <v>1</v>
      </c>
      <c r="H537">
        <v>1638.04</v>
      </c>
      <c r="I537">
        <v>1096.48</v>
      </c>
      <c r="J537" t="s">
        <v>28</v>
      </c>
    </row>
    <row r="538" spans="1:10">
      <c r="A538" t="s">
        <v>773</v>
      </c>
      <c r="B538">
        <v>45784</v>
      </c>
      <c r="C538" t="s">
        <v>135</v>
      </c>
      <c r="D538" t="s">
        <v>173</v>
      </c>
      <c r="E538" t="s">
        <v>32</v>
      </c>
      <c r="F538" t="s">
        <v>99</v>
      </c>
      <c r="G538">
        <v>2</v>
      </c>
      <c r="H538">
        <v>954.05</v>
      </c>
      <c r="I538">
        <v>708.08</v>
      </c>
      <c r="J538" t="s">
        <v>22</v>
      </c>
    </row>
    <row r="539" spans="1:10">
      <c r="A539" t="s">
        <v>774</v>
      </c>
      <c r="B539">
        <v>45851</v>
      </c>
      <c r="C539" t="s">
        <v>105</v>
      </c>
      <c r="D539" t="s">
        <v>31</v>
      </c>
      <c r="E539" t="s">
        <v>82</v>
      </c>
      <c r="F539" t="s">
        <v>109</v>
      </c>
      <c r="G539">
        <v>7</v>
      </c>
      <c r="H539">
        <v>689.78</v>
      </c>
      <c r="I539">
        <v>418.28</v>
      </c>
      <c r="J539" t="s">
        <v>22</v>
      </c>
    </row>
    <row r="540" spans="1:10">
      <c r="A540" t="s">
        <v>775</v>
      </c>
      <c r="B540">
        <v>45952</v>
      </c>
      <c r="C540" t="s">
        <v>30</v>
      </c>
      <c r="D540" t="s">
        <v>63</v>
      </c>
      <c r="E540" t="s">
        <v>82</v>
      </c>
      <c r="F540" t="s">
        <v>137</v>
      </c>
      <c r="G540">
        <v>5</v>
      </c>
      <c r="H540">
        <v>6951.77</v>
      </c>
      <c r="I540">
        <v>4500.76</v>
      </c>
      <c r="J540" t="s">
        <v>28</v>
      </c>
    </row>
    <row r="541" spans="1:10">
      <c r="A541" t="s">
        <v>776</v>
      </c>
      <c r="B541">
        <v>46012</v>
      </c>
      <c r="C541" t="s">
        <v>35</v>
      </c>
      <c r="D541" t="s">
        <v>63</v>
      </c>
      <c r="E541" t="s">
        <v>26</v>
      </c>
      <c r="F541" t="s">
        <v>106</v>
      </c>
      <c r="G541">
        <v>6</v>
      </c>
      <c r="H541">
        <v>1086.3399999999999</v>
      </c>
      <c r="I541">
        <v>877.37</v>
      </c>
      <c r="J541" t="s">
        <v>22</v>
      </c>
    </row>
    <row r="542" spans="1:10">
      <c r="A542" t="s">
        <v>777</v>
      </c>
      <c r="B542">
        <v>45909</v>
      </c>
      <c r="D542" t="s">
        <v>448</v>
      </c>
      <c r="E542" t="s">
        <v>20</v>
      </c>
      <c r="F542" t="s">
        <v>191</v>
      </c>
      <c r="G542">
        <v>1</v>
      </c>
      <c r="H542">
        <v>5849.08</v>
      </c>
      <c r="I542">
        <v>3491.8</v>
      </c>
      <c r="J542" t="s">
        <v>22</v>
      </c>
    </row>
    <row r="543" spans="1:10">
      <c r="A543" t="s">
        <v>778</v>
      </c>
      <c r="B543">
        <v>45797</v>
      </c>
      <c r="C543" t="s">
        <v>354</v>
      </c>
      <c r="D543" t="s">
        <v>31</v>
      </c>
      <c r="E543" t="s">
        <v>32</v>
      </c>
      <c r="F543" t="s">
        <v>33</v>
      </c>
      <c r="G543">
        <v>4</v>
      </c>
      <c r="H543">
        <v>1936.37</v>
      </c>
      <c r="I543">
        <v>1137.73</v>
      </c>
      <c r="J543" t="s">
        <v>28</v>
      </c>
    </row>
    <row r="544" spans="1:10">
      <c r="A544" t="s">
        <v>779</v>
      </c>
      <c r="B544">
        <v>45808</v>
      </c>
      <c r="C544" t="s">
        <v>780</v>
      </c>
      <c r="D544" t="s">
        <v>593</v>
      </c>
      <c r="E544" t="s">
        <v>32</v>
      </c>
      <c r="F544" t="s">
        <v>52</v>
      </c>
      <c r="G544">
        <v>8</v>
      </c>
      <c r="H544">
        <v>1327.58</v>
      </c>
      <c r="I544">
        <v>844.8</v>
      </c>
      <c r="J544" t="s">
        <v>22</v>
      </c>
    </row>
    <row r="545" spans="1:10">
      <c r="A545" t="s">
        <v>781</v>
      </c>
      <c r="B545">
        <v>45658</v>
      </c>
      <c r="C545" t="s">
        <v>782</v>
      </c>
      <c r="D545" t="s">
        <v>12</v>
      </c>
      <c r="E545" t="s">
        <v>82</v>
      </c>
      <c r="F545" t="s">
        <v>97</v>
      </c>
      <c r="G545">
        <v>2</v>
      </c>
      <c r="H545">
        <v>5625.77</v>
      </c>
      <c r="I545">
        <v>4882.3</v>
      </c>
      <c r="J545" t="s">
        <v>22</v>
      </c>
    </row>
    <row r="546" spans="1:10">
      <c r="A546" t="s">
        <v>783</v>
      </c>
      <c r="B546">
        <v>45671</v>
      </c>
      <c r="C546" t="s">
        <v>67</v>
      </c>
      <c r="D546" t="s">
        <v>63</v>
      </c>
      <c r="E546" t="s">
        <v>82</v>
      </c>
      <c r="F546" t="s">
        <v>150</v>
      </c>
      <c r="G546">
        <v>7</v>
      </c>
      <c r="H546">
        <v>3858.29</v>
      </c>
      <c r="I546">
        <v>3390.22</v>
      </c>
      <c r="J546" t="s">
        <v>16</v>
      </c>
    </row>
    <row r="547" spans="1:10">
      <c r="A547" t="s">
        <v>784</v>
      </c>
      <c r="B547">
        <v>45848</v>
      </c>
      <c r="C547" t="s">
        <v>85</v>
      </c>
      <c r="D547" t="s">
        <v>41</v>
      </c>
      <c r="E547" t="s">
        <v>26</v>
      </c>
      <c r="F547" t="s">
        <v>103</v>
      </c>
      <c r="G547">
        <v>3</v>
      </c>
      <c r="H547">
        <v>2686.77</v>
      </c>
      <c r="I547">
        <v>2252.16</v>
      </c>
      <c r="J547" t="s">
        <v>16</v>
      </c>
    </row>
    <row r="548" spans="1:10">
      <c r="A548" t="s">
        <v>785</v>
      </c>
      <c r="B548">
        <v>45746</v>
      </c>
      <c r="C548" t="s">
        <v>251</v>
      </c>
      <c r="D548" t="s">
        <v>31</v>
      </c>
      <c r="E548" t="s">
        <v>82</v>
      </c>
      <c r="F548" t="s">
        <v>150</v>
      </c>
      <c r="G548">
        <v>4</v>
      </c>
      <c r="H548">
        <v>6176.19</v>
      </c>
      <c r="I548">
        <v>3806.01</v>
      </c>
      <c r="J548" t="s">
        <v>16</v>
      </c>
    </row>
    <row r="549" spans="1:10">
      <c r="A549" t="s">
        <v>786</v>
      </c>
      <c r="B549">
        <v>45786</v>
      </c>
      <c r="C549" t="s">
        <v>48</v>
      </c>
      <c r="D549" t="s">
        <v>41</v>
      </c>
      <c r="E549" t="s">
        <v>20</v>
      </c>
      <c r="F549" t="s">
        <v>91</v>
      </c>
      <c r="G549">
        <v>2</v>
      </c>
      <c r="H549">
        <v>1658.14</v>
      </c>
      <c r="I549">
        <v>1129.23</v>
      </c>
      <c r="J549" t="s">
        <v>16</v>
      </c>
    </row>
    <row r="550" spans="1:10">
      <c r="A550" t="s">
        <v>787</v>
      </c>
      <c r="B550">
        <v>45904</v>
      </c>
      <c r="C550" t="s">
        <v>67</v>
      </c>
      <c r="D550" t="s">
        <v>125</v>
      </c>
      <c r="E550" t="s">
        <v>26</v>
      </c>
      <c r="F550" t="s">
        <v>79</v>
      </c>
      <c r="G550">
        <v>7</v>
      </c>
      <c r="H550">
        <v>3072.12</v>
      </c>
      <c r="I550">
        <v>2326.33</v>
      </c>
      <c r="J550" t="s">
        <v>28</v>
      </c>
    </row>
    <row r="551" spans="1:10">
      <c r="A551" t="s">
        <v>788</v>
      </c>
      <c r="B551">
        <v>45775</v>
      </c>
      <c r="C551" t="s">
        <v>789</v>
      </c>
      <c r="D551" t="s">
        <v>57</v>
      </c>
      <c r="E551" t="s">
        <v>82</v>
      </c>
      <c r="F551" t="s">
        <v>97</v>
      </c>
      <c r="G551">
        <v>2</v>
      </c>
      <c r="H551">
        <v>3117.19</v>
      </c>
      <c r="I551">
        <v>2251.1799999999998</v>
      </c>
      <c r="J551" t="s">
        <v>71</v>
      </c>
    </row>
    <row r="552" spans="1:10">
      <c r="A552" t="s">
        <v>790</v>
      </c>
      <c r="B552">
        <v>45797</v>
      </c>
      <c r="C552" t="s">
        <v>220</v>
      </c>
      <c r="D552" t="s">
        <v>12</v>
      </c>
      <c r="E552" t="s">
        <v>26</v>
      </c>
      <c r="F552" t="s">
        <v>106</v>
      </c>
      <c r="G552">
        <v>2</v>
      </c>
      <c r="H552">
        <v>1104.5899999999999</v>
      </c>
      <c r="I552">
        <v>962.94</v>
      </c>
      <c r="J552" t="s">
        <v>16</v>
      </c>
    </row>
    <row r="553" spans="1:10">
      <c r="A553" t="s">
        <v>791</v>
      </c>
      <c r="B553">
        <v>45752</v>
      </c>
      <c r="C553" t="s">
        <v>40</v>
      </c>
      <c r="D553" t="s">
        <v>41</v>
      </c>
      <c r="E553" t="s">
        <v>82</v>
      </c>
      <c r="F553" t="s">
        <v>83</v>
      </c>
      <c r="G553">
        <v>1</v>
      </c>
      <c r="H553">
        <v>4490.25</v>
      </c>
      <c r="I553">
        <v>3009.12</v>
      </c>
      <c r="J553" t="s">
        <v>38</v>
      </c>
    </row>
    <row r="554" spans="1:10">
      <c r="A554" t="s">
        <v>792</v>
      </c>
      <c r="B554">
        <v>45936</v>
      </c>
      <c r="C554" t="s">
        <v>24</v>
      </c>
      <c r="D554" t="s">
        <v>12</v>
      </c>
      <c r="E554" t="s">
        <v>26</v>
      </c>
      <c r="F554" t="s">
        <v>79</v>
      </c>
      <c r="G554">
        <v>7</v>
      </c>
      <c r="H554">
        <v>1087.8699999999999</v>
      </c>
      <c r="I554">
        <v>600.29</v>
      </c>
    </row>
    <row r="555" spans="1:10">
      <c r="A555" t="s">
        <v>793</v>
      </c>
      <c r="B555">
        <v>45676</v>
      </c>
      <c r="C555" t="s">
        <v>133</v>
      </c>
      <c r="D555" t="s">
        <v>19</v>
      </c>
      <c r="E555" t="s">
        <v>32</v>
      </c>
      <c r="F555" t="s">
        <v>99</v>
      </c>
      <c r="G555">
        <v>2</v>
      </c>
      <c r="H555">
        <v>739.97</v>
      </c>
      <c r="I555">
        <v>574.11</v>
      </c>
      <c r="J555" t="s">
        <v>22</v>
      </c>
    </row>
    <row r="556" spans="1:10">
      <c r="A556" t="s">
        <v>794</v>
      </c>
      <c r="B556">
        <v>45698</v>
      </c>
      <c r="C556" t="s">
        <v>567</v>
      </c>
      <c r="D556" t="s">
        <v>19</v>
      </c>
      <c r="E556" t="s">
        <v>32</v>
      </c>
      <c r="F556" t="s">
        <v>33</v>
      </c>
      <c r="G556">
        <v>8</v>
      </c>
      <c r="H556" t="s">
        <v>795</v>
      </c>
      <c r="I556">
        <v>779.34</v>
      </c>
      <c r="J556" t="s">
        <v>22</v>
      </c>
    </row>
    <row r="557" spans="1:10">
      <c r="A557" t="s">
        <v>796</v>
      </c>
      <c r="B557">
        <v>45971</v>
      </c>
      <c r="C557" t="s">
        <v>175</v>
      </c>
      <c r="D557" t="s">
        <v>41</v>
      </c>
      <c r="E557" t="s">
        <v>26</v>
      </c>
      <c r="F557" t="s">
        <v>106</v>
      </c>
      <c r="G557">
        <v>3</v>
      </c>
      <c r="H557">
        <v>1598.92</v>
      </c>
      <c r="I557">
        <v>974.16</v>
      </c>
      <c r="J557" t="s">
        <v>38</v>
      </c>
    </row>
    <row r="558" spans="1:10">
      <c r="A558" t="s">
        <v>797</v>
      </c>
      <c r="B558">
        <v>45659</v>
      </c>
      <c r="C558" t="s">
        <v>54</v>
      </c>
      <c r="D558" t="s">
        <v>19</v>
      </c>
      <c r="E558" t="s">
        <v>82</v>
      </c>
      <c r="F558" t="s">
        <v>83</v>
      </c>
      <c r="G558">
        <v>7</v>
      </c>
      <c r="H558">
        <v>4630.38</v>
      </c>
      <c r="I558">
        <v>3987.75</v>
      </c>
      <c r="J558" t="s">
        <v>16</v>
      </c>
    </row>
    <row r="559" spans="1:10">
      <c r="A559" t="s">
        <v>798</v>
      </c>
      <c r="B559">
        <v>45811</v>
      </c>
      <c r="C559" t="s">
        <v>119</v>
      </c>
      <c r="D559" t="s">
        <v>12</v>
      </c>
      <c r="E559" t="s">
        <v>96</v>
      </c>
      <c r="F559" t="s">
        <v>155</v>
      </c>
      <c r="G559">
        <v>1</v>
      </c>
      <c r="H559">
        <v>5223.21</v>
      </c>
      <c r="I559">
        <v>3866.08</v>
      </c>
      <c r="J559" t="s">
        <v>16</v>
      </c>
    </row>
    <row r="560" spans="1:10">
      <c r="A560" t="s">
        <v>799</v>
      </c>
      <c r="B560">
        <v>45983</v>
      </c>
      <c r="C560" t="s">
        <v>720</v>
      </c>
      <c r="D560" t="s">
        <v>19</v>
      </c>
      <c r="E560" t="s">
        <v>82</v>
      </c>
      <c r="F560" t="s">
        <v>83</v>
      </c>
      <c r="G560">
        <v>7</v>
      </c>
      <c r="H560">
        <v>6976.98</v>
      </c>
      <c r="I560">
        <v>5423.74</v>
      </c>
      <c r="J560" t="s">
        <v>28</v>
      </c>
    </row>
    <row r="561" spans="1:10">
      <c r="A561" t="s">
        <v>800</v>
      </c>
      <c r="B561">
        <v>45790</v>
      </c>
      <c r="C561" t="s">
        <v>129</v>
      </c>
      <c r="D561" t="s">
        <v>12</v>
      </c>
      <c r="E561" t="s">
        <v>36</v>
      </c>
      <c r="F561" t="s">
        <v>88</v>
      </c>
      <c r="G561">
        <v>6</v>
      </c>
      <c r="H561">
        <v>3017.2</v>
      </c>
      <c r="I561">
        <v>2412.75</v>
      </c>
      <c r="J561" t="s">
        <v>16</v>
      </c>
    </row>
    <row r="562" spans="1:10">
      <c r="A562" t="s">
        <v>801</v>
      </c>
      <c r="B562" t="s">
        <v>802</v>
      </c>
      <c r="C562" t="s">
        <v>175</v>
      </c>
      <c r="D562" t="s">
        <v>504</v>
      </c>
      <c r="E562" t="s">
        <v>32</v>
      </c>
      <c r="F562" t="s">
        <v>101</v>
      </c>
      <c r="G562">
        <v>3</v>
      </c>
      <c r="H562">
        <v>510.76</v>
      </c>
      <c r="I562">
        <v>313.08</v>
      </c>
      <c r="J562" t="s">
        <v>16</v>
      </c>
    </row>
    <row r="563" spans="1:10">
      <c r="A563" t="s">
        <v>803</v>
      </c>
      <c r="B563">
        <v>45755</v>
      </c>
      <c r="C563" t="s">
        <v>582</v>
      </c>
      <c r="D563" t="s">
        <v>19</v>
      </c>
      <c r="E563" t="s">
        <v>20</v>
      </c>
      <c r="F563" t="s">
        <v>91</v>
      </c>
      <c r="G563">
        <v>5</v>
      </c>
      <c r="H563">
        <v>4227.7</v>
      </c>
      <c r="I563">
        <v>3331.03</v>
      </c>
      <c r="J563" t="s">
        <v>71</v>
      </c>
    </row>
    <row r="564" spans="1:10">
      <c r="A564" t="s">
        <v>804</v>
      </c>
      <c r="B564">
        <v>45862</v>
      </c>
      <c r="C564" t="s">
        <v>441</v>
      </c>
      <c r="D564" t="s">
        <v>41</v>
      </c>
      <c r="E564" t="s">
        <v>20</v>
      </c>
      <c r="F564" t="s">
        <v>21</v>
      </c>
      <c r="G564">
        <v>7</v>
      </c>
      <c r="H564">
        <v>1222.8</v>
      </c>
      <c r="I564">
        <v>1058.99</v>
      </c>
      <c r="J564" t="s">
        <v>16</v>
      </c>
    </row>
    <row r="565" spans="1:10">
      <c r="A565" t="s">
        <v>805</v>
      </c>
      <c r="B565">
        <v>45711</v>
      </c>
      <c r="C565" t="s">
        <v>59</v>
      </c>
      <c r="D565" t="s">
        <v>12</v>
      </c>
      <c r="E565" t="s">
        <v>32</v>
      </c>
      <c r="F565" t="s">
        <v>241</v>
      </c>
      <c r="G565">
        <v>7</v>
      </c>
      <c r="H565">
        <v>1207.53</v>
      </c>
      <c r="I565">
        <v>926.56</v>
      </c>
      <c r="J565" t="s">
        <v>16</v>
      </c>
    </row>
    <row r="566" spans="1:10">
      <c r="A566" t="s">
        <v>806</v>
      </c>
      <c r="B566">
        <v>45803</v>
      </c>
      <c r="C566" t="s">
        <v>259</v>
      </c>
      <c r="D566" t="s">
        <v>57</v>
      </c>
      <c r="E566" t="s">
        <v>20</v>
      </c>
      <c r="F566" t="s">
        <v>91</v>
      </c>
      <c r="G566">
        <v>3</v>
      </c>
      <c r="H566">
        <v>5814.61</v>
      </c>
      <c r="I566">
        <v>4635.88</v>
      </c>
      <c r="J566" t="s">
        <v>22</v>
      </c>
    </row>
    <row r="567" spans="1:10">
      <c r="A567" t="s">
        <v>807</v>
      </c>
      <c r="B567">
        <v>45853</v>
      </c>
      <c r="C567" t="s">
        <v>808</v>
      </c>
      <c r="D567" t="s">
        <v>41</v>
      </c>
      <c r="E567" t="s">
        <v>82</v>
      </c>
      <c r="F567" t="s">
        <v>150</v>
      </c>
      <c r="G567">
        <v>6</v>
      </c>
      <c r="H567">
        <v>3565.92</v>
      </c>
      <c r="I567">
        <v>2880.81</v>
      </c>
      <c r="J567" t="s">
        <v>22</v>
      </c>
    </row>
    <row r="568" spans="1:10">
      <c r="A568" t="s">
        <v>809</v>
      </c>
      <c r="B568">
        <v>45751</v>
      </c>
      <c r="C568" t="s">
        <v>51</v>
      </c>
      <c r="D568" t="s">
        <v>57</v>
      </c>
      <c r="E568" t="s">
        <v>78</v>
      </c>
      <c r="F568" t="s">
        <v>103</v>
      </c>
      <c r="G568">
        <v>5</v>
      </c>
      <c r="H568">
        <v>2746.99</v>
      </c>
      <c r="I568">
        <v>1650.65</v>
      </c>
      <c r="J568" t="s">
        <v>28</v>
      </c>
    </row>
    <row r="569" spans="1:10">
      <c r="A569" t="s">
        <v>810</v>
      </c>
      <c r="B569">
        <v>45845</v>
      </c>
      <c r="C569" t="s">
        <v>231</v>
      </c>
      <c r="D569" t="s">
        <v>57</v>
      </c>
      <c r="E569" t="s">
        <v>20</v>
      </c>
      <c r="F569" t="s">
        <v>14</v>
      </c>
      <c r="G569">
        <v>3</v>
      </c>
      <c r="H569">
        <v>3325.26</v>
      </c>
      <c r="I569">
        <v>2874.09</v>
      </c>
      <c r="J569" t="s">
        <v>28</v>
      </c>
    </row>
    <row r="570" spans="1:10">
      <c r="A570" t="s">
        <v>811</v>
      </c>
      <c r="B570">
        <v>45684</v>
      </c>
      <c r="C570" t="s">
        <v>67</v>
      </c>
      <c r="D570" t="s">
        <v>618</v>
      </c>
      <c r="E570" t="s">
        <v>36</v>
      </c>
      <c r="F570" t="s">
        <v>113</v>
      </c>
      <c r="G570">
        <v>5</v>
      </c>
      <c r="H570">
        <v>15433.79</v>
      </c>
      <c r="I570">
        <v>10534.42</v>
      </c>
      <c r="J570" t="s">
        <v>38</v>
      </c>
    </row>
    <row r="571" spans="1:10">
      <c r="A571" t="s">
        <v>812</v>
      </c>
      <c r="B571">
        <v>45889</v>
      </c>
      <c r="C571" t="s">
        <v>129</v>
      </c>
      <c r="D571" t="s">
        <v>12</v>
      </c>
      <c r="E571" t="s">
        <v>26</v>
      </c>
      <c r="F571" t="s">
        <v>106</v>
      </c>
      <c r="G571">
        <v>1</v>
      </c>
      <c r="H571">
        <v>434.89</v>
      </c>
      <c r="I571">
        <v>358.55</v>
      </c>
      <c r="J571" t="s">
        <v>16</v>
      </c>
    </row>
    <row r="572" spans="1:10">
      <c r="A572" t="s">
        <v>813</v>
      </c>
      <c r="B572">
        <v>46012</v>
      </c>
      <c r="C572" t="s">
        <v>175</v>
      </c>
      <c r="D572" t="s">
        <v>57</v>
      </c>
      <c r="E572" t="s">
        <v>32</v>
      </c>
      <c r="F572" t="s">
        <v>101</v>
      </c>
      <c r="G572">
        <v>2</v>
      </c>
      <c r="H572">
        <v>2083.62</v>
      </c>
      <c r="I572">
        <v>1693.08</v>
      </c>
      <c r="J572" t="s">
        <v>28</v>
      </c>
    </row>
    <row r="573" spans="1:10">
      <c r="A573" t="s">
        <v>814</v>
      </c>
      <c r="B573">
        <v>45738</v>
      </c>
      <c r="C573" t="s">
        <v>526</v>
      </c>
      <c r="D573" t="s">
        <v>63</v>
      </c>
      <c r="E573" t="s">
        <v>36</v>
      </c>
      <c r="F573" t="s">
        <v>93</v>
      </c>
      <c r="G573">
        <v>4</v>
      </c>
      <c r="H573">
        <v>3232.12</v>
      </c>
      <c r="I573">
        <v>2194.6999999999998</v>
      </c>
      <c r="J573" t="s">
        <v>38</v>
      </c>
    </row>
    <row r="574" spans="1:10">
      <c r="A574" t="s">
        <v>815</v>
      </c>
      <c r="B574">
        <v>45717</v>
      </c>
      <c r="C574" t="s">
        <v>35</v>
      </c>
      <c r="D574" t="s">
        <v>12</v>
      </c>
      <c r="E574" t="s">
        <v>36</v>
      </c>
      <c r="F574" t="s">
        <v>42</v>
      </c>
      <c r="G574">
        <v>7</v>
      </c>
      <c r="H574">
        <v>8497.77</v>
      </c>
      <c r="I574">
        <v>5020.37</v>
      </c>
      <c r="J574" t="s">
        <v>22</v>
      </c>
    </row>
    <row r="575" spans="1:10">
      <c r="A575" t="s">
        <v>816</v>
      </c>
      <c r="B575">
        <v>45957</v>
      </c>
      <c r="D575" t="s">
        <v>57</v>
      </c>
      <c r="E575" t="s">
        <v>60</v>
      </c>
      <c r="F575" t="s">
        <v>93</v>
      </c>
      <c r="G575">
        <v>8</v>
      </c>
      <c r="H575">
        <v>1829.2</v>
      </c>
      <c r="I575">
        <v>1269.1600000000001</v>
      </c>
      <c r="J575" t="s">
        <v>71</v>
      </c>
    </row>
    <row r="576" spans="1:10">
      <c r="A576" t="s">
        <v>817</v>
      </c>
      <c r="B576">
        <v>45900</v>
      </c>
      <c r="C576" t="s">
        <v>95</v>
      </c>
      <c r="D576" t="s">
        <v>31</v>
      </c>
      <c r="E576" t="s">
        <v>26</v>
      </c>
      <c r="F576" t="s">
        <v>350</v>
      </c>
      <c r="G576">
        <v>4</v>
      </c>
      <c r="H576">
        <v>1984.06</v>
      </c>
      <c r="I576">
        <v>1191.8499999999999</v>
      </c>
      <c r="J576" t="s">
        <v>71</v>
      </c>
    </row>
    <row r="577" spans="1:10">
      <c r="A577" t="s">
        <v>818</v>
      </c>
      <c r="B577">
        <v>45888</v>
      </c>
      <c r="C577" t="s">
        <v>59</v>
      </c>
      <c r="D577" t="s">
        <v>12</v>
      </c>
      <c r="E577" t="s">
        <v>82</v>
      </c>
      <c r="F577" t="s">
        <v>109</v>
      </c>
      <c r="G577">
        <v>5</v>
      </c>
      <c r="H577">
        <v>5808.16</v>
      </c>
      <c r="I577">
        <v>4232.58</v>
      </c>
      <c r="J577" t="s">
        <v>28</v>
      </c>
    </row>
    <row r="578" spans="1:10">
      <c r="A578" t="s">
        <v>819</v>
      </c>
      <c r="B578">
        <v>45796</v>
      </c>
      <c r="C578" t="s">
        <v>259</v>
      </c>
      <c r="D578" t="s">
        <v>57</v>
      </c>
      <c r="E578" t="s">
        <v>82</v>
      </c>
      <c r="F578" t="s">
        <v>155</v>
      </c>
      <c r="G578">
        <v>8</v>
      </c>
      <c r="H578">
        <v>3468.17</v>
      </c>
      <c r="I578">
        <v>2852.54</v>
      </c>
      <c r="J578" t="s">
        <v>38</v>
      </c>
    </row>
    <row r="579" spans="1:10">
      <c r="A579" t="s">
        <v>820</v>
      </c>
      <c r="B579">
        <v>45827</v>
      </c>
      <c r="C579" t="s">
        <v>11</v>
      </c>
      <c r="D579" t="s">
        <v>19</v>
      </c>
      <c r="E579" t="s">
        <v>20</v>
      </c>
      <c r="F579" t="s">
        <v>91</v>
      </c>
      <c r="G579">
        <v>8</v>
      </c>
      <c r="H579">
        <v>3045.67</v>
      </c>
      <c r="I579">
        <v>2035.68</v>
      </c>
      <c r="J579" t="s">
        <v>22</v>
      </c>
    </row>
    <row r="580" spans="1:10">
      <c r="A580" t="s">
        <v>821</v>
      </c>
      <c r="B580">
        <v>45962</v>
      </c>
      <c r="C580" t="s">
        <v>119</v>
      </c>
      <c r="D580" t="s">
        <v>12</v>
      </c>
      <c r="E580" t="s">
        <v>36</v>
      </c>
      <c r="F580" t="s">
        <v>93</v>
      </c>
      <c r="G580">
        <v>4</v>
      </c>
      <c r="H580">
        <v>1979.18</v>
      </c>
      <c r="I580">
        <v>1220.9000000000001</v>
      </c>
      <c r="J580" t="s">
        <v>22</v>
      </c>
    </row>
    <row r="581" spans="1:10">
      <c r="A581" t="s">
        <v>822</v>
      </c>
      <c r="B581">
        <v>45898</v>
      </c>
      <c r="C581" t="s">
        <v>56</v>
      </c>
      <c r="D581" t="s">
        <v>19</v>
      </c>
      <c r="E581" t="s">
        <v>32</v>
      </c>
      <c r="F581" t="s">
        <v>180</v>
      </c>
      <c r="G581">
        <v>1</v>
      </c>
      <c r="H581">
        <v>2192.6999999999998</v>
      </c>
      <c r="I581">
        <v>1628.25</v>
      </c>
      <c r="J581" t="s">
        <v>38</v>
      </c>
    </row>
    <row r="582" spans="1:10">
      <c r="A582" t="s">
        <v>823</v>
      </c>
      <c r="B582" t="s">
        <v>824</v>
      </c>
      <c r="C582" t="s">
        <v>757</v>
      </c>
      <c r="D582" t="s">
        <v>19</v>
      </c>
      <c r="E582" t="s">
        <v>82</v>
      </c>
      <c r="F582" t="s">
        <v>97</v>
      </c>
      <c r="G582">
        <v>7</v>
      </c>
      <c r="H582">
        <v>2348.27</v>
      </c>
      <c r="I582">
        <v>1443.58</v>
      </c>
      <c r="J582" t="s">
        <v>71</v>
      </c>
    </row>
    <row r="583" spans="1:10">
      <c r="A583" t="s">
        <v>825</v>
      </c>
      <c r="B583">
        <v>45982</v>
      </c>
      <c r="C583" t="s">
        <v>51</v>
      </c>
      <c r="D583" t="s">
        <v>19</v>
      </c>
      <c r="E583" t="s">
        <v>32</v>
      </c>
      <c r="F583" t="s">
        <v>99</v>
      </c>
      <c r="G583">
        <v>2</v>
      </c>
      <c r="H583">
        <v>913.39</v>
      </c>
      <c r="I583">
        <v>634.23</v>
      </c>
      <c r="J583" t="s">
        <v>71</v>
      </c>
    </row>
    <row r="584" spans="1:10">
      <c r="A584" t="s">
        <v>826</v>
      </c>
      <c r="B584">
        <v>45721</v>
      </c>
      <c r="C584" t="s">
        <v>51</v>
      </c>
      <c r="D584" t="s">
        <v>12</v>
      </c>
      <c r="E584" t="s">
        <v>32</v>
      </c>
      <c r="F584" t="s">
        <v>163</v>
      </c>
      <c r="G584">
        <v>6</v>
      </c>
      <c r="H584">
        <v>2435.69</v>
      </c>
      <c r="I584">
        <v>1642.15</v>
      </c>
      <c r="J584" t="s">
        <v>38</v>
      </c>
    </row>
    <row r="585" spans="1:10">
      <c r="A585" t="s">
        <v>827</v>
      </c>
      <c r="B585">
        <v>45681</v>
      </c>
      <c r="C585" t="s">
        <v>259</v>
      </c>
      <c r="D585" t="s">
        <v>41</v>
      </c>
      <c r="E585" t="s">
        <v>36</v>
      </c>
      <c r="F585" t="s">
        <v>37</v>
      </c>
      <c r="G585">
        <v>1</v>
      </c>
      <c r="H585">
        <v>15469.18</v>
      </c>
      <c r="I585">
        <v>11894.36</v>
      </c>
      <c r="J585" t="s">
        <v>71</v>
      </c>
    </row>
    <row r="586" spans="1:10">
      <c r="A586" t="s">
        <v>828</v>
      </c>
      <c r="B586">
        <v>45714</v>
      </c>
      <c r="C586" t="s">
        <v>124</v>
      </c>
      <c r="D586" t="s">
        <v>12</v>
      </c>
      <c r="E586" t="s">
        <v>82</v>
      </c>
      <c r="F586" t="s">
        <v>83</v>
      </c>
      <c r="G586">
        <v>2</v>
      </c>
      <c r="H586">
        <v>2839.27</v>
      </c>
      <c r="I586">
        <v>1832.93</v>
      </c>
      <c r="J586" t="s">
        <v>38</v>
      </c>
    </row>
    <row r="587" spans="1:10">
      <c r="A587" t="s">
        <v>829</v>
      </c>
      <c r="B587">
        <v>45887</v>
      </c>
      <c r="C587" t="s">
        <v>74</v>
      </c>
      <c r="D587" t="s">
        <v>12</v>
      </c>
      <c r="E587" t="s">
        <v>82</v>
      </c>
      <c r="F587" t="s">
        <v>97</v>
      </c>
      <c r="G587">
        <v>7</v>
      </c>
      <c r="H587">
        <v>3772.77</v>
      </c>
      <c r="I587">
        <v>2998.59</v>
      </c>
      <c r="J587" t="s">
        <v>38</v>
      </c>
    </row>
    <row r="588" spans="1:10">
      <c r="A588" t="s">
        <v>830</v>
      </c>
      <c r="B588">
        <v>45798</v>
      </c>
      <c r="C588" t="s">
        <v>35</v>
      </c>
      <c r="D588" t="s">
        <v>75</v>
      </c>
      <c r="E588" t="s">
        <v>32</v>
      </c>
      <c r="F588" t="s">
        <v>180</v>
      </c>
      <c r="G588">
        <v>2</v>
      </c>
      <c r="H588">
        <v>2093.35</v>
      </c>
      <c r="I588">
        <v>1801.04</v>
      </c>
      <c r="J588" t="s">
        <v>28</v>
      </c>
    </row>
    <row r="589" spans="1:10">
      <c r="A589" t="s">
        <v>831</v>
      </c>
      <c r="B589">
        <v>45740</v>
      </c>
      <c r="C589" t="s">
        <v>18</v>
      </c>
      <c r="D589" t="s">
        <v>19</v>
      </c>
      <c r="E589" t="s">
        <v>32</v>
      </c>
      <c r="F589" t="s">
        <v>101</v>
      </c>
      <c r="G589">
        <v>1</v>
      </c>
      <c r="H589">
        <v>1460.72</v>
      </c>
      <c r="I589">
        <v>1242.22</v>
      </c>
      <c r="J589" t="s">
        <v>28</v>
      </c>
    </row>
    <row r="590" spans="1:10">
      <c r="A590" t="s">
        <v>832</v>
      </c>
      <c r="B590">
        <v>45838</v>
      </c>
      <c r="C590" t="s">
        <v>121</v>
      </c>
      <c r="D590" t="s">
        <v>63</v>
      </c>
      <c r="E590" t="s">
        <v>36</v>
      </c>
      <c r="F590" t="s">
        <v>113</v>
      </c>
      <c r="G590">
        <v>4</v>
      </c>
      <c r="H590">
        <v>10658.35</v>
      </c>
      <c r="I590">
        <v>6520.92</v>
      </c>
      <c r="J590" t="s">
        <v>16</v>
      </c>
    </row>
    <row r="591" spans="1:10">
      <c r="A591" t="s">
        <v>833</v>
      </c>
      <c r="B591">
        <v>45741</v>
      </c>
      <c r="C591" t="s">
        <v>48</v>
      </c>
      <c r="D591" t="s">
        <v>31</v>
      </c>
      <c r="E591" t="s">
        <v>32</v>
      </c>
      <c r="F591" t="s">
        <v>52</v>
      </c>
      <c r="G591">
        <v>3</v>
      </c>
      <c r="H591">
        <v>2112.09</v>
      </c>
      <c r="I591">
        <v>1699.1</v>
      </c>
      <c r="J591" t="s">
        <v>71</v>
      </c>
    </row>
    <row r="592" spans="1:10">
      <c r="A592" t="s">
        <v>834</v>
      </c>
      <c r="B592">
        <v>45747</v>
      </c>
      <c r="C592" t="s">
        <v>129</v>
      </c>
      <c r="D592" t="s">
        <v>593</v>
      </c>
      <c r="E592" t="s">
        <v>32</v>
      </c>
      <c r="F592" t="s">
        <v>52</v>
      </c>
      <c r="G592">
        <v>1</v>
      </c>
      <c r="H592">
        <v>1571.43</v>
      </c>
      <c r="I592">
        <v>1236.21</v>
      </c>
      <c r="J592" t="s">
        <v>38</v>
      </c>
    </row>
    <row r="593" spans="1:10">
      <c r="A593" t="s">
        <v>835</v>
      </c>
      <c r="B593">
        <v>45996</v>
      </c>
      <c r="C593" t="s">
        <v>105</v>
      </c>
      <c r="D593" t="s">
        <v>41</v>
      </c>
      <c r="E593" t="s">
        <v>149</v>
      </c>
      <c r="F593" t="s">
        <v>137</v>
      </c>
      <c r="G593">
        <v>5</v>
      </c>
      <c r="H593">
        <v>2362.84</v>
      </c>
      <c r="I593">
        <v>1374.35</v>
      </c>
      <c r="J593" t="s">
        <v>28</v>
      </c>
    </row>
    <row r="594" spans="1:10">
      <c r="A594" t="s">
        <v>836</v>
      </c>
      <c r="B594" t="s">
        <v>837</v>
      </c>
      <c r="C594" t="s">
        <v>11</v>
      </c>
      <c r="D594" t="s">
        <v>41</v>
      </c>
      <c r="E594" t="s">
        <v>26</v>
      </c>
      <c r="F594" t="s">
        <v>103</v>
      </c>
      <c r="G594">
        <v>4</v>
      </c>
      <c r="H594">
        <v>3173.98</v>
      </c>
      <c r="I594">
        <v>2589.31</v>
      </c>
      <c r="J594" t="s">
        <v>38</v>
      </c>
    </row>
    <row r="595" spans="1:10">
      <c r="A595" t="s">
        <v>838</v>
      </c>
      <c r="B595">
        <v>45948</v>
      </c>
      <c r="C595" t="s">
        <v>231</v>
      </c>
      <c r="D595" t="s">
        <v>12</v>
      </c>
      <c r="E595" t="s">
        <v>36</v>
      </c>
      <c r="F595" t="s">
        <v>88</v>
      </c>
      <c r="G595">
        <v>2</v>
      </c>
      <c r="H595">
        <v>16776.580000000002</v>
      </c>
      <c r="I595">
        <v>11082</v>
      </c>
      <c r="J595" t="s">
        <v>28</v>
      </c>
    </row>
    <row r="596" spans="1:10">
      <c r="A596" t="s">
        <v>839</v>
      </c>
      <c r="B596">
        <v>45681</v>
      </c>
      <c r="C596" t="s">
        <v>35</v>
      </c>
      <c r="D596" t="s">
        <v>63</v>
      </c>
      <c r="E596" t="s">
        <v>60</v>
      </c>
      <c r="F596" t="s">
        <v>46</v>
      </c>
      <c r="G596">
        <v>1</v>
      </c>
      <c r="H596">
        <v>6104.63</v>
      </c>
      <c r="I596">
        <v>4349.95</v>
      </c>
      <c r="J596" t="s">
        <v>16</v>
      </c>
    </row>
    <row r="597" spans="1:10">
      <c r="A597" t="s">
        <v>840</v>
      </c>
      <c r="B597">
        <v>45874</v>
      </c>
      <c r="C597" t="s">
        <v>124</v>
      </c>
      <c r="D597" t="s">
        <v>19</v>
      </c>
      <c r="E597" t="s">
        <v>82</v>
      </c>
      <c r="F597" t="s">
        <v>155</v>
      </c>
      <c r="G597">
        <v>5</v>
      </c>
      <c r="H597">
        <v>759.44</v>
      </c>
      <c r="I597">
        <v>511.12</v>
      </c>
      <c r="J597" t="s">
        <v>28</v>
      </c>
    </row>
    <row r="598" spans="1:10">
      <c r="A598" t="s">
        <v>841</v>
      </c>
      <c r="B598">
        <v>45988</v>
      </c>
      <c r="C598" t="s">
        <v>108</v>
      </c>
      <c r="D598" t="s">
        <v>63</v>
      </c>
      <c r="E598" t="s">
        <v>26</v>
      </c>
      <c r="F598" t="s">
        <v>842</v>
      </c>
      <c r="G598">
        <v>3</v>
      </c>
      <c r="H598">
        <v>1083.45</v>
      </c>
      <c r="I598">
        <v>810.86</v>
      </c>
      <c r="J598" t="s">
        <v>28</v>
      </c>
    </row>
    <row r="599" spans="1:10">
      <c r="A599" t="s">
        <v>843</v>
      </c>
      <c r="B599">
        <v>45751</v>
      </c>
      <c r="C599" t="s">
        <v>844</v>
      </c>
      <c r="D599" t="s">
        <v>63</v>
      </c>
      <c r="E599" t="s">
        <v>82</v>
      </c>
      <c r="F599" t="s">
        <v>137</v>
      </c>
      <c r="G599">
        <v>8</v>
      </c>
      <c r="H599">
        <v>4556.5600000000004</v>
      </c>
      <c r="I599">
        <v>2603.27</v>
      </c>
      <c r="J599" t="s">
        <v>28</v>
      </c>
    </row>
    <row r="600" spans="1:10">
      <c r="A600" t="s">
        <v>845</v>
      </c>
      <c r="B600">
        <v>45819</v>
      </c>
      <c r="C600" t="s">
        <v>70</v>
      </c>
      <c r="D600" t="s">
        <v>127</v>
      </c>
      <c r="E600" t="s">
        <v>82</v>
      </c>
      <c r="F600" t="s">
        <v>83</v>
      </c>
      <c r="G600">
        <v>1</v>
      </c>
      <c r="H600" t="s">
        <v>846</v>
      </c>
      <c r="I600">
        <v>296.14999999999998</v>
      </c>
      <c r="J600" t="s">
        <v>38</v>
      </c>
    </row>
    <row r="601" spans="1:10">
      <c r="A601" t="s">
        <v>847</v>
      </c>
      <c r="B601">
        <v>45708</v>
      </c>
      <c r="C601" t="s">
        <v>56</v>
      </c>
      <c r="D601" t="s">
        <v>593</v>
      </c>
      <c r="E601" t="s">
        <v>26</v>
      </c>
      <c r="F601" t="s">
        <v>79</v>
      </c>
      <c r="G601">
        <v>8</v>
      </c>
      <c r="H601">
        <v>575.17999999999995</v>
      </c>
      <c r="I601">
        <v>444.49</v>
      </c>
      <c r="J601" t="s">
        <v>22</v>
      </c>
    </row>
    <row r="602" spans="1:10">
      <c r="A602" t="s">
        <v>848</v>
      </c>
      <c r="B602">
        <v>45991</v>
      </c>
      <c r="C602" t="s">
        <v>441</v>
      </c>
      <c r="D602" t="s">
        <v>41</v>
      </c>
      <c r="E602" t="s">
        <v>20</v>
      </c>
      <c r="F602" t="s">
        <v>91</v>
      </c>
      <c r="G602">
        <v>1</v>
      </c>
      <c r="H602">
        <v>2492.2399999999998</v>
      </c>
      <c r="I602">
        <v>2074.86</v>
      </c>
      <c r="J602" t="s">
        <v>16</v>
      </c>
    </row>
    <row r="603" spans="1:10">
      <c r="A603" t="s">
        <v>849</v>
      </c>
      <c r="B603">
        <v>45921</v>
      </c>
      <c r="C603" t="s">
        <v>850</v>
      </c>
      <c r="D603" t="s">
        <v>57</v>
      </c>
      <c r="E603" t="s">
        <v>26</v>
      </c>
      <c r="F603" t="s">
        <v>131</v>
      </c>
      <c r="G603">
        <v>1</v>
      </c>
      <c r="H603" t="s">
        <v>851</v>
      </c>
      <c r="I603">
        <v>2778.57</v>
      </c>
      <c r="J603" t="s">
        <v>28</v>
      </c>
    </row>
    <row r="604" spans="1:10">
      <c r="A604" t="s">
        <v>852</v>
      </c>
      <c r="B604">
        <v>45955</v>
      </c>
      <c r="C604" t="s">
        <v>40</v>
      </c>
      <c r="D604" t="s">
        <v>12</v>
      </c>
      <c r="E604" t="s">
        <v>26</v>
      </c>
      <c r="F604" t="s">
        <v>103</v>
      </c>
      <c r="G604">
        <v>5</v>
      </c>
      <c r="H604">
        <v>374.34</v>
      </c>
      <c r="I604">
        <v>279.58</v>
      </c>
      <c r="J604" t="s">
        <v>22</v>
      </c>
    </row>
    <row r="605" spans="1:10">
      <c r="A605" t="s">
        <v>853</v>
      </c>
      <c r="B605">
        <v>45958</v>
      </c>
      <c r="C605" t="s">
        <v>117</v>
      </c>
      <c r="D605" t="s">
        <v>57</v>
      </c>
      <c r="E605" t="s">
        <v>20</v>
      </c>
      <c r="F605" t="s">
        <v>196</v>
      </c>
      <c r="G605">
        <v>4</v>
      </c>
      <c r="H605">
        <v>3211.39</v>
      </c>
      <c r="I605">
        <v>2563.62</v>
      </c>
      <c r="J605" t="s">
        <v>28</v>
      </c>
    </row>
    <row r="606" spans="1:10">
      <c r="A606" t="s">
        <v>854</v>
      </c>
      <c r="B606">
        <v>45830</v>
      </c>
      <c r="C606" t="s">
        <v>40</v>
      </c>
      <c r="D606" t="s">
        <v>12</v>
      </c>
      <c r="E606" t="s">
        <v>26</v>
      </c>
      <c r="F606" t="s">
        <v>27</v>
      </c>
      <c r="G606">
        <v>1</v>
      </c>
      <c r="H606">
        <v>1567.9</v>
      </c>
      <c r="I606">
        <v>971.87</v>
      </c>
      <c r="J606" t="s">
        <v>38</v>
      </c>
    </row>
    <row r="607" spans="1:10">
      <c r="A607" t="s">
        <v>855</v>
      </c>
      <c r="B607">
        <v>45951</v>
      </c>
      <c r="C607" t="s">
        <v>48</v>
      </c>
      <c r="D607" t="s">
        <v>12</v>
      </c>
      <c r="E607" t="s">
        <v>36</v>
      </c>
      <c r="F607" t="s">
        <v>37</v>
      </c>
      <c r="G607">
        <v>7</v>
      </c>
      <c r="H607">
        <v>10085.299999999999</v>
      </c>
      <c r="I607">
        <v>8698.6</v>
      </c>
      <c r="J607" t="s">
        <v>22</v>
      </c>
    </row>
    <row r="608" spans="1:10">
      <c r="A608" t="s">
        <v>856</v>
      </c>
      <c r="B608">
        <v>45747</v>
      </c>
      <c r="C608" t="s">
        <v>321</v>
      </c>
      <c r="D608" t="s">
        <v>31</v>
      </c>
      <c r="E608" t="s">
        <v>82</v>
      </c>
      <c r="F608" t="s">
        <v>150</v>
      </c>
      <c r="G608">
        <v>4</v>
      </c>
      <c r="H608">
        <v>2581.4</v>
      </c>
      <c r="I608">
        <v>1707.65</v>
      </c>
      <c r="J608" t="s">
        <v>28</v>
      </c>
    </row>
    <row r="609" spans="1:10">
      <c r="A609" t="s">
        <v>857</v>
      </c>
      <c r="B609">
        <v>45662</v>
      </c>
      <c r="C609" t="s">
        <v>124</v>
      </c>
      <c r="D609" t="s">
        <v>63</v>
      </c>
      <c r="E609" t="s">
        <v>20</v>
      </c>
      <c r="F609" t="s">
        <v>91</v>
      </c>
      <c r="G609">
        <v>2</v>
      </c>
      <c r="H609">
        <v>3044.81</v>
      </c>
      <c r="I609">
        <v>2615.38</v>
      </c>
      <c r="J609" t="s">
        <v>28</v>
      </c>
    </row>
    <row r="610" spans="1:10">
      <c r="A610" t="s">
        <v>858</v>
      </c>
      <c r="B610">
        <v>45877</v>
      </c>
      <c r="C610" t="s">
        <v>54</v>
      </c>
      <c r="D610" t="s">
        <v>63</v>
      </c>
      <c r="E610" t="s">
        <v>32</v>
      </c>
      <c r="F610" t="s">
        <v>33</v>
      </c>
      <c r="G610">
        <v>8</v>
      </c>
      <c r="H610">
        <v>1081.6300000000001</v>
      </c>
      <c r="I610">
        <v>608.36</v>
      </c>
      <c r="J610" t="s">
        <v>71</v>
      </c>
    </row>
    <row r="611" spans="1:10">
      <c r="A611" t="s">
        <v>859</v>
      </c>
      <c r="B611">
        <v>45762</v>
      </c>
      <c r="C611" t="s">
        <v>860</v>
      </c>
      <c r="D611" t="s">
        <v>41</v>
      </c>
      <c r="E611" t="s">
        <v>82</v>
      </c>
      <c r="F611" t="s">
        <v>109</v>
      </c>
      <c r="G611">
        <v>5</v>
      </c>
      <c r="H611" t="s">
        <v>861</v>
      </c>
      <c r="I611">
        <v>3039.1</v>
      </c>
      <c r="J611" t="s">
        <v>71</v>
      </c>
    </row>
    <row r="612" spans="1:10">
      <c r="A612" t="s">
        <v>862</v>
      </c>
      <c r="B612">
        <v>45849</v>
      </c>
      <c r="C612" t="s">
        <v>129</v>
      </c>
      <c r="D612" t="s">
        <v>19</v>
      </c>
      <c r="E612" t="s">
        <v>20</v>
      </c>
      <c r="F612" t="s">
        <v>14</v>
      </c>
      <c r="G612">
        <v>1</v>
      </c>
      <c r="H612">
        <v>4777.8500000000004</v>
      </c>
      <c r="I612">
        <v>4067.89</v>
      </c>
      <c r="J612" t="s">
        <v>28</v>
      </c>
    </row>
    <row r="613" spans="1:10">
      <c r="A613" t="s">
        <v>863</v>
      </c>
      <c r="B613">
        <v>46021</v>
      </c>
      <c r="C613" t="s">
        <v>115</v>
      </c>
      <c r="D613" t="s">
        <v>12</v>
      </c>
      <c r="E613" t="s">
        <v>82</v>
      </c>
      <c r="F613" t="s">
        <v>109</v>
      </c>
      <c r="G613">
        <v>3</v>
      </c>
      <c r="H613" t="s">
        <v>268</v>
      </c>
      <c r="I613">
        <v>1359.08</v>
      </c>
      <c r="J613" t="s">
        <v>28</v>
      </c>
    </row>
    <row r="614" spans="1:10">
      <c r="A614" t="s">
        <v>864</v>
      </c>
      <c r="B614">
        <v>45977</v>
      </c>
      <c r="C614" t="s">
        <v>133</v>
      </c>
      <c r="D614" t="s">
        <v>41</v>
      </c>
      <c r="E614" t="s">
        <v>26</v>
      </c>
      <c r="F614" t="s">
        <v>79</v>
      </c>
      <c r="G614">
        <v>1</v>
      </c>
      <c r="H614">
        <v>2180.25</v>
      </c>
      <c r="I614">
        <v>1233.6400000000001</v>
      </c>
      <c r="J614" t="s">
        <v>16</v>
      </c>
    </row>
    <row r="615" spans="1:10">
      <c r="A615" t="s">
        <v>865</v>
      </c>
      <c r="B615">
        <v>45797</v>
      </c>
      <c r="C615" t="s">
        <v>11</v>
      </c>
      <c r="D615" t="s">
        <v>41</v>
      </c>
      <c r="E615" t="s">
        <v>82</v>
      </c>
      <c r="F615" t="s">
        <v>97</v>
      </c>
      <c r="G615">
        <v>7</v>
      </c>
      <c r="H615">
        <v>2750.24</v>
      </c>
      <c r="I615">
        <v>2117.69</v>
      </c>
      <c r="J615" t="s">
        <v>28</v>
      </c>
    </row>
    <row r="616" spans="1:10">
      <c r="A616" t="s">
        <v>866</v>
      </c>
      <c r="B616">
        <v>45962</v>
      </c>
      <c r="C616" t="s">
        <v>231</v>
      </c>
      <c r="E616" t="s">
        <v>20</v>
      </c>
      <c r="F616" t="s">
        <v>196</v>
      </c>
      <c r="G616">
        <v>1</v>
      </c>
      <c r="H616" t="s">
        <v>867</v>
      </c>
      <c r="I616">
        <v>2689.09</v>
      </c>
      <c r="J616" t="s">
        <v>38</v>
      </c>
    </row>
    <row r="617" spans="1:10">
      <c r="A617" t="s">
        <v>868</v>
      </c>
      <c r="B617">
        <v>45837</v>
      </c>
      <c r="C617" t="s">
        <v>59</v>
      </c>
      <c r="D617" t="s">
        <v>63</v>
      </c>
      <c r="E617" t="s">
        <v>32</v>
      </c>
      <c r="F617" t="s">
        <v>33</v>
      </c>
      <c r="G617">
        <v>7</v>
      </c>
      <c r="H617">
        <v>433.29</v>
      </c>
      <c r="I617">
        <v>306.87</v>
      </c>
      <c r="J617" t="s">
        <v>38</v>
      </c>
    </row>
    <row r="618" spans="1:10">
      <c r="A618" t="s">
        <v>869</v>
      </c>
      <c r="B618">
        <v>46018</v>
      </c>
      <c r="C618" t="s">
        <v>220</v>
      </c>
      <c r="D618" t="s">
        <v>19</v>
      </c>
      <c r="E618" t="s">
        <v>20</v>
      </c>
      <c r="F618" t="s">
        <v>91</v>
      </c>
      <c r="G618">
        <v>8</v>
      </c>
      <c r="H618">
        <v>2243.7199999999998</v>
      </c>
      <c r="I618">
        <v>1492.31</v>
      </c>
      <c r="J618" t="s">
        <v>22</v>
      </c>
    </row>
    <row r="619" spans="1:10">
      <c r="A619" t="s">
        <v>870</v>
      </c>
      <c r="B619">
        <v>45830</v>
      </c>
      <c r="C619" t="s">
        <v>40</v>
      </c>
      <c r="D619" t="s">
        <v>12</v>
      </c>
      <c r="E619" t="s">
        <v>26</v>
      </c>
      <c r="F619" t="s">
        <v>27</v>
      </c>
      <c r="G619">
        <v>1</v>
      </c>
      <c r="H619">
        <v>1567.9</v>
      </c>
      <c r="I619">
        <v>971.87</v>
      </c>
      <c r="J619" t="s">
        <v>38</v>
      </c>
    </row>
    <row r="620" spans="1:10">
      <c r="A620" t="s">
        <v>871</v>
      </c>
      <c r="B620">
        <v>45739</v>
      </c>
      <c r="C620" t="s">
        <v>105</v>
      </c>
      <c r="D620" t="s">
        <v>63</v>
      </c>
      <c r="E620" t="s">
        <v>26</v>
      </c>
      <c r="F620" t="s">
        <v>131</v>
      </c>
      <c r="G620">
        <v>1</v>
      </c>
      <c r="H620">
        <v>2030.81</v>
      </c>
      <c r="I620">
        <v>1343.07</v>
      </c>
      <c r="J620" t="s">
        <v>28</v>
      </c>
    </row>
    <row r="621" spans="1:10">
      <c r="A621" t="s">
        <v>872</v>
      </c>
      <c r="B621">
        <v>45832</v>
      </c>
      <c r="C621" t="s">
        <v>121</v>
      </c>
      <c r="D621" t="s">
        <v>12</v>
      </c>
      <c r="E621" t="s">
        <v>36</v>
      </c>
      <c r="F621" t="s">
        <v>37</v>
      </c>
      <c r="G621">
        <v>4</v>
      </c>
      <c r="H621">
        <v>13632.96</v>
      </c>
      <c r="I621">
        <v>8020.48</v>
      </c>
      <c r="J621" t="s">
        <v>22</v>
      </c>
    </row>
    <row r="622" spans="1:10">
      <c r="A622" t="s">
        <v>873</v>
      </c>
      <c r="B622">
        <v>45766</v>
      </c>
      <c r="C622" t="s">
        <v>70</v>
      </c>
      <c r="D622" t="s">
        <v>19</v>
      </c>
      <c r="E622" t="s">
        <v>82</v>
      </c>
      <c r="F622" t="s">
        <v>109</v>
      </c>
      <c r="G622">
        <v>1</v>
      </c>
      <c r="H622">
        <v>5690.28</v>
      </c>
      <c r="I622">
        <v>3660.98</v>
      </c>
      <c r="J622" t="s">
        <v>16</v>
      </c>
    </row>
    <row r="623" spans="1:10">
      <c r="A623" t="s">
        <v>874</v>
      </c>
      <c r="B623">
        <v>46022</v>
      </c>
      <c r="D623" t="s">
        <v>19</v>
      </c>
      <c r="E623" t="s">
        <v>26</v>
      </c>
      <c r="F623" t="s">
        <v>103</v>
      </c>
      <c r="G623">
        <v>3</v>
      </c>
      <c r="H623">
        <v>2829.51</v>
      </c>
      <c r="I623">
        <v>2031.28</v>
      </c>
      <c r="J623" t="s">
        <v>16</v>
      </c>
    </row>
    <row r="624" spans="1:10">
      <c r="A624" t="s">
        <v>875</v>
      </c>
      <c r="B624">
        <v>45940</v>
      </c>
      <c r="C624" t="s">
        <v>54</v>
      </c>
      <c r="D624" t="s">
        <v>12</v>
      </c>
      <c r="E624" t="s">
        <v>26</v>
      </c>
      <c r="F624" t="s">
        <v>103</v>
      </c>
      <c r="G624">
        <v>4</v>
      </c>
      <c r="H624">
        <v>2324.7600000000002</v>
      </c>
      <c r="I624">
        <v>1303.45</v>
      </c>
      <c r="J624" t="s">
        <v>22</v>
      </c>
    </row>
    <row r="625" spans="1:10">
      <c r="A625" t="s">
        <v>876</v>
      </c>
      <c r="B625">
        <v>45760</v>
      </c>
      <c r="C625" t="s">
        <v>67</v>
      </c>
      <c r="D625" t="s">
        <v>19</v>
      </c>
      <c r="E625" t="s">
        <v>20</v>
      </c>
      <c r="F625" t="s">
        <v>21</v>
      </c>
      <c r="G625">
        <v>7</v>
      </c>
      <c r="H625">
        <v>1175.19</v>
      </c>
      <c r="I625">
        <v>971.38</v>
      </c>
      <c r="J625" t="s">
        <v>28</v>
      </c>
    </row>
    <row r="626" spans="1:10">
      <c r="A626" t="s">
        <v>877</v>
      </c>
      <c r="B626">
        <v>45851</v>
      </c>
      <c r="C626" t="s">
        <v>56</v>
      </c>
      <c r="E626" t="s">
        <v>32</v>
      </c>
      <c r="F626" t="s">
        <v>241</v>
      </c>
      <c r="G626">
        <v>6</v>
      </c>
      <c r="H626">
        <v>1551.66</v>
      </c>
      <c r="I626">
        <v>1313.35</v>
      </c>
      <c r="J626" t="s">
        <v>16</v>
      </c>
    </row>
    <row r="627" spans="1:10">
      <c r="A627" t="s">
        <v>878</v>
      </c>
      <c r="B627">
        <v>45712</v>
      </c>
      <c r="C627" t="s">
        <v>51</v>
      </c>
      <c r="D627" t="s">
        <v>31</v>
      </c>
      <c r="E627" t="s">
        <v>26</v>
      </c>
      <c r="F627" t="s">
        <v>131</v>
      </c>
      <c r="G627">
        <v>1</v>
      </c>
      <c r="H627">
        <v>3164.85</v>
      </c>
      <c r="I627">
        <v>2254.9499999999998</v>
      </c>
      <c r="J627" t="s">
        <v>28</v>
      </c>
    </row>
    <row r="628" spans="1:10">
      <c r="A628" t="s">
        <v>879</v>
      </c>
      <c r="B628">
        <v>45947</v>
      </c>
      <c r="C628" t="s">
        <v>59</v>
      </c>
      <c r="D628" t="s">
        <v>31</v>
      </c>
      <c r="E628" t="s">
        <v>20</v>
      </c>
      <c r="F628" t="s">
        <v>91</v>
      </c>
      <c r="G628">
        <v>3</v>
      </c>
      <c r="H628" t="s">
        <v>880</v>
      </c>
      <c r="I628">
        <v>509.09</v>
      </c>
      <c r="J628" t="s">
        <v>16</v>
      </c>
    </row>
    <row r="629" spans="1:10">
      <c r="A629" t="s">
        <v>881</v>
      </c>
      <c r="B629">
        <v>45724</v>
      </c>
      <c r="C629" t="s">
        <v>30</v>
      </c>
      <c r="D629" t="s">
        <v>41</v>
      </c>
      <c r="E629" t="s">
        <v>26</v>
      </c>
      <c r="F629" t="s">
        <v>350</v>
      </c>
      <c r="G629">
        <v>2</v>
      </c>
      <c r="H629">
        <v>1496.54</v>
      </c>
      <c r="I629">
        <v>1113.82</v>
      </c>
      <c r="J629" t="s">
        <v>71</v>
      </c>
    </row>
    <row r="630" spans="1:10">
      <c r="A630" t="s">
        <v>882</v>
      </c>
      <c r="B630">
        <v>45860</v>
      </c>
      <c r="C630" t="s">
        <v>67</v>
      </c>
      <c r="D630" t="s">
        <v>577</v>
      </c>
      <c r="E630" t="s">
        <v>20</v>
      </c>
      <c r="F630" t="s">
        <v>21</v>
      </c>
      <c r="G630">
        <v>1</v>
      </c>
      <c r="H630" t="s">
        <v>883</v>
      </c>
      <c r="I630">
        <v>2686.18</v>
      </c>
      <c r="J630" t="s">
        <v>71</v>
      </c>
    </row>
    <row r="631" spans="1:10">
      <c r="A631" t="s">
        <v>884</v>
      </c>
      <c r="B631">
        <v>46008</v>
      </c>
      <c r="C631" t="s">
        <v>121</v>
      </c>
      <c r="D631" t="s">
        <v>75</v>
      </c>
      <c r="E631" t="s">
        <v>32</v>
      </c>
      <c r="F631" t="s">
        <v>163</v>
      </c>
      <c r="G631">
        <v>2</v>
      </c>
      <c r="H631">
        <v>2436.7399999999998</v>
      </c>
      <c r="I631">
        <v>1523.51</v>
      </c>
      <c r="J631" t="s">
        <v>22</v>
      </c>
    </row>
    <row r="632" spans="1:10">
      <c r="A632" t="s">
        <v>885</v>
      </c>
      <c r="B632">
        <v>45934</v>
      </c>
      <c r="C632" t="s">
        <v>117</v>
      </c>
      <c r="D632" t="s">
        <v>31</v>
      </c>
      <c r="E632" t="s">
        <v>32</v>
      </c>
      <c r="F632" t="s">
        <v>33</v>
      </c>
      <c r="G632">
        <v>1</v>
      </c>
      <c r="H632" t="s">
        <v>886</v>
      </c>
      <c r="I632">
        <v>921.77</v>
      </c>
      <c r="J632" t="s">
        <v>71</v>
      </c>
    </row>
    <row r="633" spans="1:10">
      <c r="A633" t="s">
        <v>288</v>
      </c>
      <c r="B633">
        <v>45892</v>
      </c>
      <c r="C633" t="s">
        <v>105</v>
      </c>
      <c r="D633" t="s">
        <v>41</v>
      </c>
      <c r="E633" t="s">
        <v>82</v>
      </c>
      <c r="F633" t="s">
        <v>137</v>
      </c>
      <c r="G633">
        <v>1</v>
      </c>
      <c r="H633">
        <v>801.45</v>
      </c>
      <c r="I633">
        <v>567.48</v>
      </c>
      <c r="J633" t="s">
        <v>28</v>
      </c>
    </row>
    <row r="634" spans="1:10">
      <c r="A634" t="s">
        <v>887</v>
      </c>
      <c r="B634">
        <v>45670</v>
      </c>
      <c r="C634" t="s">
        <v>175</v>
      </c>
      <c r="D634" t="s">
        <v>31</v>
      </c>
      <c r="E634" t="s">
        <v>20</v>
      </c>
      <c r="F634" t="s">
        <v>21</v>
      </c>
      <c r="G634">
        <v>8</v>
      </c>
      <c r="H634">
        <v>1075.02</v>
      </c>
      <c r="I634">
        <v>738.83</v>
      </c>
      <c r="J634" t="s">
        <v>16</v>
      </c>
    </row>
    <row r="635" spans="1:10">
      <c r="A635" t="s">
        <v>888</v>
      </c>
      <c r="B635">
        <v>45801</v>
      </c>
      <c r="C635" t="s">
        <v>121</v>
      </c>
      <c r="D635" t="s">
        <v>12</v>
      </c>
      <c r="E635" t="s">
        <v>26</v>
      </c>
      <c r="F635" t="s">
        <v>350</v>
      </c>
      <c r="G635">
        <v>6</v>
      </c>
      <c r="H635">
        <v>2562.65</v>
      </c>
      <c r="I635">
        <v>1618.31</v>
      </c>
      <c r="J635" t="s">
        <v>16</v>
      </c>
    </row>
    <row r="636" spans="1:10">
      <c r="A636" t="s">
        <v>889</v>
      </c>
      <c r="B636">
        <v>45891</v>
      </c>
      <c r="C636" t="s">
        <v>67</v>
      </c>
      <c r="D636" t="s">
        <v>12</v>
      </c>
      <c r="E636" t="s">
        <v>26</v>
      </c>
      <c r="F636" t="s">
        <v>350</v>
      </c>
      <c r="G636">
        <v>6</v>
      </c>
      <c r="H636">
        <v>1659.41</v>
      </c>
      <c r="I636">
        <v>1288.76</v>
      </c>
      <c r="J636" t="s">
        <v>71</v>
      </c>
    </row>
    <row r="637" spans="1:10">
      <c r="A637" t="s">
        <v>890</v>
      </c>
      <c r="B637">
        <v>45713</v>
      </c>
      <c r="C637" t="s">
        <v>30</v>
      </c>
      <c r="D637" t="s">
        <v>63</v>
      </c>
      <c r="E637" t="s">
        <v>32</v>
      </c>
      <c r="F637" t="s">
        <v>52</v>
      </c>
      <c r="G637">
        <v>1</v>
      </c>
      <c r="H637">
        <v>665.4</v>
      </c>
      <c r="I637">
        <v>554.72</v>
      </c>
      <c r="J637" t="s">
        <v>38</v>
      </c>
    </row>
    <row r="638" spans="1:10">
      <c r="A638" t="s">
        <v>891</v>
      </c>
      <c r="B638">
        <v>45971</v>
      </c>
      <c r="C638" t="s">
        <v>51</v>
      </c>
      <c r="D638" t="s">
        <v>31</v>
      </c>
      <c r="E638" t="s">
        <v>182</v>
      </c>
      <c r="F638" t="s">
        <v>106</v>
      </c>
      <c r="G638">
        <v>7</v>
      </c>
      <c r="H638">
        <v>2949.35</v>
      </c>
      <c r="I638">
        <v>2155.38</v>
      </c>
      <c r="J638" t="s">
        <v>71</v>
      </c>
    </row>
    <row r="639" spans="1:10">
      <c r="A639" t="s">
        <v>892</v>
      </c>
      <c r="B639">
        <v>45833</v>
      </c>
      <c r="C639" t="s">
        <v>74</v>
      </c>
      <c r="D639" t="s">
        <v>19</v>
      </c>
      <c r="E639" t="s">
        <v>36</v>
      </c>
      <c r="F639" t="s">
        <v>37</v>
      </c>
      <c r="G639">
        <v>3</v>
      </c>
      <c r="H639">
        <v>16083.62</v>
      </c>
      <c r="I639">
        <v>9700.01</v>
      </c>
      <c r="J639" t="s">
        <v>16</v>
      </c>
    </row>
    <row r="640" spans="1:10">
      <c r="A640" t="s">
        <v>893</v>
      </c>
      <c r="B640">
        <v>45705</v>
      </c>
      <c r="C640" t="s">
        <v>441</v>
      </c>
      <c r="D640" t="s">
        <v>57</v>
      </c>
      <c r="E640" t="s">
        <v>82</v>
      </c>
      <c r="F640" t="s">
        <v>155</v>
      </c>
      <c r="G640">
        <v>2</v>
      </c>
      <c r="H640">
        <v>4306.3100000000004</v>
      </c>
      <c r="I640">
        <v>2756.94</v>
      </c>
      <c r="J640" t="s">
        <v>38</v>
      </c>
    </row>
    <row r="641" spans="1:10">
      <c r="A641" t="s">
        <v>894</v>
      </c>
      <c r="B641">
        <v>46018</v>
      </c>
      <c r="C641" t="s">
        <v>895</v>
      </c>
      <c r="D641" t="s">
        <v>57</v>
      </c>
      <c r="E641" t="s">
        <v>36</v>
      </c>
      <c r="F641" t="s">
        <v>42</v>
      </c>
      <c r="G641">
        <v>3</v>
      </c>
      <c r="H641">
        <v>7354.58</v>
      </c>
      <c r="I641">
        <v>4108.96</v>
      </c>
      <c r="J641" t="s">
        <v>28</v>
      </c>
    </row>
    <row r="642" spans="1:10">
      <c r="A642" t="s">
        <v>896</v>
      </c>
      <c r="B642">
        <v>45914</v>
      </c>
      <c r="C642" t="s">
        <v>195</v>
      </c>
      <c r="D642" t="s">
        <v>312</v>
      </c>
      <c r="E642" t="s">
        <v>20</v>
      </c>
      <c r="F642" t="s">
        <v>191</v>
      </c>
      <c r="G642">
        <v>2</v>
      </c>
      <c r="H642">
        <v>2682.32</v>
      </c>
      <c r="I642">
        <v>1919.78</v>
      </c>
      <c r="J642" t="s">
        <v>71</v>
      </c>
    </row>
    <row r="643" spans="1:10">
      <c r="A643" t="s">
        <v>897</v>
      </c>
      <c r="B643">
        <v>45713</v>
      </c>
      <c r="C643" t="s">
        <v>48</v>
      </c>
      <c r="D643" t="s">
        <v>41</v>
      </c>
      <c r="E643" t="s">
        <v>32</v>
      </c>
      <c r="F643" t="s">
        <v>52</v>
      </c>
      <c r="G643">
        <v>6</v>
      </c>
      <c r="H643">
        <v>2144.36</v>
      </c>
      <c r="I643">
        <v>1439.5</v>
      </c>
      <c r="J643" t="s">
        <v>22</v>
      </c>
    </row>
    <row r="644" spans="1:10">
      <c r="A644" t="s">
        <v>898</v>
      </c>
      <c r="B644">
        <v>45673</v>
      </c>
      <c r="C644" t="s">
        <v>124</v>
      </c>
      <c r="D644" t="s">
        <v>12</v>
      </c>
      <c r="E644" t="s">
        <v>36</v>
      </c>
      <c r="F644" t="s">
        <v>88</v>
      </c>
      <c r="G644">
        <v>2</v>
      </c>
      <c r="H644">
        <v>3335.07</v>
      </c>
      <c r="I644">
        <v>2318.9899999999998</v>
      </c>
      <c r="J644" t="s">
        <v>38</v>
      </c>
    </row>
    <row r="645" spans="1:10">
      <c r="A645" t="s">
        <v>899</v>
      </c>
      <c r="B645">
        <v>45672</v>
      </c>
      <c r="C645" t="s">
        <v>145</v>
      </c>
      <c r="D645" t="s">
        <v>63</v>
      </c>
      <c r="E645" t="s">
        <v>36</v>
      </c>
      <c r="F645" t="s">
        <v>660</v>
      </c>
      <c r="G645">
        <v>8</v>
      </c>
      <c r="H645">
        <v>16346.3</v>
      </c>
      <c r="I645">
        <v>9262.64</v>
      </c>
      <c r="J645" t="s">
        <v>28</v>
      </c>
    </row>
    <row r="646" spans="1:10">
      <c r="A646" t="s">
        <v>900</v>
      </c>
      <c r="B646">
        <v>45799</v>
      </c>
      <c r="C646" t="s">
        <v>74</v>
      </c>
      <c r="D646" t="s">
        <v>19</v>
      </c>
      <c r="E646" t="s">
        <v>82</v>
      </c>
      <c r="F646" t="s">
        <v>155</v>
      </c>
      <c r="G646">
        <v>1</v>
      </c>
      <c r="H646">
        <v>3809.74</v>
      </c>
      <c r="I646">
        <v>2335.56</v>
      </c>
      <c r="J646" t="s">
        <v>71</v>
      </c>
    </row>
    <row r="647" spans="1:10">
      <c r="A647" t="s">
        <v>901</v>
      </c>
      <c r="B647">
        <v>45704</v>
      </c>
      <c r="C647" t="s">
        <v>56</v>
      </c>
      <c r="D647" t="s">
        <v>41</v>
      </c>
      <c r="E647" t="s">
        <v>20</v>
      </c>
      <c r="F647" t="s">
        <v>191</v>
      </c>
      <c r="G647">
        <v>5</v>
      </c>
      <c r="H647">
        <v>2282.41</v>
      </c>
      <c r="I647">
        <v>1743.83</v>
      </c>
      <c r="J647" t="s">
        <v>71</v>
      </c>
    </row>
    <row r="648" spans="1:10">
      <c r="A648" t="s">
        <v>902</v>
      </c>
      <c r="B648">
        <v>45949</v>
      </c>
      <c r="C648" t="s">
        <v>357</v>
      </c>
      <c r="D648" t="s">
        <v>19</v>
      </c>
      <c r="E648" t="s">
        <v>20</v>
      </c>
      <c r="F648" t="s">
        <v>191</v>
      </c>
      <c r="G648">
        <v>7</v>
      </c>
      <c r="H648">
        <v>2509.77</v>
      </c>
      <c r="I648">
        <v>1946</v>
      </c>
      <c r="J648" t="s">
        <v>28</v>
      </c>
    </row>
    <row r="649" spans="1:10">
      <c r="A649" t="s">
        <v>368</v>
      </c>
      <c r="B649">
        <v>45662</v>
      </c>
      <c r="C649" t="s">
        <v>48</v>
      </c>
      <c r="D649" t="s">
        <v>41</v>
      </c>
      <c r="E649" t="s">
        <v>235</v>
      </c>
      <c r="F649" t="s">
        <v>163</v>
      </c>
      <c r="G649">
        <v>4</v>
      </c>
      <c r="H649" t="s">
        <v>369</v>
      </c>
      <c r="I649">
        <v>226.08</v>
      </c>
      <c r="J649" t="s">
        <v>71</v>
      </c>
    </row>
    <row r="650" spans="1:10">
      <c r="A650" t="s">
        <v>903</v>
      </c>
      <c r="B650">
        <v>45730</v>
      </c>
      <c r="C650" t="s">
        <v>220</v>
      </c>
      <c r="D650" t="s">
        <v>41</v>
      </c>
      <c r="E650" t="s">
        <v>32</v>
      </c>
      <c r="F650" t="s">
        <v>33</v>
      </c>
      <c r="G650">
        <v>5</v>
      </c>
      <c r="H650" t="s">
        <v>904</v>
      </c>
      <c r="I650">
        <v>1107.72</v>
      </c>
      <c r="J650" t="s">
        <v>16</v>
      </c>
    </row>
    <row r="651" spans="1:10">
      <c r="A651" t="s">
        <v>905</v>
      </c>
      <c r="B651">
        <v>45798</v>
      </c>
      <c r="C651" t="s">
        <v>108</v>
      </c>
      <c r="D651" t="s">
        <v>19</v>
      </c>
      <c r="E651" t="s">
        <v>32</v>
      </c>
      <c r="F651" t="s">
        <v>33</v>
      </c>
      <c r="G651">
        <v>2</v>
      </c>
      <c r="H651">
        <v>1764.4</v>
      </c>
      <c r="I651">
        <v>1242.0899999999999</v>
      </c>
      <c r="J651" t="s">
        <v>22</v>
      </c>
    </row>
    <row r="652" spans="1:10">
      <c r="A652" t="s">
        <v>906</v>
      </c>
      <c r="B652">
        <v>45933</v>
      </c>
      <c r="C652" t="s">
        <v>162</v>
      </c>
      <c r="D652" t="s">
        <v>12</v>
      </c>
      <c r="E652" t="s">
        <v>82</v>
      </c>
      <c r="F652" t="s">
        <v>97</v>
      </c>
      <c r="G652">
        <v>2</v>
      </c>
      <c r="H652">
        <v>5373.15</v>
      </c>
      <c r="I652">
        <v>3323.09</v>
      </c>
      <c r="J652" t="s">
        <v>16</v>
      </c>
    </row>
    <row r="653" spans="1:10">
      <c r="A653" t="s">
        <v>907</v>
      </c>
      <c r="B653">
        <v>45951</v>
      </c>
      <c r="C653" t="s">
        <v>108</v>
      </c>
      <c r="D653" t="s">
        <v>19</v>
      </c>
      <c r="E653" t="s">
        <v>82</v>
      </c>
      <c r="F653" t="s">
        <v>83</v>
      </c>
      <c r="G653">
        <v>7</v>
      </c>
      <c r="H653">
        <v>5082.6899999999996</v>
      </c>
      <c r="I653">
        <v>3496.07</v>
      </c>
      <c r="J653" t="s">
        <v>16</v>
      </c>
    </row>
    <row r="654" spans="1:10">
      <c r="A654" t="s">
        <v>908</v>
      </c>
      <c r="B654">
        <v>45664</v>
      </c>
      <c r="C654" t="s">
        <v>40</v>
      </c>
      <c r="D654" t="s">
        <v>12</v>
      </c>
      <c r="E654" t="s">
        <v>32</v>
      </c>
      <c r="F654" t="s">
        <v>180</v>
      </c>
      <c r="G654">
        <v>3</v>
      </c>
      <c r="H654">
        <v>1708.34</v>
      </c>
      <c r="I654">
        <v>1199</v>
      </c>
      <c r="J654" t="s">
        <v>28</v>
      </c>
    </row>
    <row r="655" spans="1:10">
      <c r="A655" t="s">
        <v>909</v>
      </c>
      <c r="B655" t="s">
        <v>910</v>
      </c>
      <c r="C655" t="s">
        <v>24</v>
      </c>
      <c r="D655" t="s">
        <v>12</v>
      </c>
      <c r="E655" t="s">
        <v>26</v>
      </c>
      <c r="F655" t="s">
        <v>79</v>
      </c>
      <c r="G655">
        <v>2</v>
      </c>
      <c r="H655">
        <v>1050.53</v>
      </c>
      <c r="I655">
        <v>770.09</v>
      </c>
      <c r="J655" t="s">
        <v>71</v>
      </c>
    </row>
    <row r="656" spans="1:10">
      <c r="A656" t="s">
        <v>744</v>
      </c>
      <c r="B656">
        <v>45753</v>
      </c>
      <c r="C656" t="s">
        <v>35</v>
      </c>
      <c r="E656" t="s">
        <v>20</v>
      </c>
      <c r="F656" t="s">
        <v>86</v>
      </c>
      <c r="G656">
        <v>3</v>
      </c>
      <c r="H656">
        <v>2492.23</v>
      </c>
      <c r="I656">
        <v>1960.66</v>
      </c>
      <c r="J656" t="s">
        <v>16</v>
      </c>
    </row>
    <row r="657" spans="1:10">
      <c r="A657" t="s">
        <v>911</v>
      </c>
      <c r="B657">
        <v>45721</v>
      </c>
      <c r="C657" t="s">
        <v>108</v>
      </c>
      <c r="D657" t="s">
        <v>499</v>
      </c>
      <c r="E657" t="s">
        <v>26</v>
      </c>
      <c r="F657" t="s">
        <v>350</v>
      </c>
      <c r="G657">
        <v>6</v>
      </c>
      <c r="H657">
        <v>1670.09</v>
      </c>
      <c r="I657">
        <v>1139.01</v>
      </c>
      <c r="J657" t="s">
        <v>28</v>
      </c>
    </row>
    <row r="658" spans="1:10">
      <c r="A658" t="s">
        <v>912</v>
      </c>
      <c r="B658">
        <v>45676</v>
      </c>
      <c r="C658" t="s">
        <v>220</v>
      </c>
      <c r="D658" t="s">
        <v>57</v>
      </c>
      <c r="E658" t="s">
        <v>26</v>
      </c>
      <c r="F658" t="s">
        <v>27</v>
      </c>
      <c r="G658">
        <v>6</v>
      </c>
      <c r="H658">
        <v>1517.48</v>
      </c>
      <c r="I658">
        <v>1194.6099999999999</v>
      </c>
      <c r="J658" t="s">
        <v>71</v>
      </c>
    </row>
    <row r="659" spans="1:10">
      <c r="A659" t="s">
        <v>913</v>
      </c>
      <c r="B659">
        <v>45662</v>
      </c>
      <c r="C659" t="s">
        <v>914</v>
      </c>
      <c r="D659" t="s">
        <v>63</v>
      </c>
      <c r="E659" t="s">
        <v>32</v>
      </c>
      <c r="F659" t="s">
        <v>101</v>
      </c>
      <c r="G659">
        <v>7</v>
      </c>
      <c r="H659">
        <v>2035.32</v>
      </c>
      <c r="I659">
        <v>1520.41</v>
      </c>
      <c r="J659" t="s">
        <v>16</v>
      </c>
    </row>
    <row r="660" spans="1:10">
      <c r="A660" t="s">
        <v>915</v>
      </c>
      <c r="B660">
        <v>45865</v>
      </c>
      <c r="C660" t="s">
        <v>67</v>
      </c>
      <c r="D660" t="s">
        <v>41</v>
      </c>
      <c r="E660" t="s">
        <v>82</v>
      </c>
      <c r="F660" t="s">
        <v>109</v>
      </c>
      <c r="G660">
        <v>1</v>
      </c>
      <c r="H660">
        <v>2999.06</v>
      </c>
      <c r="I660">
        <v>2458.52</v>
      </c>
      <c r="J660" t="s">
        <v>38</v>
      </c>
    </row>
    <row r="661" spans="1:10">
      <c r="A661" t="s">
        <v>916</v>
      </c>
      <c r="B661">
        <v>45844</v>
      </c>
      <c r="C661" t="s">
        <v>105</v>
      </c>
      <c r="D661" t="s">
        <v>63</v>
      </c>
      <c r="E661" t="s">
        <v>36</v>
      </c>
      <c r="F661" t="s">
        <v>93</v>
      </c>
      <c r="G661">
        <v>4</v>
      </c>
      <c r="H661">
        <v>17479.97</v>
      </c>
      <c r="I661">
        <v>13136.14</v>
      </c>
      <c r="J661" t="s">
        <v>28</v>
      </c>
    </row>
    <row r="662" spans="1:10">
      <c r="A662" t="s">
        <v>917</v>
      </c>
      <c r="B662">
        <v>45933</v>
      </c>
      <c r="C662" t="s">
        <v>133</v>
      </c>
      <c r="D662" t="s">
        <v>63</v>
      </c>
      <c r="E662" t="s">
        <v>82</v>
      </c>
      <c r="F662" t="s">
        <v>83</v>
      </c>
      <c r="G662">
        <v>8</v>
      </c>
      <c r="H662">
        <v>3914.33</v>
      </c>
      <c r="I662">
        <v>3213.91</v>
      </c>
      <c r="J662" t="s">
        <v>28</v>
      </c>
    </row>
    <row r="663" spans="1:10">
      <c r="A663" t="s">
        <v>918</v>
      </c>
      <c r="B663">
        <v>45849</v>
      </c>
      <c r="C663" t="s">
        <v>220</v>
      </c>
      <c r="D663" t="s">
        <v>63</v>
      </c>
      <c r="E663" t="s">
        <v>20</v>
      </c>
      <c r="F663" t="s">
        <v>86</v>
      </c>
      <c r="G663">
        <v>4</v>
      </c>
      <c r="H663">
        <v>1599.92</v>
      </c>
      <c r="I663">
        <v>888.42</v>
      </c>
      <c r="J663" t="s">
        <v>16</v>
      </c>
    </row>
    <row r="664" spans="1:10">
      <c r="A664" t="s">
        <v>919</v>
      </c>
      <c r="B664">
        <v>45775</v>
      </c>
      <c r="C664" t="s">
        <v>30</v>
      </c>
      <c r="D664" t="s">
        <v>41</v>
      </c>
      <c r="E664" t="s">
        <v>26</v>
      </c>
      <c r="F664" t="s">
        <v>27</v>
      </c>
      <c r="G664">
        <v>1</v>
      </c>
      <c r="H664" t="s">
        <v>920</v>
      </c>
      <c r="I664">
        <v>1955.99</v>
      </c>
      <c r="J664" t="s">
        <v>16</v>
      </c>
    </row>
    <row r="665" spans="1:10">
      <c r="A665" t="s">
        <v>921</v>
      </c>
      <c r="B665">
        <v>45993</v>
      </c>
      <c r="C665" t="s">
        <v>18</v>
      </c>
      <c r="D665" t="s">
        <v>31</v>
      </c>
      <c r="E665" t="s">
        <v>78</v>
      </c>
      <c r="F665" t="s">
        <v>535</v>
      </c>
      <c r="G665">
        <v>8</v>
      </c>
      <c r="H665" t="s">
        <v>922</v>
      </c>
      <c r="I665">
        <v>1308.2</v>
      </c>
      <c r="J665" t="s">
        <v>28</v>
      </c>
    </row>
    <row r="666" spans="1:10">
      <c r="A666" t="s">
        <v>923</v>
      </c>
      <c r="B666">
        <v>45933</v>
      </c>
      <c r="C666" t="s">
        <v>259</v>
      </c>
      <c r="D666" t="s">
        <v>31</v>
      </c>
      <c r="E666" t="s">
        <v>32</v>
      </c>
      <c r="F666" t="s">
        <v>33</v>
      </c>
      <c r="G666">
        <v>2</v>
      </c>
      <c r="H666">
        <v>2010.8</v>
      </c>
      <c r="I666">
        <v>1536.66</v>
      </c>
      <c r="J666" t="s">
        <v>16</v>
      </c>
    </row>
    <row r="667" spans="1:10">
      <c r="A667" t="s">
        <v>924</v>
      </c>
      <c r="B667">
        <v>45803</v>
      </c>
      <c r="C667" t="s">
        <v>115</v>
      </c>
      <c r="D667" t="s">
        <v>19</v>
      </c>
      <c r="E667" t="s">
        <v>36</v>
      </c>
      <c r="F667" t="s">
        <v>46</v>
      </c>
      <c r="G667">
        <v>3</v>
      </c>
      <c r="H667">
        <v>15177.71</v>
      </c>
      <c r="I667">
        <v>12103.91</v>
      </c>
      <c r="J667" t="s">
        <v>22</v>
      </c>
    </row>
    <row r="668" spans="1:10">
      <c r="A668" t="s">
        <v>925</v>
      </c>
      <c r="B668">
        <v>45897</v>
      </c>
      <c r="C668" t="s">
        <v>40</v>
      </c>
      <c r="D668" t="s">
        <v>57</v>
      </c>
      <c r="E668" t="s">
        <v>32</v>
      </c>
      <c r="F668" t="s">
        <v>180</v>
      </c>
      <c r="G668">
        <v>1</v>
      </c>
      <c r="H668">
        <v>1030.1300000000001</v>
      </c>
      <c r="I668">
        <v>819.31</v>
      </c>
      <c r="J668" t="s">
        <v>28</v>
      </c>
    </row>
    <row r="669" spans="1:10">
      <c r="A669" t="s">
        <v>926</v>
      </c>
      <c r="B669">
        <v>45886</v>
      </c>
      <c r="C669" t="s">
        <v>860</v>
      </c>
      <c r="D669" t="s">
        <v>12</v>
      </c>
      <c r="E669" t="s">
        <v>36</v>
      </c>
      <c r="F669" t="s">
        <v>113</v>
      </c>
      <c r="G669">
        <v>2</v>
      </c>
      <c r="H669">
        <v>17586.86</v>
      </c>
      <c r="I669">
        <v>11961.88</v>
      </c>
      <c r="J669" t="s">
        <v>28</v>
      </c>
    </row>
    <row r="670" spans="1:10">
      <c r="A670" t="s">
        <v>927</v>
      </c>
      <c r="B670">
        <v>45705</v>
      </c>
      <c r="C670" t="s">
        <v>231</v>
      </c>
      <c r="D670" t="s">
        <v>31</v>
      </c>
      <c r="E670" t="s">
        <v>82</v>
      </c>
      <c r="F670" t="s">
        <v>150</v>
      </c>
      <c r="G670">
        <v>8</v>
      </c>
      <c r="H670">
        <v>4751.99</v>
      </c>
      <c r="I670">
        <v>4028.05</v>
      </c>
      <c r="J670" t="s">
        <v>38</v>
      </c>
    </row>
    <row r="671" spans="1:10">
      <c r="A671" t="s">
        <v>928</v>
      </c>
      <c r="B671">
        <v>45869</v>
      </c>
      <c r="C671" t="s">
        <v>24</v>
      </c>
      <c r="D671" t="s">
        <v>57</v>
      </c>
      <c r="E671" t="s">
        <v>26</v>
      </c>
      <c r="F671" t="s">
        <v>350</v>
      </c>
      <c r="G671">
        <v>1</v>
      </c>
      <c r="H671">
        <v>2078.21</v>
      </c>
      <c r="I671">
        <v>1294.77</v>
      </c>
      <c r="J671" t="s">
        <v>71</v>
      </c>
    </row>
    <row r="672" spans="1:10">
      <c r="A672" t="s">
        <v>929</v>
      </c>
      <c r="B672">
        <v>45959</v>
      </c>
      <c r="C672" t="s">
        <v>403</v>
      </c>
      <c r="D672" t="s">
        <v>19</v>
      </c>
      <c r="E672" t="s">
        <v>82</v>
      </c>
      <c r="F672" t="s">
        <v>83</v>
      </c>
      <c r="G672">
        <v>4</v>
      </c>
      <c r="H672">
        <v>4053.77</v>
      </c>
      <c r="I672">
        <v>3354.34</v>
      </c>
      <c r="J672" t="s">
        <v>38</v>
      </c>
    </row>
    <row r="673" spans="1:10">
      <c r="A673" t="s">
        <v>930</v>
      </c>
      <c r="B673">
        <v>45861</v>
      </c>
      <c r="C673" t="s">
        <v>124</v>
      </c>
      <c r="D673" t="s">
        <v>31</v>
      </c>
      <c r="E673" t="s">
        <v>26</v>
      </c>
      <c r="F673" t="s">
        <v>131</v>
      </c>
      <c r="G673">
        <v>4</v>
      </c>
      <c r="H673">
        <v>1592.99</v>
      </c>
      <c r="I673">
        <v>1288.17</v>
      </c>
      <c r="J673" t="s">
        <v>28</v>
      </c>
    </row>
    <row r="674" spans="1:10">
      <c r="A674" t="s">
        <v>931</v>
      </c>
      <c r="B674">
        <v>46001</v>
      </c>
      <c r="C674" t="s">
        <v>119</v>
      </c>
      <c r="D674" t="s">
        <v>63</v>
      </c>
      <c r="E674" t="s">
        <v>20</v>
      </c>
      <c r="F674" t="s">
        <v>21</v>
      </c>
      <c r="G674">
        <v>3</v>
      </c>
      <c r="H674">
        <v>1238.53</v>
      </c>
      <c r="I674">
        <v>710.52</v>
      </c>
      <c r="J674" t="s">
        <v>16</v>
      </c>
    </row>
    <row r="675" spans="1:10">
      <c r="A675" t="s">
        <v>932</v>
      </c>
      <c r="B675">
        <v>45957</v>
      </c>
      <c r="C675" t="s">
        <v>311</v>
      </c>
      <c r="D675" t="s">
        <v>57</v>
      </c>
      <c r="E675" t="s">
        <v>26</v>
      </c>
      <c r="F675" t="s">
        <v>103</v>
      </c>
      <c r="G675">
        <v>7</v>
      </c>
      <c r="H675">
        <v>533.5</v>
      </c>
      <c r="I675">
        <v>312.14999999999998</v>
      </c>
      <c r="J675" t="s">
        <v>38</v>
      </c>
    </row>
    <row r="676" spans="1:10">
      <c r="A676" t="s">
        <v>933</v>
      </c>
      <c r="B676">
        <v>45722</v>
      </c>
      <c r="C676" t="s">
        <v>135</v>
      </c>
      <c r="D676" t="s">
        <v>31</v>
      </c>
      <c r="E676" t="s">
        <v>20</v>
      </c>
      <c r="F676" t="s">
        <v>91</v>
      </c>
      <c r="G676">
        <v>3</v>
      </c>
      <c r="H676">
        <v>2583.4</v>
      </c>
      <c r="I676">
        <v>2047.83</v>
      </c>
      <c r="J676" t="s">
        <v>16</v>
      </c>
    </row>
    <row r="677" spans="1:10">
      <c r="A677" t="s">
        <v>934</v>
      </c>
      <c r="B677">
        <v>45662</v>
      </c>
      <c r="C677" t="s">
        <v>108</v>
      </c>
      <c r="D677" t="s">
        <v>19</v>
      </c>
      <c r="E677" t="s">
        <v>26</v>
      </c>
      <c r="F677" t="s">
        <v>350</v>
      </c>
      <c r="G677">
        <v>5</v>
      </c>
      <c r="H677">
        <v>3175.68</v>
      </c>
      <c r="I677">
        <v>2386.31</v>
      </c>
      <c r="J677" t="s">
        <v>71</v>
      </c>
    </row>
    <row r="678" spans="1:10">
      <c r="A678" t="s">
        <v>935</v>
      </c>
      <c r="B678">
        <v>45956</v>
      </c>
      <c r="C678" t="s">
        <v>175</v>
      </c>
      <c r="D678" t="s">
        <v>41</v>
      </c>
      <c r="E678" t="s">
        <v>36</v>
      </c>
      <c r="F678" t="s">
        <v>93</v>
      </c>
      <c r="G678">
        <v>1</v>
      </c>
      <c r="H678">
        <v>5268.3</v>
      </c>
      <c r="I678">
        <v>3002.07</v>
      </c>
      <c r="J678" t="s">
        <v>71</v>
      </c>
    </row>
    <row r="679" spans="1:10">
      <c r="A679" t="s">
        <v>936</v>
      </c>
      <c r="B679">
        <v>45871</v>
      </c>
      <c r="C679" t="s">
        <v>59</v>
      </c>
      <c r="D679" t="s">
        <v>504</v>
      </c>
      <c r="E679" t="s">
        <v>82</v>
      </c>
      <c r="F679" t="s">
        <v>137</v>
      </c>
      <c r="G679">
        <v>8</v>
      </c>
      <c r="H679">
        <v>4969.5600000000004</v>
      </c>
      <c r="I679">
        <v>3071.35</v>
      </c>
      <c r="J679" t="s">
        <v>22</v>
      </c>
    </row>
    <row r="680" spans="1:10">
      <c r="A680" t="s">
        <v>937</v>
      </c>
      <c r="B680">
        <v>45818</v>
      </c>
      <c r="C680" t="s">
        <v>105</v>
      </c>
      <c r="D680" t="s">
        <v>12</v>
      </c>
      <c r="E680" t="s">
        <v>26</v>
      </c>
      <c r="F680" t="s">
        <v>106</v>
      </c>
      <c r="G680">
        <v>5</v>
      </c>
      <c r="H680">
        <v>1466.48</v>
      </c>
      <c r="I680">
        <v>880.43</v>
      </c>
      <c r="J680" t="s">
        <v>28</v>
      </c>
    </row>
    <row r="681" spans="1:10">
      <c r="A681" t="s">
        <v>938</v>
      </c>
      <c r="B681">
        <v>45905</v>
      </c>
      <c r="C681" t="s">
        <v>108</v>
      </c>
      <c r="D681" t="s">
        <v>57</v>
      </c>
      <c r="E681" t="s">
        <v>32</v>
      </c>
      <c r="F681" t="s">
        <v>99</v>
      </c>
      <c r="G681">
        <v>6</v>
      </c>
      <c r="H681">
        <v>964.61</v>
      </c>
      <c r="I681">
        <v>773.37</v>
      </c>
      <c r="J681" t="s">
        <v>28</v>
      </c>
    </row>
    <row r="682" spans="1:10">
      <c r="A682" t="s">
        <v>939</v>
      </c>
      <c r="B682">
        <v>45872</v>
      </c>
      <c r="C682" t="s">
        <v>24</v>
      </c>
      <c r="D682" t="s">
        <v>63</v>
      </c>
      <c r="E682" t="s">
        <v>36</v>
      </c>
      <c r="F682" t="s">
        <v>93</v>
      </c>
      <c r="G682">
        <v>1</v>
      </c>
      <c r="H682">
        <v>3754.59</v>
      </c>
      <c r="I682">
        <v>2404.6999999999998</v>
      </c>
      <c r="J682" t="s">
        <v>71</v>
      </c>
    </row>
    <row r="683" spans="1:10">
      <c r="A683" t="s">
        <v>940</v>
      </c>
      <c r="B683">
        <v>45763</v>
      </c>
      <c r="C683" t="s">
        <v>162</v>
      </c>
      <c r="D683" t="s">
        <v>57</v>
      </c>
      <c r="E683" t="s">
        <v>36</v>
      </c>
      <c r="F683" t="s">
        <v>37</v>
      </c>
      <c r="G683">
        <v>3</v>
      </c>
      <c r="H683">
        <v>11813.06</v>
      </c>
      <c r="I683">
        <v>10306.06</v>
      </c>
      <c r="J683" t="s">
        <v>28</v>
      </c>
    </row>
    <row r="684" spans="1:10">
      <c r="A684" t="s">
        <v>941</v>
      </c>
      <c r="B684">
        <v>45829</v>
      </c>
      <c r="C684" t="s">
        <v>914</v>
      </c>
      <c r="D684" t="s">
        <v>19</v>
      </c>
      <c r="E684" t="s">
        <v>82</v>
      </c>
      <c r="F684" t="s">
        <v>97</v>
      </c>
      <c r="G684">
        <v>5</v>
      </c>
      <c r="H684">
        <v>3163.39</v>
      </c>
      <c r="I684">
        <v>1909.27</v>
      </c>
      <c r="J684" t="s">
        <v>28</v>
      </c>
    </row>
    <row r="685" spans="1:10">
      <c r="A685" t="s">
        <v>942</v>
      </c>
      <c r="B685">
        <v>45789</v>
      </c>
      <c r="C685" t="s">
        <v>129</v>
      </c>
      <c r="D685" t="s">
        <v>31</v>
      </c>
      <c r="E685" t="s">
        <v>26</v>
      </c>
      <c r="F685" t="s">
        <v>103</v>
      </c>
      <c r="G685">
        <v>8</v>
      </c>
      <c r="H685">
        <v>3394</v>
      </c>
      <c r="I685">
        <v>2197.2600000000002</v>
      </c>
      <c r="J685" t="s">
        <v>22</v>
      </c>
    </row>
    <row r="686" spans="1:10">
      <c r="A686" t="s">
        <v>943</v>
      </c>
      <c r="B686">
        <v>45739</v>
      </c>
      <c r="C686" t="s">
        <v>11</v>
      </c>
      <c r="D686" t="s">
        <v>57</v>
      </c>
      <c r="E686" t="s">
        <v>20</v>
      </c>
      <c r="F686" t="s">
        <v>196</v>
      </c>
      <c r="G686">
        <v>8</v>
      </c>
      <c r="H686">
        <v>4818.66</v>
      </c>
      <c r="I686">
        <v>3890.19</v>
      </c>
      <c r="J686" t="s">
        <v>71</v>
      </c>
    </row>
    <row r="687" spans="1:10">
      <c r="A687" t="s">
        <v>944</v>
      </c>
      <c r="B687" t="s">
        <v>945</v>
      </c>
      <c r="C687" t="s">
        <v>56</v>
      </c>
      <c r="D687" t="s">
        <v>41</v>
      </c>
      <c r="E687" t="s">
        <v>149</v>
      </c>
      <c r="F687" t="s">
        <v>97</v>
      </c>
      <c r="G687">
        <v>7</v>
      </c>
      <c r="H687">
        <v>6869.14</v>
      </c>
      <c r="I687">
        <v>4240.92</v>
      </c>
      <c r="J687" t="s">
        <v>28</v>
      </c>
    </row>
    <row r="688" spans="1:10">
      <c r="A688" t="s">
        <v>946</v>
      </c>
      <c r="B688">
        <v>45798</v>
      </c>
      <c r="C688" t="s">
        <v>35</v>
      </c>
      <c r="D688" t="s">
        <v>12</v>
      </c>
      <c r="E688" t="s">
        <v>36</v>
      </c>
      <c r="F688" t="s">
        <v>42</v>
      </c>
      <c r="G688">
        <v>4</v>
      </c>
      <c r="H688">
        <v>4716.8999999999996</v>
      </c>
      <c r="I688">
        <v>3740.67</v>
      </c>
      <c r="J688" t="s">
        <v>38</v>
      </c>
    </row>
    <row r="689" spans="1:10">
      <c r="A689" t="s">
        <v>947</v>
      </c>
      <c r="B689">
        <v>45866</v>
      </c>
      <c r="C689" t="s">
        <v>259</v>
      </c>
      <c r="D689" t="s">
        <v>57</v>
      </c>
      <c r="E689" t="s">
        <v>82</v>
      </c>
      <c r="F689" t="s">
        <v>109</v>
      </c>
      <c r="G689">
        <v>2</v>
      </c>
      <c r="H689" t="s">
        <v>948</v>
      </c>
      <c r="I689">
        <v>3546.59</v>
      </c>
      <c r="J689" t="s">
        <v>28</v>
      </c>
    </row>
    <row r="690" spans="1:10">
      <c r="A690" t="s">
        <v>949</v>
      </c>
      <c r="B690">
        <v>45670</v>
      </c>
      <c r="C690" t="s">
        <v>18</v>
      </c>
      <c r="D690" t="s">
        <v>25</v>
      </c>
      <c r="E690" t="s">
        <v>36</v>
      </c>
      <c r="F690" t="s">
        <v>113</v>
      </c>
      <c r="G690">
        <v>4</v>
      </c>
      <c r="H690">
        <v>17625.43</v>
      </c>
      <c r="I690">
        <v>12159.09</v>
      </c>
      <c r="J690" t="s">
        <v>16</v>
      </c>
    </row>
    <row r="691" spans="1:10">
      <c r="A691" t="s">
        <v>950</v>
      </c>
      <c r="B691">
        <v>45941</v>
      </c>
      <c r="C691" t="s">
        <v>951</v>
      </c>
      <c r="E691" t="s">
        <v>82</v>
      </c>
      <c r="F691" t="s">
        <v>97</v>
      </c>
      <c r="G691">
        <v>5</v>
      </c>
      <c r="H691">
        <v>-294.05</v>
      </c>
      <c r="I691">
        <v>439.35</v>
      </c>
      <c r="J691" t="s">
        <v>38</v>
      </c>
    </row>
    <row r="692" spans="1:10">
      <c r="A692" t="s">
        <v>952</v>
      </c>
      <c r="B692">
        <v>45847</v>
      </c>
      <c r="C692" t="s">
        <v>953</v>
      </c>
      <c r="E692" t="s">
        <v>32</v>
      </c>
      <c r="F692" t="s">
        <v>180</v>
      </c>
      <c r="G692">
        <v>7</v>
      </c>
      <c r="H692">
        <v>1552.95</v>
      </c>
      <c r="I692">
        <v>1120.07</v>
      </c>
      <c r="J692" t="s">
        <v>28</v>
      </c>
    </row>
    <row r="693" spans="1:10">
      <c r="A693" t="s">
        <v>954</v>
      </c>
      <c r="B693">
        <v>45901</v>
      </c>
      <c r="C693" t="s">
        <v>70</v>
      </c>
      <c r="D693" t="s">
        <v>63</v>
      </c>
      <c r="E693" t="s">
        <v>36</v>
      </c>
      <c r="F693" t="s">
        <v>37</v>
      </c>
      <c r="G693">
        <v>2</v>
      </c>
      <c r="H693">
        <v>6909.64</v>
      </c>
      <c r="I693">
        <v>4852.0200000000004</v>
      </c>
      <c r="J693" t="s">
        <v>71</v>
      </c>
    </row>
    <row r="694" spans="1:10">
      <c r="A694" t="s">
        <v>955</v>
      </c>
      <c r="B694">
        <v>46018</v>
      </c>
      <c r="C694" t="s">
        <v>311</v>
      </c>
      <c r="D694" t="s">
        <v>31</v>
      </c>
      <c r="E694" t="s">
        <v>36</v>
      </c>
      <c r="F694" t="s">
        <v>37</v>
      </c>
      <c r="G694">
        <v>6</v>
      </c>
      <c r="H694">
        <v>2775.84</v>
      </c>
      <c r="I694">
        <v>1785.22</v>
      </c>
      <c r="J694" t="s">
        <v>16</v>
      </c>
    </row>
    <row r="695" spans="1:10">
      <c r="A695" t="s">
        <v>956</v>
      </c>
      <c r="B695">
        <v>45916</v>
      </c>
      <c r="C695" t="s">
        <v>105</v>
      </c>
      <c r="D695" t="s">
        <v>63</v>
      </c>
      <c r="E695" t="s">
        <v>20</v>
      </c>
      <c r="F695" t="s">
        <v>86</v>
      </c>
      <c r="G695">
        <v>3</v>
      </c>
      <c r="H695">
        <v>3166.2</v>
      </c>
      <c r="I695">
        <v>2219.65</v>
      </c>
      <c r="J695" t="s">
        <v>38</v>
      </c>
    </row>
    <row r="696" spans="1:10">
      <c r="A696" t="s">
        <v>957</v>
      </c>
      <c r="B696">
        <v>45748</v>
      </c>
      <c r="C696" t="s">
        <v>133</v>
      </c>
      <c r="D696" t="s">
        <v>19</v>
      </c>
      <c r="E696" t="s">
        <v>26</v>
      </c>
      <c r="F696" t="s">
        <v>103</v>
      </c>
      <c r="G696">
        <v>1</v>
      </c>
      <c r="H696">
        <v>3333.56</v>
      </c>
      <c r="I696">
        <v>2877.1</v>
      </c>
      <c r="J696" t="s">
        <v>28</v>
      </c>
    </row>
    <row r="697" spans="1:10">
      <c r="A697" t="s">
        <v>958</v>
      </c>
      <c r="B697">
        <v>45964</v>
      </c>
      <c r="C697" t="s">
        <v>85</v>
      </c>
      <c r="D697" t="s">
        <v>63</v>
      </c>
      <c r="E697" t="s">
        <v>36</v>
      </c>
      <c r="F697" t="s">
        <v>93</v>
      </c>
      <c r="G697">
        <v>8</v>
      </c>
      <c r="H697">
        <v>10856.37</v>
      </c>
      <c r="I697">
        <v>7885.43</v>
      </c>
      <c r="J697" t="s">
        <v>28</v>
      </c>
    </row>
    <row r="698" spans="1:10">
      <c r="A698" t="s">
        <v>959</v>
      </c>
      <c r="B698">
        <v>45673</v>
      </c>
      <c r="C698" t="s">
        <v>67</v>
      </c>
      <c r="D698" t="s">
        <v>31</v>
      </c>
      <c r="E698" t="s">
        <v>32</v>
      </c>
      <c r="F698" t="s">
        <v>960</v>
      </c>
      <c r="G698">
        <v>2</v>
      </c>
      <c r="H698">
        <v>702.87</v>
      </c>
      <c r="I698">
        <v>503.79</v>
      </c>
      <c r="J698" t="s">
        <v>16</v>
      </c>
    </row>
    <row r="699" spans="1:10">
      <c r="A699" t="s">
        <v>961</v>
      </c>
      <c r="B699">
        <v>45766</v>
      </c>
      <c r="C699" t="s">
        <v>108</v>
      </c>
      <c r="D699" t="s">
        <v>31</v>
      </c>
      <c r="E699" t="s">
        <v>36</v>
      </c>
      <c r="F699" t="s">
        <v>42</v>
      </c>
      <c r="G699">
        <v>8</v>
      </c>
      <c r="H699">
        <v>8994.3799999999992</v>
      </c>
      <c r="I699">
        <v>7162.62</v>
      </c>
      <c r="J699" t="s">
        <v>38</v>
      </c>
    </row>
    <row r="700" spans="1:10">
      <c r="A700" t="s">
        <v>962</v>
      </c>
      <c r="B700">
        <v>45993</v>
      </c>
      <c r="C700" t="s">
        <v>741</v>
      </c>
      <c r="D700" t="s">
        <v>63</v>
      </c>
      <c r="E700" t="s">
        <v>26</v>
      </c>
      <c r="F700" t="s">
        <v>106</v>
      </c>
      <c r="G700">
        <v>8</v>
      </c>
      <c r="H700">
        <v>2109.08</v>
      </c>
      <c r="I700">
        <v>1489.23</v>
      </c>
      <c r="J700" t="s">
        <v>71</v>
      </c>
    </row>
    <row r="701" spans="1:10">
      <c r="A701" t="s">
        <v>963</v>
      </c>
      <c r="B701">
        <v>45729</v>
      </c>
      <c r="C701" t="s">
        <v>133</v>
      </c>
      <c r="D701" t="s">
        <v>41</v>
      </c>
      <c r="E701" t="s">
        <v>26</v>
      </c>
      <c r="F701" t="s">
        <v>131</v>
      </c>
      <c r="G701">
        <v>1</v>
      </c>
      <c r="H701">
        <v>2380.0500000000002</v>
      </c>
      <c r="I701">
        <v>2092.46</v>
      </c>
      <c r="J701" t="s">
        <v>22</v>
      </c>
    </row>
    <row r="702" spans="1:10">
      <c r="A702" t="s">
        <v>964</v>
      </c>
      <c r="B702">
        <v>45941</v>
      </c>
      <c r="C702" t="s">
        <v>11</v>
      </c>
      <c r="D702" t="s">
        <v>12</v>
      </c>
      <c r="E702" t="s">
        <v>36</v>
      </c>
      <c r="F702" t="s">
        <v>42</v>
      </c>
      <c r="G702">
        <v>3</v>
      </c>
      <c r="H702">
        <v>5557.15</v>
      </c>
      <c r="I702">
        <v>4165.6099999999997</v>
      </c>
      <c r="J702" t="s">
        <v>22</v>
      </c>
    </row>
    <row r="703" spans="1:10">
      <c r="A703" t="s">
        <v>965</v>
      </c>
      <c r="B703">
        <v>45756</v>
      </c>
      <c r="C703" t="s">
        <v>59</v>
      </c>
      <c r="D703" t="s">
        <v>49</v>
      </c>
      <c r="E703" t="s">
        <v>26</v>
      </c>
      <c r="F703" t="s">
        <v>106</v>
      </c>
      <c r="G703">
        <v>4</v>
      </c>
      <c r="H703">
        <v>3499.92</v>
      </c>
      <c r="I703">
        <v>2103.91</v>
      </c>
      <c r="J703" t="s">
        <v>22</v>
      </c>
    </row>
    <row r="704" spans="1:10">
      <c r="A704" t="s">
        <v>966</v>
      </c>
      <c r="B704">
        <v>45671</v>
      </c>
      <c r="C704" t="s">
        <v>18</v>
      </c>
      <c r="D704" t="s">
        <v>57</v>
      </c>
      <c r="E704" t="s">
        <v>20</v>
      </c>
      <c r="F704" t="s">
        <v>191</v>
      </c>
      <c r="G704">
        <v>6</v>
      </c>
      <c r="H704">
        <v>3547.12</v>
      </c>
      <c r="I704">
        <v>2382.7399999999998</v>
      </c>
      <c r="J704" t="s">
        <v>38</v>
      </c>
    </row>
    <row r="705" spans="1:10">
      <c r="A705" t="s">
        <v>967</v>
      </c>
      <c r="B705">
        <v>45919</v>
      </c>
      <c r="C705" t="s">
        <v>67</v>
      </c>
      <c r="D705" t="s">
        <v>31</v>
      </c>
      <c r="E705" t="s">
        <v>36</v>
      </c>
      <c r="F705" t="s">
        <v>113</v>
      </c>
      <c r="G705">
        <v>7</v>
      </c>
      <c r="H705">
        <v>15394.59</v>
      </c>
      <c r="I705">
        <v>12797.93</v>
      </c>
      <c r="J705" t="s">
        <v>16</v>
      </c>
    </row>
    <row r="706" spans="1:10">
      <c r="A706" t="s">
        <v>968</v>
      </c>
      <c r="B706">
        <v>45861</v>
      </c>
      <c r="C706" t="s">
        <v>74</v>
      </c>
      <c r="D706" t="s">
        <v>31</v>
      </c>
      <c r="E706" t="s">
        <v>82</v>
      </c>
      <c r="F706" t="s">
        <v>97</v>
      </c>
      <c r="G706">
        <v>6</v>
      </c>
      <c r="H706">
        <v>595.53</v>
      </c>
      <c r="I706">
        <v>381.26</v>
      </c>
      <c r="J706" t="s">
        <v>28</v>
      </c>
    </row>
    <row r="707" spans="1:10">
      <c r="A707" t="s">
        <v>969</v>
      </c>
      <c r="B707">
        <v>45721</v>
      </c>
      <c r="C707" t="s">
        <v>70</v>
      </c>
      <c r="D707" t="s">
        <v>12</v>
      </c>
      <c r="E707" t="s">
        <v>32</v>
      </c>
      <c r="F707" t="s">
        <v>99</v>
      </c>
      <c r="G707">
        <v>2</v>
      </c>
      <c r="H707">
        <v>2441.41</v>
      </c>
      <c r="I707">
        <v>2081.34</v>
      </c>
      <c r="J707" t="s">
        <v>28</v>
      </c>
    </row>
    <row r="708" spans="1:10">
      <c r="A708" t="s">
        <v>970</v>
      </c>
      <c r="B708">
        <v>45733</v>
      </c>
      <c r="C708" t="s">
        <v>35</v>
      </c>
      <c r="D708" t="s">
        <v>31</v>
      </c>
      <c r="E708" t="s">
        <v>36</v>
      </c>
      <c r="F708" t="s">
        <v>113</v>
      </c>
      <c r="G708">
        <v>1</v>
      </c>
      <c r="H708">
        <v>3744.44</v>
      </c>
      <c r="I708">
        <v>3199.28</v>
      </c>
      <c r="J708" t="s">
        <v>38</v>
      </c>
    </row>
    <row r="709" spans="1:10">
      <c r="A709" t="s">
        <v>971</v>
      </c>
      <c r="B709">
        <v>45795</v>
      </c>
      <c r="C709" t="s">
        <v>59</v>
      </c>
      <c r="D709" t="s">
        <v>57</v>
      </c>
      <c r="E709" t="s">
        <v>26</v>
      </c>
      <c r="F709" t="s">
        <v>350</v>
      </c>
      <c r="G709">
        <v>8</v>
      </c>
      <c r="H709">
        <v>724.29</v>
      </c>
      <c r="I709">
        <v>438.32</v>
      </c>
      <c r="J709" t="s">
        <v>22</v>
      </c>
    </row>
    <row r="710" spans="1:10">
      <c r="A710" t="s">
        <v>972</v>
      </c>
      <c r="B710">
        <v>45856</v>
      </c>
      <c r="C710" t="s">
        <v>129</v>
      </c>
      <c r="E710" t="s">
        <v>32</v>
      </c>
      <c r="F710" t="s">
        <v>33</v>
      </c>
      <c r="G710">
        <v>8</v>
      </c>
      <c r="H710" t="s">
        <v>973</v>
      </c>
      <c r="I710">
        <v>611.58000000000004</v>
      </c>
      <c r="J710" t="s">
        <v>16</v>
      </c>
    </row>
    <row r="711" spans="1:10">
      <c r="A711" t="s">
        <v>974</v>
      </c>
      <c r="B711">
        <v>45727</v>
      </c>
      <c r="C711" t="s">
        <v>24</v>
      </c>
      <c r="D711" t="s">
        <v>511</v>
      </c>
      <c r="E711" t="s">
        <v>36</v>
      </c>
      <c r="F711" t="s">
        <v>42</v>
      </c>
      <c r="G711">
        <v>8</v>
      </c>
      <c r="H711">
        <v>3557.11</v>
      </c>
      <c r="I711">
        <v>2497.11</v>
      </c>
      <c r="J711" t="s">
        <v>38</v>
      </c>
    </row>
    <row r="712" spans="1:10">
      <c r="A712" t="s">
        <v>975</v>
      </c>
      <c r="B712">
        <v>45888</v>
      </c>
      <c r="C712" t="s">
        <v>40</v>
      </c>
      <c r="D712" t="s">
        <v>41</v>
      </c>
      <c r="E712" t="s">
        <v>82</v>
      </c>
      <c r="F712" t="s">
        <v>109</v>
      </c>
      <c r="G712">
        <v>7</v>
      </c>
      <c r="H712">
        <v>2966.32</v>
      </c>
      <c r="I712">
        <v>2321.33</v>
      </c>
      <c r="J712" t="s">
        <v>71</v>
      </c>
    </row>
    <row r="713" spans="1:10">
      <c r="A713" t="s">
        <v>976</v>
      </c>
      <c r="B713">
        <v>45847</v>
      </c>
      <c r="C713" t="s">
        <v>48</v>
      </c>
      <c r="D713" t="s">
        <v>19</v>
      </c>
      <c r="E713" t="s">
        <v>36</v>
      </c>
      <c r="F713" t="s">
        <v>46</v>
      </c>
      <c r="G713">
        <v>5</v>
      </c>
      <c r="H713" t="s">
        <v>977</v>
      </c>
      <c r="I713">
        <v>2968.4</v>
      </c>
      <c r="J713" t="s">
        <v>22</v>
      </c>
    </row>
    <row r="714" spans="1:10">
      <c r="A714" t="s">
        <v>978</v>
      </c>
      <c r="B714">
        <v>45727</v>
      </c>
      <c r="C714" t="s">
        <v>979</v>
      </c>
      <c r="D714" t="s">
        <v>125</v>
      </c>
      <c r="E714" t="s">
        <v>82</v>
      </c>
      <c r="F714" t="s">
        <v>155</v>
      </c>
      <c r="G714">
        <v>2</v>
      </c>
      <c r="H714">
        <v>2223.23</v>
      </c>
      <c r="I714">
        <v>1802.38</v>
      </c>
      <c r="J714" t="s">
        <v>28</v>
      </c>
    </row>
    <row r="715" spans="1:10">
      <c r="A715" t="s">
        <v>980</v>
      </c>
      <c r="B715">
        <v>45699</v>
      </c>
      <c r="C715" t="s">
        <v>51</v>
      </c>
      <c r="D715" t="s">
        <v>31</v>
      </c>
      <c r="E715" t="s">
        <v>20</v>
      </c>
      <c r="F715" t="s">
        <v>91</v>
      </c>
      <c r="G715">
        <v>6</v>
      </c>
      <c r="H715">
        <v>4546.68</v>
      </c>
      <c r="I715">
        <v>2582.91</v>
      </c>
      <c r="J715" t="s">
        <v>22</v>
      </c>
    </row>
    <row r="716" spans="1:10">
      <c r="A716" t="s">
        <v>981</v>
      </c>
      <c r="B716">
        <v>45741</v>
      </c>
      <c r="C716" t="s">
        <v>982</v>
      </c>
      <c r="D716" t="s">
        <v>12</v>
      </c>
      <c r="E716" t="s">
        <v>32</v>
      </c>
      <c r="F716" t="s">
        <v>101</v>
      </c>
      <c r="G716">
        <v>8</v>
      </c>
      <c r="H716">
        <v>1203.79</v>
      </c>
      <c r="I716">
        <v>1057.43</v>
      </c>
      <c r="J716" t="s">
        <v>28</v>
      </c>
    </row>
    <row r="717" spans="1:10">
      <c r="A717" t="s">
        <v>983</v>
      </c>
      <c r="B717">
        <v>45833</v>
      </c>
      <c r="C717" t="s">
        <v>251</v>
      </c>
      <c r="D717" t="s">
        <v>593</v>
      </c>
      <c r="E717" t="s">
        <v>26</v>
      </c>
      <c r="F717" t="s">
        <v>325</v>
      </c>
      <c r="H717">
        <v>1448.7</v>
      </c>
      <c r="I717">
        <v>800.65</v>
      </c>
      <c r="J717" t="s">
        <v>38</v>
      </c>
    </row>
    <row r="718" spans="1:10">
      <c r="A718" t="s">
        <v>984</v>
      </c>
      <c r="B718">
        <v>45827</v>
      </c>
      <c r="C718" t="s">
        <v>48</v>
      </c>
      <c r="D718" t="s">
        <v>12</v>
      </c>
      <c r="E718" t="s">
        <v>82</v>
      </c>
      <c r="F718" t="s">
        <v>97</v>
      </c>
      <c r="G718">
        <v>5</v>
      </c>
      <c r="H718">
        <v>3527.81</v>
      </c>
      <c r="I718">
        <v>2277.71</v>
      </c>
      <c r="J718" t="s">
        <v>38</v>
      </c>
    </row>
    <row r="719" spans="1:10">
      <c r="A719" t="s">
        <v>985</v>
      </c>
      <c r="B719">
        <v>45670</v>
      </c>
      <c r="C719" t="s">
        <v>74</v>
      </c>
      <c r="D719" t="s">
        <v>63</v>
      </c>
      <c r="E719" t="s">
        <v>20</v>
      </c>
      <c r="F719" t="s">
        <v>191</v>
      </c>
      <c r="G719">
        <v>6</v>
      </c>
      <c r="H719">
        <v>2601.06</v>
      </c>
      <c r="I719">
        <v>1508.71</v>
      </c>
      <c r="J719" t="s">
        <v>16</v>
      </c>
    </row>
    <row r="720" spans="1:10">
      <c r="A720" t="s">
        <v>986</v>
      </c>
      <c r="B720">
        <v>45783</v>
      </c>
      <c r="C720" t="s">
        <v>11</v>
      </c>
      <c r="D720" t="s">
        <v>57</v>
      </c>
      <c r="E720" t="s">
        <v>78</v>
      </c>
      <c r="F720" t="s">
        <v>79</v>
      </c>
      <c r="G720">
        <v>3</v>
      </c>
      <c r="H720">
        <v>481.54</v>
      </c>
      <c r="I720">
        <v>362.3</v>
      </c>
      <c r="J720" t="s">
        <v>22</v>
      </c>
    </row>
    <row r="721" spans="1:10">
      <c r="A721" t="s">
        <v>987</v>
      </c>
      <c r="B721">
        <v>45818</v>
      </c>
      <c r="C721" t="s">
        <v>67</v>
      </c>
      <c r="D721" t="s">
        <v>31</v>
      </c>
      <c r="E721" t="s">
        <v>20</v>
      </c>
      <c r="F721" t="s">
        <v>191</v>
      </c>
      <c r="G721">
        <v>6</v>
      </c>
      <c r="H721">
        <v>1702.11</v>
      </c>
      <c r="I721">
        <v>1258.4100000000001</v>
      </c>
      <c r="J721" t="s">
        <v>71</v>
      </c>
    </row>
    <row r="722" spans="1:10">
      <c r="A722" t="s">
        <v>988</v>
      </c>
      <c r="B722">
        <v>45718</v>
      </c>
      <c r="D722" t="s">
        <v>19</v>
      </c>
      <c r="E722" t="s">
        <v>20</v>
      </c>
      <c r="F722" t="s">
        <v>14</v>
      </c>
      <c r="G722">
        <v>2</v>
      </c>
      <c r="H722">
        <v>2481.3000000000002</v>
      </c>
      <c r="I722">
        <v>1811.82</v>
      </c>
      <c r="J722" t="s">
        <v>22</v>
      </c>
    </row>
    <row r="723" spans="1:10">
      <c r="A723" t="s">
        <v>989</v>
      </c>
      <c r="B723">
        <v>45925</v>
      </c>
      <c r="C723" t="s">
        <v>344</v>
      </c>
      <c r="D723" t="s">
        <v>577</v>
      </c>
      <c r="E723" t="s">
        <v>82</v>
      </c>
      <c r="F723" t="s">
        <v>97</v>
      </c>
      <c r="G723">
        <v>7</v>
      </c>
      <c r="H723">
        <v>1142.6199999999999</v>
      </c>
      <c r="I723">
        <v>684.87</v>
      </c>
      <c r="J723" t="s">
        <v>38</v>
      </c>
    </row>
    <row r="724" spans="1:10">
      <c r="A724" t="s">
        <v>990</v>
      </c>
      <c r="B724">
        <v>45766</v>
      </c>
      <c r="C724" t="s">
        <v>117</v>
      </c>
      <c r="D724" t="s">
        <v>12</v>
      </c>
      <c r="E724" t="s">
        <v>20</v>
      </c>
      <c r="F724" t="s">
        <v>21</v>
      </c>
      <c r="G724">
        <v>3</v>
      </c>
      <c r="H724" t="s">
        <v>991</v>
      </c>
      <c r="I724">
        <v>3035.79</v>
      </c>
      <c r="J724" t="s">
        <v>16</v>
      </c>
    </row>
    <row r="725" spans="1:10">
      <c r="A725" t="s">
        <v>992</v>
      </c>
      <c r="B725">
        <v>45718</v>
      </c>
      <c r="C725" t="s">
        <v>24</v>
      </c>
      <c r="D725" t="s">
        <v>41</v>
      </c>
      <c r="E725" t="s">
        <v>26</v>
      </c>
      <c r="F725" t="s">
        <v>131</v>
      </c>
      <c r="G725">
        <v>5</v>
      </c>
      <c r="H725">
        <v>1444.52</v>
      </c>
      <c r="I725">
        <v>899.76</v>
      </c>
      <c r="J725" t="s">
        <v>71</v>
      </c>
    </row>
    <row r="726" spans="1:10">
      <c r="A726" t="s">
        <v>993</v>
      </c>
      <c r="B726">
        <v>45669</v>
      </c>
      <c r="C726" t="s">
        <v>70</v>
      </c>
      <c r="D726" t="s">
        <v>63</v>
      </c>
      <c r="E726" t="s">
        <v>26</v>
      </c>
      <c r="F726" t="s">
        <v>106</v>
      </c>
      <c r="G726">
        <v>2</v>
      </c>
      <c r="H726">
        <v>3322.01</v>
      </c>
      <c r="I726">
        <v>2381.21</v>
      </c>
      <c r="J726" t="s">
        <v>71</v>
      </c>
    </row>
    <row r="727" spans="1:10">
      <c r="A727" t="s">
        <v>994</v>
      </c>
      <c r="B727" t="s">
        <v>995</v>
      </c>
      <c r="C727" t="s">
        <v>162</v>
      </c>
      <c r="D727" t="s">
        <v>25</v>
      </c>
      <c r="E727" t="s">
        <v>36</v>
      </c>
      <c r="F727" t="s">
        <v>37</v>
      </c>
      <c r="G727">
        <v>5</v>
      </c>
      <c r="H727">
        <v>16278.23</v>
      </c>
      <c r="I727">
        <v>11980.1</v>
      </c>
      <c r="J727" t="s">
        <v>16</v>
      </c>
    </row>
    <row r="728" spans="1:10">
      <c r="A728" t="s">
        <v>996</v>
      </c>
      <c r="B728">
        <v>45917</v>
      </c>
      <c r="C728" t="s">
        <v>327</v>
      </c>
      <c r="D728" t="s">
        <v>12</v>
      </c>
      <c r="E728" t="s">
        <v>82</v>
      </c>
      <c r="F728" t="s">
        <v>97</v>
      </c>
      <c r="G728">
        <v>7</v>
      </c>
      <c r="H728">
        <v>-626.35</v>
      </c>
      <c r="I728">
        <v>2531.4499999999998</v>
      </c>
      <c r="J728" t="s">
        <v>16</v>
      </c>
    </row>
    <row r="729" spans="1:10">
      <c r="A729" t="s">
        <v>997</v>
      </c>
      <c r="B729">
        <v>45969</v>
      </c>
      <c r="C729" t="s">
        <v>998</v>
      </c>
      <c r="D729" t="s">
        <v>12</v>
      </c>
      <c r="E729" t="s">
        <v>26</v>
      </c>
      <c r="F729" t="s">
        <v>27</v>
      </c>
      <c r="G729">
        <v>4</v>
      </c>
      <c r="H729">
        <v>2146.15</v>
      </c>
      <c r="I729">
        <v>1337.71</v>
      </c>
      <c r="J729" t="s">
        <v>22</v>
      </c>
    </row>
    <row r="730" spans="1:10">
      <c r="A730" t="s">
        <v>999</v>
      </c>
      <c r="B730">
        <v>45708</v>
      </c>
      <c r="C730" t="s">
        <v>246</v>
      </c>
      <c r="D730" t="s">
        <v>31</v>
      </c>
      <c r="E730" t="s">
        <v>82</v>
      </c>
      <c r="F730" t="s">
        <v>83</v>
      </c>
      <c r="G730">
        <v>2</v>
      </c>
      <c r="H730">
        <v>6028.43</v>
      </c>
      <c r="I730">
        <v>4610.5600000000004</v>
      </c>
      <c r="J730" t="s">
        <v>38</v>
      </c>
    </row>
    <row r="731" spans="1:10">
      <c r="A731" t="s">
        <v>1000</v>
      </c>
      <c r="B731">
        <v>45774</v>
      </c>
      <c r="C731" t="s">
        <v>48</v>
      </c>
      <c r="D731" t="s">
        <v>12</v>
      </c>
      <c r="E731" t="s">
        <v>20</v>
      </c>
      <c r="F731" t="s">
        <v>14</v>
      </c>
      <c r="G731">
        <v>7</v>
      </c>
      <c r="H731">
        <v>2619.61</v>
      </c>
      <c r="I731">
        <v>1746.21</v>
      </c>
      <c r="J731" t="s">
        <v>22</v>
      </c>
    </row>
    <row r="732" spans="1:10">
      <c r="A732" t="s">
        <v>1001</v>
      </c>
      <c r="B732">
        <v>45898</v>
      </c>
      <c r="C732" t="s">
        <v>11</v>
      </c>
      <c r="D732" t="s">
        <v>63</v>
      </c>
      <c r="E732" t="s">
        <v>26</v>
      </c>
      <c r="F732" t="s">
        <v>27</v>
      </c>
      <c r="G732">
        <v>1</v>
      </c>
      <c r="H732">
        <v>2684.33</v>
      </c>
      <c r="I732">
        <v>1522.52</v>
      </c>
      <c r="J732" t="s">
        <v>22</v>
      </c>
    </row>
    <row r="733" spans="1:10">
      <c r="A733" t="s">
        <v>1002</v>
      </c>
      <c r="B733">
        <v>45959</v>
      </c>
      <c r="C733" t="s">
        <v>259</v>
      </c>
      <c r="D733" t="s">
        <v>12</v>
      </c>
      <c r="E733" t="s">
        <v>20</v>
      </c>
      <c r="F733" t="s">
        <v>191</v>
      </c>
      <c r="G733">
        <v>7</v>
      </c>
      <c r="H733">
        <v>3381.79</v>
      </c>
      <c r="I733">
        <v>2301.66</v>
      </c>
      <c r="J733" t="s">
        <v>22</v>
      </c>
    </row>
    <row r="734" spans="1:10">
      <c r="A734" t="s">
        <v>1003</v>
      </c>
      <c r="B734">
        <v>45790</v>
      </c>
      <c r="C734" t="s">
        <v>121</v>
      </c>
      <c r="D734" t="s">
        <v>12</v>
      </c>
      <c r="E734" t="s">
        <v>32</v>
      </c>
      <c r="F734" t="s">
        <v>52</v>
      </c>
      <c r="G734">
        <v>3</v>
      </c>
      <c r="H734">
        <v>2377.92</v>
      </c>
      <c r="I734">
        <v>2013.78</v>
      </c>
      <c r="J734" t="s">
        <v>16</v>
      </c>
    </row>
    <row r="735" spans="1:10">
      <c r="A735" t="s">
        <v>1004</v>
      </c>
      <c r="B735">
        <v>45909</v>
      </c>
      <c r="C735" t="s">
        <v>121</v>
      </c>
      <c r="D735" t="s">
        <v>41</v>
      </c>
      <c r="E735" t="s">
        <v>20</v>
      </c>
      <c r="F735" t="s">
        <v>91</v>
      </c>
      <c r="G735">
        <v>2</v>
      </c>
      <c r="H735">
        <v>5299.96</v>
      </c>
      <c r="I735">
        <v>3919.01</v>
      </c>
      <c r="J735" t="s">
        <v>28</v>
      </c>
    </row>
    <row r="736" spans="1:10">
      <c r="A736" t="s">
        <v>1005</v>
      </c>
      <c r="B736">
        <v>46012</v>
      </c>
      <c r="C736" t="s">
        <v>162</v>
      </c>
      <c r="D736" t="s">
        <v>19</v>
      </c>
      <c r="E736" t="s">
        <v>26</v>
      </c>
      <c r="F736" t="s">
        <v>79</v>
      </c>
      <c r="G736">
        <v>7</v>
      </c>
      <c r="H736">
        <v>2361.9699999999998</v>
      </c>
      <c r="I736">
        <v>1962.99</v>
      </c>
      <c r="J736" t="s">
        <v>38</v>
      </c>
    </row>
    <row r="737" spans="1:10">
      <c r="A737" t="s">
        <v>1006</v>
      </c>
      <c r="B737">
        <v>45778</v>
      </c>
      <c r="C737" t="s">
        <v>30</v>
      </c>
      <c r="D737" t="s">
        <v>31</v>
      </c>
      <c r="E737" t="s">
        <v>32</v>
      </c>
      <c r="F737" t="s">
        <v>33</v>
      </c>
      <c r="G737">
        <v>2</v>
      </c>
      <c r="H737">
        <v>1255.92</v>
      </c>
      <c r="I737">
        <v>1022.84</v>
      </c>
      <c r="J737" t="s">
        <v>28</v>
      </c>
    </row>
    <row r="738" spans="1:10">
      <c r="A738" t="s">
        <v>1007</v>
      </c>
      <c r="B738">
        <v>45813</v>
      </c>
      <c r="C738" t="s">
        <v>135</v>
      </c>
      <c r="D738" t="s">
        <v>63</v>
      </c>
      <c r="E738" t="s">
        <v>20</v>
      </c>
      <c r="F738" t="s">
        <v>91</v>
      </c>
      <c r="G738">
        <v>4</v>
      </c>
      <c r="H738">
        <v>1889.75</v>
      </c>
      <c r="I738">
        <v>1135.49</v>
      </c>
      <c r="J738" t="s">
        <v>28</v>
      </c>
    </row>
    <row r="739" spans="1:10">
      <c r="A739" t="s">
        <v>1008</v>
      </c>
      <c r="B739">
        <v>45783</v>
      </c>
      <c r="C739" t="s">
        <v>220</v>
      </c>
      <c r="D739" t="s">
        <v>41</v>
      </c>
      <c r="E739" t="s">
        <v>32</v>
      </c>
      <c r="F739" t="s">
        <v>101</v>
      </c>
      <c r="G739">
        <v>6</v>
      </c>
      <c r="H739">
        <v>985.75</v>
      </c>
      <c r="I739">
        <v>691.73</v>
      </c>
      <c r="J739" t="s">
        <v>38</v>
      </c>
    </row>
    <row r="740" spans="1:10">
      <c r="A740" t="s">
        <v>1009</v>
      </c>
      <c r="B740">
        <v>45949</v>
      </c>
      <c r="C740" t="s">
        <v>48</v>
      </c>
      <c r="D740" t="s">
        <v>57</v>
      </c>
      <c r="E740" t="s">
        <v>26</v>
      </c>
      <c r="F740" t="s">
        <v>106</v>
      </c>
      <c r="G740">
        <v>8</v>
      </c>
      <c r="H740">
        <v>715.48</v>
      </c>
      <c r="I740">
        <v>597.13</v>
      </c>
      <c r="J740" t="s">
        <v>71</v>
      </c>
    </row>
    <row r="741" spans="1:10">
      <c r="A741" t="s">
        <v>1010</v>
      </c>
      <c r="B741">
        <v>45780</v>
      </c>
      <c r="C741" t="s">
        <v>124</v>
      </c>
      <c r="D741" t="s">
        <v>31</v>
      </c>
      <c r="E741" t="s">
        <v>26</v>
      </c>
      <c r="F741" t="s">
        <v>27</v>
      </c>
      <c r="G741">
        <v>5</v>
      </c>
      <c r="H741">
        <v>778.97</v>
      </c>
      <c r="I741">
        <v>455.8</v>
      </c>
      <c r="J741" t="s">
        <v>71</v>
      </c>
    </row>
    <row r="742" spans="1:10">
      <c r="A742" t="s">
        <v>1011</v>
      </c>
      <c r="B742">
        <v>45948</v>
      </c>
      <c r="C742" t="s">
        <v>59</v>
      </c>
      <c r="D742" t="s">
        <v>31</v>
      </c>
      <c r="E742" t="s">
        <v>32</v>
      </c>
      <c r="F742" t="s">
        <v>163</v>
      </c>
      <c r="G742">
        <v>3</v>
      </c>
      <c r="H742">
        <v>658.29</v>
      </c>
      <c r="I742">
        <v>542.86</v>
      </c>
      <c r="J742" t="s">
        <v>22</v>
      </c>
    </row>
    <row r="743" spans="1:10">
      <c r="A743" t="s">
        <v>1012</v>
      </c>
      <c r="B743">
        <v>45795</v>
      </c>
      <c r="C743" t="s">
        <v>1013</v>
      </c>
      <c r="D743" t="s">
        <v>19</v>
      </c>
      <c r="E743" t="s">
        <v>82</v>
      </c>
      <c r="F743" t="s">
        <v>150</v>
      </c>
      <c r="G743">
        <v>7</v>
      </c>
      <c r="H743">
        <v>6268.33</v>
      </c>
      <c r="I743">
        <v>3689.48</v>
      </c>
      <c r="J743" t="s">
        <v>38</v>
      </c>
    </row>
    <row r="744" spans="1:10">
      <c r="A744" t="s">
        <v>1014</v>
      </c>
      <c r="B744">
        <v>45954</v>
      </c>
      <c r="C744" t="s">
        <v>54</v>
      </c>
      <c r="D744" t="s">
        <v>63</v>
      </c>
      <c r="E744" t="s">
        <v>26</v>
      </c>
      <c r="F744" t="s">
        <v>131</v>
      </c>
      <c r="G744">
        <v>4</v>
      </c>
      <c r="H744">
        <v>2594.5500000000002</v>
      </c>
      <c r="I744">
        <v>1926.62</v>
      </c>
      <c r="J744" t="s">
        <v>71</v>
      </c>
    </row>
    <row r="745" spans="1:10">
      <c r="A745" t="s">
        <v>1015</v>
      </c>
      <c r="B745">
        <v>45885</v>
      </c>
      <c r="C745" t="s">
        <v>35</v>
      </c>
      <c r="D745" t="s">
        <v>41</v>
      </c>
      <c r="E745" t="s">
        <v>20</v>
      </c>
      <c r="F745" t="s">
        <v>91</v>
      </c>
      <c r="G745">
        <v>3</v>
      </c>
      <c r="H745">
        <v>516.91999999999996</v>
      </c>
      <c r="I745">
        <v>318.44</v>
      </c>
      <c r="J745" t="s">
        <v>22</v>
      </c>
    </row>
    <row r="746" spans="1:10">
      <c r="A746" t="s">
        <v>1016</v>
      </c>
      <c r="B746">
        <v>46008</v>
      </c>
      <c r="C746" t="s">
        <v>51</v>
      </c>
      <c r="D746" t="s">
        <v>12</v>
      </c>
      <c r="E746" t="s">
        <v>13</v>
      </c>
      <c r="F746" t="s">
        <v>196</v>
      </c>
      <c r="G746">
        <v>6</v>
      </c>
      <c r="H746">
        <v>4897.4399999999996</v>
      </c>
      <c r="I746">
        <v>4128.79</v>
      </c>
      <c r="J746" t="s">
        <v>22</v>
      </c>
    </row>
    <row r="747" spans="1:10">
      <c r="A747" t="s">
        <v>1017</v>
      </c>
      <c r="B747">
        <v>45922</v>
      </c>
      <c r="C747" t="s">
        <v>231</v>
      </c>
      <c r="D747" t="s">
        <v>19</v>
      </c>
      <c r="E747" t="s">
        <v>82</v>
      </c>
      <c r="F747" t="s">
        <v>137</v>
      </c>
      <c r="G747">
        <v>6</v>
      </c>
      <c r="H747">
        <v>3276.12</v>
      </c>
      <c r="I747">
        <v>1980.23</v>
      </c>
      <c r="J747" t="s">
        <v>28</v>
      </c>
    </row>
    <row r="748" spans="1:10">
      <c r="A748" t="s">
        <v>1018</v>
      </c>
      <c r="B748">
        <v>46014</v>
      </c>
      <c r="C748" t="s">
        <v>129</v>
      </c>
      <c r="D748" t="s">
        <v>63</v>
      </c>
      <c r="E748" t="s">
        <v>82</v>
      </c>
      <c r="F748" t="s">
        <v>109</v>
      </c>
      <c r="G748">
        <v>4</v>
      </c>
      <c r="H748">
        <v>4439.55</v>
      </c>
      <c r="I748">
        <v>2601.89</v>
      </c>
      <c r="J748" t="s">
        <v>38</v>
      </c>
    </row>
    <row r="749" spans="1:10">
      <c r="A749" t="s">
        <v>1019</v>
      </c>
      <c r="B749">
        <v>45688</v>
      </c>
      <c r="C749" t="s">
        <v>259</v>
      </c>
      <c r="D749" t="s">
        <v>19</v>
      </c>
      <c r="E749" t="s">
        <v>36</v>
      </c>
      <c r="F749" t="s">
        <v>113</v>
      </c>
      <c r="G749">
        <v>2</v>
      </c>
      <c r="H749">
        <v>17762.95</v>
      </c>
      <c r="I749">
        <v>12536.8</v>
      </c>
      <c r="J749" t="s">
        <v>22</v>
      </c>
    </row>
    <row r="750" spans="1:10">
      <c r="A750" t="s">
        <v>1020</v>
      </c>
      <c r="B750">
        <v>45802</v>
      </c>
      <c r="C750" t="s">
        <v>74</v>
      </c>
      <c r="D750" t="s">
        <v>31</v>
      </c>
      <c r="E750" t="s">
        <v>26</v>
      </c>
      <c r="F750" t="s">
        <v>27</v>
      </c>
      <c r="G750">
        <v>5</v>
      </c>
      <c r="H750">
        <v>2971.8</v>
      </c>
      <c r="I750">
        <v>2203.2199999999998</v>
      </c>
      <c r="J750" t="s">
        <v>28</v>
      </c>
    </row>
    <row r="751" spans="1:10">
      <c r="A751" t="s">
        <v>1021</v>
      </c>
      <c r="B751">
        <v>45992</v>
      </c>
      <c r="C751" t="s">
        <v>1022</v>
      </c>
      <c r="D751" t="s">
        <v>57</v>
      </c>
      <c r="E751" t="s">
        <v>26</v>
      </c>
      <c r="F751" t="s">
        <v>350</v>
      </c>
      <c r="G751">
        <v>5</v>
      </c>
      <c r="H751">
        <v>2558.91</v>
      </c>
      <c r="I751">
        <v>1918.61</v>
      </c>
      <c r="J751" t="s">
        <v>28</v>
      </c>
    </row>
    <row r="752" spans="1:10">
      <c r="A752" t="s">
        <v>1023</v>
      </c>
      <c r="B752">
        <v>45934</v>
      </c>
      <c r="C752" t="s">
        <v>249</v>
      </c>
      <c r="D752" t="s">
        <v>12</v>
      </c>
      <c r="E752" t="s">
        <v>32</v>
      </c>
      <c r="F752" t="s">
        <v>101</v>
      </c>
      <c r="G752">
        <v>5</v>
      </c>
      <c r="H752">
        <v>256.82</v>
      </c>
      <c r="I752">
        <v>185.06</v>
      </c>
      <c r="J752" t="s">
        <v>22</v>
      </c>
    </row>
    <row r="753" spans="1:10">
      <c r="A753" t="s">
        <v>1024</v>
      </c>
      <c r="B753">
        <v>45783</v>
      </c>
      <c r="C753" t="s">
        <v>121</v>
      </c>
      <c r="D753" t="s">
        <v>41</v>
      </c>
      <c r="E753" t="s">
        <v>26</v>
      </c>
      <c r="F753" t="s">
        <v>106</v>
      </c>
      <c r="G753">
        <v>7</v>
      </c>
      <c r="H753" t="s">
        <v>1025</v>
      </c>
      <c r="I753">
        <v>698.46</v>
      </c>
      <c r="J753" t="s">
        <v>16</v>
      </c>
    </row>
    <row r="754" spans="1:10">
      <c r="A754" t="s">
        <v>1026</v>
      </c>
      <c r="B754">
        <v>45959</v>
      </c>
      <c r="C754" t="s">
        <v>1027</v>
      </c>
      <c r="D754" t="s">
        <v>63</v>
      </c>
      <c r="E754" t="s">
        <v>32</v>
      </c>
      <c r="F754" t="s">
        <v>163</v>
      </c>
      <c r="G754">
        <v>3</v>
      </c>
      <c r="H754">
        <v>2416.87</v>
      </c>
      <c r="I754">
        <v>1332.74</v>
      </c>
      <c r="J754" t="s">
        <v>16</v>
      </c>
    </row>
    <row r="755" spans="1:10">
      <c r="A755" t="s">
        <v>1028</v>
      </c>
      <c r="B755">
        <v>45822</v>
      </c>
      <c r="C755" t="s">
        <v>115</v>
      </c>
      <c r="D755" t="s">
        <v>63</v>
      </c>
      <c r="E755" t="s">
        <v>82</v>
      </c>
      <c r="F755" t="s">
        <v>97</v>
      </c>
      <c r="G755">
        <v>7</v>
      </c>
      <c r="H755">
        <v>3163.19</v>
      </c>
      <c r="I755">
        <v>2375.4499999999998</v>
      </c>
      <c r="J755" t="s">
        <v>71</v>
      </c>
    </row>
    <row r="756" spans="1:10">
      <c r="A756" t="s">
        <v>1029</v>
      </c>
      <c r="B756">
        <v>45867</v>
      </c>
      <c r="C756" t="s">
        <v>59</v>
      </c>
      <c r="D756" t="s">
        <v>57</v>
      </c>
      <c r="E756" t="s">
        <v>26</v>
      </c>
      <c r="F756" t="s">
        <v>106</v>
      </c>
      <c r="G756">
        <v>5</v>
      </c>
      <c r="H756">
        <v>3054.42</v>
      </c>
      <c r="I756">
        <v>1736.3</v>
      </c>
      <c r="J756" t="s">
        <v>38</v>
      </c>
    </row>
    <row r="757" spans="1:10">
      <c r="A757" t="s">
        <v>1030</v>
      </c>
      <c r="B757">
        <v>46011</v>
      </c>
      <c r="C757" t="s">
        <v>35</v>
      </c>
      <c r="D757" t="s">
        <v>41</v>
      </c>
      <c r="E757" t="s">
        <v>36</v>
      </c>
      <c r="F757" t="s">
        <v>93</v>
      </c>
      <c r="G757">
        <v>5</v>
      </c>
      <c r="H757" t="s">
        <v>1031</v>
      </c>
      <c r="I757">
        <v>6347.11</v>
      </c>
      <c r="J757" t="s">
        <v>16</v>
      </c>
    </row>
    <row r="758" spans="1:10">
      <c r="A758" t="s">
        <v>1032</v>
      </c>
      <c r="B758">
        <v>45779</v>
      </c>
      <c r="C758" t="s">
        <v>129</v>
      </c>
      <c r="D758" t="s">
        <v>63</v>
      </c>
      <c r="E758" t="s">
        <v>36</v>
      </c>
      <c r="F758" t="s">
        <v>88</v>
      </c>
      <c r="G758">
        <v>5</v>
      </c>
      <c r="H758">
        <v>2983.61</v>
      </c>
      <c r="I758">
        <v>1875.75</v>
      </c>
      <c r="J758" t="s">
        <v>38</v>
      </c>
    </row>
    <row r="759" spans="1:10">
      <c r="A759" t="s">
        <v>1033</v>
      </c>
      <c r="B759">
        <v>45856</v>
      </c>
      <c r="D759" t="s">
        <v>312</v>
      </c>
      <c r="E759" t="s">
        <v>20</v>
      </c>
      <c r="F759" t="s">
        <v>196</v>
      </c>
      <c r="G759">
        <v>7</v>
      </c>
      <c r="H759">
        <v>3780.34</v>
      </c>
      <c r="I759">
        <v>2796.26</v>
      </c>
      <c r="J759" t="s">
        <v>28</v>
      </c>
    </row>
    <row r="760" spans="1:10">
      <c r="A760" t="s">
        <v>1034</v>
      </c>
      <c r="B760">
        <v>45936</v>
      </c>
      <c r="C760" t="s">
        <v>220</v>
      </c>
      <c r="D760" t="s">
        <v>12</v>
      </c>
      <c r="E760" t="s">
        <v>82</v>
      </c>
      <c r="F760" t="s">
        <v>109</v>
      </c>
      <c r="G760">
        <v>6</v>
      </c>
      <c r="H760">
        <v>6158.12</v>
      </c>
      <c r="I760">
        <v>5067.22</v>
      </c>
      <c r="J760" t="s">
        <v>22</v>
      </c>
    </row>
    <row r="761" spans="1:10">
      <c r="A761" t="s">
        <v>1035</v>
      </c>
      <c r="B761">
        <v>45706</v>
      </c>
      <c r="C761" t="s">
        <v>115</v>
      </c>
      <c r="D761" t="s">
        <v>31</v>
      </c>
      <c r="E761" t="s">
        <v>32</v>
      </c>
      <c r="F761" t="s">
        <v>33</v>
      </c>
      <c r="G761">
        <v>8</v>
      </c>
      <c r="H761">
        <v>1719.97</v>
      </c>
      <c r="I761">
        <v>1268.6500000000001</v>
      </c>
      <c r="J761" t="s">
        <v>22</v>
      </c>
    </row>
    <row r="762" spans="1:10">
      <c r="A762" t="s">
        <v>1036</v>
      </c>
      <c r="B762">
        <v>45882</v>
      </c>
      <c r="C762" t="s">
        <v>108</v>
      </c>
      <c r="D762" t="s">
        <v>31</v>
      </c>
      <c r="E762" t="s">
        <v>36</v>
      </c>
      <c r="F762" t="s">
        <v>660</v>
      </c>
      <c r="G762">
        <v>7</v>
      </c>
      <c r="H762">
        <v>10518.73</v>
      </c>
      <c r="I762">
        <v>7139.92</v>
      </c>
      <c r="J762" t="s">
        <v>38</v>
      </c>
    </row>
    <row r="763" spans="1:10">
      <c r="A763" t="s">
        <v>1037</v>
      </c>
      <c r="B763">
        <v>45993</v>
      </c>
      <c r="C763" t="s">
        <v>259</v>
      </c>
      <c r="D763" t="s">
        <v>31</v>
      </c>
      <c r="E763" t="s">
        <v>20</v>
      </c>
      <c r="F763" t="s">
        <v>191</v>
      </c>
      <c r="G763">
        <v>2</v>
      </c>
      <c r="H763">
        <v>5085.3100000000004</v>
      </c>
      <c r="I763">
        <v>3830.08</v>
      </c>
      <c r="J763" t="s">
        <v>22</v>
      </c>
    </row>
    <row r="764" spans="1:10">
      <c r="A764" t="s">
        <v>1038</v>
      </c>
      <c r="B764">
        <v>45765</v>
      </c>
      <c r="C764" t="s">
        <v>85</v>
      </c>
      <c r="D764" t="s">
        <v>31</v>
      </c>
      <c r="E764" t="s">
        <v>32</v>
      </c>
      <c r="F764" t="s">
        <v>33</v>
      </c>
      <c r="G764">
        <v>6</v>
      </c>
      <c r="H764">
        <v>2030</v>
      </c>
      <c r="I764">
        <v>1552.96</v>
      </c>
      <c r="J764" t="s">
        <v>22</v>
      </c>
    </row>
    <row r="765" spans="1:10">
      <c r="A765" t="s">
        <v>1039</v>
      </c>
      <c r="B765">
        <v>45948</v>
      </c>
      <c r="C765" t="s">
        <v>1040</v>
      </c>
      <c r="D765" t="s">
        <v>12</v>
      </c>
      <c r="E765" t="s">
        <v>20</v>
      </c>
      <c r="F765" t="s">
        <v>91</v>
      </c>
      <c r="G765">
        <v>1</v>
      </c>
      <c r="H765">
        <v>5182.63</v>
      </c>
      <c r="I765">
        <v>4445.05</v>
      </c>
      <c r="J765" t="s">
        <v>38</v>
      </c>
    </row>
    <row r="766" spans="1:10">
      <c r="A766" t="s">
        <v>1041</v>
      </c>
      <c r="B766">
        <v>45685</v>
      </c>
      <c r="C766" t="s">
        <v>133</v>
      </c>
      <c r="D766" t="s">
        <v>63</v>
      </c>
      <c r="E766" t="s">
        <v>26</v>
      </c>
      <c r="F766" t="s">
        <v>79</v>
      </c>
      <c r="G766">
        <v>1</v>
      </c>
      <c r="H766">
        <v>2666.93</v>
      </c>
      <c r="I766">
        <v>1645.55</v>
      </c>
      <c r="J766" t="s">
        <v>28</v>
      </c>
    </row>
    <row r="767" spans="1:10">
      <c r="A767" t="s">
        <v>1042</v>
      </c>
      <c r="B767">
        <v>45828</v>
      </c>
      <c r="C767" t="s">
        <v>1043</v>
      </c>
      <c r="E767" t="s">
        <v>32</v>
      </c>
      <c r="F767" t="s">
        <v>180</v>
      </c>
      <c r="G767">
        <v>1</v>
      </c>
      <c r="H767">
        <v>436.13</v>
      </c>
      <c r="I767">
        <v>361.86</v>
      </c>
      <c r="J767" t="s">
        <v>28</v>
      </c>
    </row>
    <row r="768" spans="1:10">
      <c r="A768" t="s">
        <v>1044</v>
      </c>
      <c r="B768">
        <v>45724</v>
      </c>
      <c r="C768" t="s">
        <v>115</v>
      </c>
      <c r="D768" t="s">
        <v>12</v>
      </c>
      <c r="E768" t="s">
        <v>36</v>
      </c>
      <c r="F768" t="s">
        <v>46</v>
      </c>
      <c r="G768">
        <v>4</v>
      </c>
      <c r="H768">
        <v>14984.82</v>
      </c>
      <c r="I768">
        <v>10082.370000000001</v>
      </c>
      <c r="J768" t="s">
        <v>16</v>
      </c>
    </row>
    <row r="769" spans="1:10">
      <c r="A769" t="s">
        <v>1045</v>
      </c>
      <c r="B769">
        <v>45735</v>
      </c>
      <c r="C769" t="s">
        <v>220</v>
      </c>
      <c r="D769" t="s">
        <v>57</v>
      </c>
      <c r="E769" t="s">
        <v>82</v>
      </c>
      <c r="F769" t="s">
        <v>109</v>
      </c>
      <c r="G769">
        <v>1</v>
      </c>
      <c r="H769">
        <v>6553.82</v>
      </c>
      <c r="I769">
        <v>3656.31</v>
      </c>
      <c r="J769" t="s">
        <v>38</v>
      </c>
    </row>
    <row r="770" spans="1:10">
      <c r="A770" t="s">
        <v>1046</v>
      </c>
      <c r="B770" t="s">
        <v>1047</v>
      </c>
      <c r="C770" t="s">
        <v>357</v>
      </c>
      <c r="D770" t="s">
        <v>12</v>
      </c>
      <c r="E770" t="s">
        <v>36</v>
      </c>
      <c r="F770" t="s">
        <v>113</v>
      </c>
      <c r="G770">
        <v>5</v>
      </c>
      <c r="H770">
        <v>3715.64</v>
      </c>
      <c r="I770">
        <v>2439.2399999999998</v>
      </c>
      <c r="J770" t="s">
        <v>71</v>
      </c>
    </row>
    <row r="771" spans="1:10">
      <c r="A771" t="s">
        <v>1048</v>
      </c>
      <c r="B771">
        <v>45705</v>
      </c>
      <c r="C771" t="s">
        <v>18</v>
      </c>
      <c r="D771" t="s">
        <v>12</v>
      </c>
      <c r="E771" t="s">
        <v>36</v>
      </c>
      <c r="F771" t="s">
        <v>113</v>
      </c>
      <c r="G771">
        <v>1</v>
      </c>
      <c r="H771">
        <v>16948.439999999999</v>
      </c>
      <c r="I771">
        <v>12994.03</v>
      </c>
      <c r="J771" t="s">
        <v>71</v>
      </c>
    </row>
    <row r="772" spans="1:10">
      <c r="A772" t="s">
        <v>1049</v>
      </c>
      <c r="B772">
        <v>45727</v>
      </c>
      <c r="C772" t="s">
        <v>115</v>
      </c>
      <c r="D772" t="s">
        <v>19</v>
      </c>
      <c r="E772" t="s">
        <v>78</v>
      </c>
      <c r="F772" t="s">
        <v>350</v>
      </c>
      <c r="G772">
        <v>3</v>
      </c>
      <c r="H772">
        <v>2630.14</v>
      </c>
      <c r="I772">
        <v>1825.76</v>
      </c>
      <c r="J772" t="s">
        <v>28</v>
      </c>
    </row>
    <row r="773" spans="1:10">
      <c r="A773" t="s">
        <v>1050</v>
      </c>
      <c r="B773">
        <v>45813</v>
      </c>
      <c r="C773" t="s">
        <v>18</v>
      </c>
      <c r="D773" t="s">
        <v>19</v>
      </c>
      <c r="E773" t="s">
        <v>32</v>
      </c>
      <c r="F773" t="s">
        <v>33</v>
      </c>
      <c r="G773">
        <v>5</v>
      </c>
      <c r="H773">
        <v>1261.0999999999999</v>
      </c>
      <c r="I773">
        <v>869.42</v>
      </c>
      <c r="J773" t="s">
        <v>38</v>
      </c>
    </row>
    <row r="774" spans="1:10">
      <c r="A774" t="s">
        <v>1051</v>
      </c>
      <c r="B774">
        <v>45765</v>
      </c>
      <c r="C774" t="s">
        <v>117</v>
      </c>
      <c r="D774" t="s">
        <v>41</v>
      </c>
      <c r="E774" t="s">
        <v>26</v>
      </c>
      <c r="F774" t="s">
        <v>350</v>
      </c>
      <c r="G774">
        <v>7</v>
      </c>
      <c r="H774">
        <v>1066.99</v>
      </c>
      <c r="I774">
        <v>804.03</v>
      </c>
      <c r="J774" t="s">
        <v>28</v>
      </c>
    </row>
    <row r="775" spans="1:10">
      <c r="A775" t="s">
        <v>1052</v>
      </c>
      <c r="B775">
        <v>46014</v>
      </c>
      <c r="C775" t="s">
        <v>124</v>
      </c>
      <c r="D775" t="s">
        <v>63</v>
      </c>
      <c r="E775" t="s">
        <v>36</v>
      </c>
      <c r="F775" t="s">
        <v>93</v>
      </c>
      <c r="G775">
        <v>8</v>
      </c>
      <c r="H775">
        <v>6353.35</v>
      </c>
      <c r="I775">
        <v>4123.88</v>
      </c>
      <c r="J775" t="s">
        <v>16</v>
      </c>
    </row>
    <row r="776" spans="1:10">
      <c r="A776" t="s">
        <v>1053</v>
      </c>
      <c r="B776">
        <v>45918</v>
      </c>
      <c r="C776" t="s">
        <v>133</v>
      </c>
      <c r="D776" t="s">
        <v>19</v>
      </c>
      <c r="E776" t="s">
        <v>20</v>
      </c>
      <c r="F776" t="s">
        <v>86</v>
      </c>
      <c r="G776">
        <v>8</v>
      </c>
      <c r="H776">
        <v>1000</v>
      </c>
      <c r="I776">
        <v>565.54999999999995</v>
      </c>
      <c r="J776" t="s">
        <v>16</v>
      </c>
    </row>
    <row r="777" spans="1:10">
      <c r="A777" t="s">
        <v>1054</v>
      </c>
      <c r="B777">
        <v>45728</v>
      </c>
      <c r="C777" t="s">
        <v>48</v>
      </c>
      <c r="D777" t="s">
        <v>41</v>
      </c>
      <c r="E777" t="s">
        <v>26</v>
      </c>
      <c r="F777" t="s">
        <v>350</v>
      </c>
      <c r="G777">
        <v>2</v>
      </c>
      <c r="H777">
        <v>3007.93</v>
      </c>
      <c r="I777">
        <v>2090.23</v>
      </c>
      <c r="J777" t="s">
        <v>28</v>
      </c>
    </row>
    <row r="778" spans="1:10">
      <c r="A778" t="s">
        <v>1055</v>
      </c>
      <c r="B778">
        <v>45781</v>
      </c>
      <c r="C778" t="s">
        <v>105</v>
      </c>
      <c r="D778" t="s">
        <v>63</v>
      </c>
      <c r="E778" t="s">
        <v>32</v>
      </c>
      <c r="F778" t="s">
        <v>393</v>
      </c>
      <c r="G778">
        <v>8</v>
      </c>
      <c r="H778">
        <v>1685.58</v>
      </c>
      <c r="I778">
        <v>1200.08</v>
      </c>
      <c r="J778" t="s">
        <v>16</v>
      </c>
    </row>
    <row r="779" spans="1:10">
      <c r="A779" t="s">
        <v>1056</v>
      </c>
      <c r="B779">
        <v>45878</v>
      </c>
      <c r="C779" t="s">
        <v>1057</v>
      </c>
      <c r="D779" t="s">
        <v>12</v>
      </c>
      <c r="E779" t="s">
        <v>32</v>
      </c>
      <c r="F779" t="s">
        <v>180</v>
      </c>
      <c r="G779">
        <v>3</v>
      </c>
      <c r="H779">
        <v>1454.59</v>
      </c>
      <c r="I779">
        <v>954.21</v>
      </c>
      <c r="J779" t="s">
        <v>16</v>
      </c>
    </row>
    <row r="780" spans="1:10">
      <c r="A780" t="s">
        <v>1058</v>
      </c>
      <c r="B780">
        <v>45868</v>
      </c>
      <c r="C780" t="s">
        <v>135</v>
      </c>
      <c r="D780" t="s">
        <v>12</v>
      </c>
      <c r="E780" t="s">
        <v>20</v>
      </c>
      <c r="F780" t="s">
        <v>21</v>
      </c>
      <c r="G780">
        <v>8</v>
      </c>
      <c r="H780">
        <v>2085.1999999999998</v>
      </c>
      <c r="I780">
        <v>1797.26</v>
      </c>
      <c r="J780" t="s">
        <v>38</v>
      </c>
    </row>
    <row r="781" spans="1:10">
      <c r="A781" t="s">
        <v>1059</v>
      </c>
      <c r="B781">
        <v>45712</v>
      </c>
      <c r="C781" t="s">
        <v>105</v>
      </c>
      <c r="D781" t="s">
        <v>63</v>
      </c>
      <c r="E781" t="s">
        <v>26</v>
      </c>
      <c r="F781" t="s">
        <v>350</v>
      </c>
      <c r="G781">
        <v>2</v>
      </c>
      <c r="H781">
        <v>266.88</v>
      </c>
      <c r="I781">
        <v>173.93</v>
      </c>
      <c r="J781" t="s">
        <v>22</v>
      </c>
    </row>
    <row r="782" spans="1:10">
      <c r="A782" t="s">
        <v>1060</v>
      </c>
      <c r="B782">
        <v>45820</v>
      </c>
      <c r="C782" t="s">
        <v>51</v>
      </c>
      <c r="D782" t="s">
        <v>41</v>
      </c>
      <c r="E782" t="s">
        <v>36</v>
      </c>
      <c r="F782" t="s">
        <v>42</v>
      </c>
      <c r="G782">
        <v>6</v>
      </c>
      <c r="H782">
        <v>3429.85</v>
      </c>
      <c r="I782">
        <v>2393.9699999999998</v>
      </c>
      <c r="J782" t="s">
        <v>71</v>
      </c>
    </row>
    <row r="783" spans="1:10">
      <c r="A783" t="s">
        <v>1061</v>
      </c>
      <c r="B783">
        <v>45881</v>
      </c>
      <c r="C783" t="s">
        <v>48</v>
      </c>
      <c r="D783" t="s">
        <v>41</v>
      </c>
      <c r="E783" t="s">
        <v>32</v>
      </c>
      <c r="F783" t="s">
        <v>163</v>
      </c>
      <c r="G783">
        <v>3</v>
      </c>
      <c r="H783">
        <v>394.73</v>
      </c>
      <c r="I783">
        <v>300.76</v>
      </c>
      <c r="J783" t="s">
        <v>28</v>
      </c>
    </row>
    <row r="784" spans="1:10">
      <c r="A784" t="s">
        <v>1062</v>
      </c>
      <c r="B784">
        <v>45842</v>
      </c>
      <c r="C784" t="s">
        <v>35</v>
      </c>
      <c r="D784" t="s">
        <v>19</v>
      </c>
      <c r="E784" t="s">
        <v>36</v>
      </c>
      <c r="F784" t="s">
        <v>42</v>
      </c>
      <c r="G784">
        <v>1</v>
      </c>
      <c r="H784">
        <v>17480.12</v>
      </c>
      <c r="I784">
        <v>13858.56</v>
      </c>
      <c r="J784" t="s">
        <v>28</v>
      </c>
    </row>
    <row r="785" spans="1:10">
      <c r="A785" t="s">
        <v>1063</v>
      </c>
      <c r="B785">
        <v>45828</v>
      </c>
      <c r="C785" t="s">
        <v>121</v>
      </c>
      <c r="D785" t="s">
        <v>19</v>
      </c>
      <c r="E785" t="s">
        <v>82</v>
      </c>
      <c r="F785" t="s">
        <v>109</v>
      </c>
      <c r="G785">
        <v>2</v>
      </c>
      <c r="H785" t="s">
        <v>1064</v>
      </c>
      <c r="I785">
        <v>2533.5100000000002</v>
      </c>
      <c r="J785" t="s">
        <v>22</v>
      </c>
    </row>
    <row r="786" spans="1:10">
      <c r="A786" t="s">
        <v>1065</v>
      </c>
      <c r="B786">
        <v>45745</v>
      </c>
      <c r="C786" t="s">
        <v>129</v>
      </c>
      <c r="D786" t="s">
        <v>19</v>
      </c>
      <c r="E786" t="s">
        <v>26</v>
      </c>
      <c r="F786" t="s">
        <v>79</v>
      </c>
      <c r="G786">
        <v>7</v>
      </c>
      <c r="H786">
        <v>3425.59</v>
      </c>
      <c r="I786">
        <v>2628.09</v>
      </c>
      <c r="J786" t="s">
        <v>71</v>
      </c>
    </row>
    <row r="787" spans="1:10">
      <c r="A787" t="s">
        <v>1066</v>
      </c>
      <c r="B787">
        <v>45909</v>
      </c>
      <c r="C787" t="s">
        <v>115</v>
      </c>
      <c r="D787" t="s">
        <v>63</v>
      </c>
      <c r="E787" t="s">
        <v>20</v>
      </c>
      <c r="F787" t="s">
        <v>21</v>
      </c>
      <c r="G787">
        <v>6</v>
      </c>
      <c r="H787">
        <v>2338.5500000000002</v>
      </c>
      <c r="I787">
        <v>1372.27</v>
      </c>
      <c r="J787" t="s">
        <v>16</v>
      </c>
    </row>
    <row r="788" spans="1:10">
      <c r="A788" t="s">
        <v>1067</v>
      </c>
      <c r="B788">
        <v>45918</v>
      </c>
      <c r="C788" t="s">
        <v>51</v>
      </c>
      <c r="D788" t="s">
        <v>63</v>
      </c>
      <c r="E788" t="s">
        <v>82</v>
      </c>
      <c r="F788" t="s">
        <v>83</v>
      </c>
      <c r="G788">
        <v>3</v>
      </c>
      <c r="H788">
        <v>4966</v>
      </c>
      <c r="I788">
        <v>3015.87</v>
      </c>
      <c r="J788" t="s">
        <v>71</v>
      </c>
    </row>
    <row r="789" spans="1:10">
      <c r="A789" t="s">
        <v>1068</v>
      </c>
      <c r="B789">
        <v>45883</v>
      </c>
      <c r="C789" t="s">
        <v>1069</v>
      </c>
      <c r="D789" t="s">
        <v>31</v>
      </c>
      <c r="E789" t="s">
        <v>32</v>
      </c>
      <c r="F789" t="s">
        <v>101</v>
      </c>
      <c r="G789">
        <v>6</v>
      </c>
      <c r="H789">
        <v>1190.42</v>
      </c>
      <c r="I789">
        <v>978.25</v>
      </c>
      <c r="J789" t="s">
        <v>38</v>
      </c>
    </row>
    <row r="790" spans="1:10">
      <c r="A790" t="s">
        <v>343</v>
      </c>
      <c r="B790">
        <v>45941</v>
      </c>
      <c r="C790" t="s">
        <v>344</v>
      </c>
      <c r="D790" t="s">
        <v>31</v>
      </c>
      <c r="E790" t="s">
        <v>20</v>
      </c>
      <c r="F790" t="s">
        <v>14</v>
      </c>
      <c r="G790">
        <v>4</v>
      </c>
      <c r="H790">
        <v>3725.11</v>
      </c>
      <c r="I790">
        <v>3048.29</v>
      </c>
      <c r="J790" t="s">
        <v>71</v>
      </c>
    </row>
    <row r="791" spans="1:10">
      <c r="A791" t="s">
        <v>1070</v>
      </c>
      <c r="B791">
        <v>45691</v>
      </c>
      <c r="C791" t="s">
        <v>85</v>
      </c>
      <c r="D791" t="s">
        <v>81</v>
      </c>
      <c r="E791" t="s">
        <v>32</v>
      </c>
      <c r="F791" t="s">
        <v>163</v>
      </c>
      <c r="G791">
        <v>2</v>
      </c>
      <c r="H791">
        <v>532.19000000000005</v>
      </c>
      <c r="I791">
        <v>455.01</v>
      </c>
      <c r="J791" t="s">
        <v>71</v>
      </c>
    </row>
    <row r="792" spans="1:10">
      <c r="A792" t="s">
        <v>1071</v>
      </c>
      <c r="B792">
        <v>45817</v>
      </c>
      <c r="C792" t="s">
        <v>115</v>
      </c>
      <c r="D792" t="s">
        <v>41</v>
      </c>
      <c r="E792" t="s">
        <v>20</v>
      </c>
      <c r="F792" t="s">
        <v>21</v>
      </c>
      <c r="G792">
        <v>6</v>
      </c>
      <c r="H792">
        <v>3004.33</v>
      </c>
      <c r="I792">
        <v>1857.48</v>
      </c>
      <c r="J792" t="s">
        <v>28</v>
      </c>
    </row>
    <row r="793" spans="1:10">
      <c r="A793" t="s">
        <v>1072</v>
      </c>
      <c r="B793">
        <v>45784</v>
      </c>
      <c r="C793" t="s">
        <v>51</v>
      </c>
      <c r="D793" t="s">
        <v>41</v>
      </c>
      <c r="E793" t="s">
        <v>60</v>
      </c>
      <c r="F793" t="s">
        <v>37</v>
      </c>
      <c r="G793">
        <v>0</v>
      </c>
      <c r="H793">
        <v>6604.04</v>
      </c>
      <c r="I793">
        <v>4489.57</v>
      </c>
      <c r="J793" t="s">
        <v>71</v>
      </c>
    </row>
    <row r="794" spans="1:10">
      <c r="A794" t="s">
        <v>1073</v>
      </c>
      <c r="B794">
        <v>46005</v>
      </c>
      <c r="C794" t="s">
        <v>121</v>
      </c>
      <c r="D794" t="s">
        <v>31</v>
      </c>
      <c r="E794" t="s">
        <v>26</v>
      </c>
      <c r="F794" t="s">
        <v>79</v>
      </c>
      <c r="G794">
        <v>2</v>
      </c>
      <c r="H794">
        <v>690.66</v>
      </c>
      <c r="I794">
        <v>550.82000000000005</v>
      </c>
      <c r="J794" t="s">
        <v>28</v>
      </c>
    </row>
    <row r="795" spans="1:10">
      <c r="A795" t="s">
        <v>1074</v>
      </c>
      <c r="B795">
        <v>45692</v>
      </c>
      <c r="C795" t="s">
        <v>135</v>
      </c>
      <c r="D795" t="s">
        <v>63</v>
      </c>
      <c r="E795" t="s">
        <v>1075</v>
      </c>
      <c r="F795" t="s">
        <v>46</v>
      </c>
      <c r="G795">
        <v>4</v>
      </c>
      <c r="H795" t="s">
        <v>1076</v>
      </c>
      <c r="I795">
        <v>9535.08</v>
      </c>
      <c r="J795" t="s">
        <v>28</v>
      </c>
    </row>
    <row r="796" spans="1:10">
      <c r="A796" t="s">
        <v>1077</v>
      </c>
      <c r="B796">
        <v>45663</v>
      </c>
      <c r="C796" t="s">
        <v>117</v>
      </c>
      <c r="D796" t="s">
        <v>57</v>
      </c>
      <c r="E796" t="s">
        <v>32</v>
      </c>
      <c r="F796" t="s">
        <v>33</v>
      </c>
      <c r="G796">
        <v>4</v>
      </c>
      <c r="H796">
        <v>2156.31</v>
      </c>
      <c r="I796">
        <v>1848.28</v>
      </c>
      <c r="J796" t="s">
        <v>38</v>
      </c>
    </row>
    <row r="797" spans="1:10">
      <c r="A797" t="s">
        <v>1078</v>
      </c>
      <c r="B797">
        <v>45799</v>
      </c>
      <c r="C797" t="s">
        <v>74</v>
      </c>
      <c r="D797" t="s">
        <v>57</v>
      </c>
      <c r="E797" t="s">
        <v>82</v>
      </c>
      <c r="F797" t="s">
        <v>150</v>
      </c>
      <c r="G797">
        <v>3</v>
      </c>
      <c r="H797" t="s">
        <v>1079</v>
      </c>
      <c r="I797">
        <v>5037.95</v>
      </c>
      <c r="J797" t="s">
        <v>71</v>
      </c>
    </row>
    <row r="798" spans="1:10">
      <c r="A798" t="s">
        <v>1080</v>
      </c>
      <c r="B798">
        <v>45974</v>
      </c>
      <c r="C798" t="s">
        <v>74</v>
      </c>
      <c r="D798" t="s">
        <v>19</v>
      </c>
      <c r="E798" t="s">
        <v>26</v>
      </c>
      <c r="F798" t="s">
        <v>103</v>
      </c>
      <c r="G798">
        <v>8</v>
      </c>
      <c r="H798">
        <v>3489.05</v>
      </c>
      <c r="I798">
        <v>2867.36</v>
      </c>
      <c r="J798" t="s">
        <v>16</v>
      </c>
    </row>
    <row r="799" spans="1:10">
      <c r="A799" t="s">
        <v>1081</v>
      </c>
      <c r="B799">
        <v>45877</v>
      </c>
      <c r="C799" t="s">
        <v>56</v>
      </c>
      <c r="D799" t="s">
        <v>499</v>
      </c>
      <c r="E799" t="s">
        <v>32</v>
      </c>
      <c r="F799" t="s">
        <v>101</v>
      </c>
      <c r="G799">
        <v>6</v>
      </c>
      <c r="H799">
        <v>2019.48</v>
      </c>
      <c r="I799">
        <v>1275.8499999999999</v>
      </c>
      <c r="J799" t="s">
        <v>16</v>
      </c>
    </row>
    <row r="800" spans="1:10">
      <c r="A800" t="s">
        <v>1082</v>
      </c>
      <c r="B800">
        <v>45834</v>
      </c>
      <c r="C800" t="s">
        <v>67</v>
      </c>
      <c r="D800" t="s">
        <v>63</v>
      </c>
      <c r="E800" t="s">
        <v>36</v>
      </c>
      <c r="F800" t="s">
        <v>88</v>
      </c>
      <c r="G800">
        <v>5</v>
      </c>
      <c r="H800">
        <v>14701.89</v>
      </c>
      <c r="I800">
        <v>11626.42</v>
      </c>
      <c r="J800" t="s">
        <v>38</v>
      </c>
    </row>
    <row r="801" spans="1:10">
      <c r="A801" t="s">
        <v>1083</v>
      </c>
      <c r="B801">
        <v>45737</v>
      </c>
      <c r="C801" t="s">
        <v>231</v>
      </c>
      <c r="D801" t="s">
        <v>63</v>
      </c>
      <c r="E801" t="s">
        <v>82</v>
      </c>
      <c r="F801" t="s">
        <v>155</v>
      </c>
      <c r="G801">
        <v>4</v>
      </c>
      <c r="H801">
        <v>6106.4</v>
      </c>
      <c r="I801">
        <v>5325.68</v>
      </c>
      <c r="J801" t="s">
        <v>71</v>
      </c>
    </row>
    <row r="802" spans="1:10">
      <c r="A802" t="s">
        <v>1084</v>
      </c>
      <c r="B802">
        <v>45821</v>
      </c>
      <c r="C802" t="s">
        <v>35</v>
      </c>
      <c r="D802" t="s">
        <v>41</v>
      </c>
      <c r="E802" t="s">
        <v>32</v>
      </c>
      <c r="F802" t="s">
        <v>99</v>
      </c>
      <c r="G802">
        <v>7</v>
      </c>
      <c r="H802">
        <v>1139</v>
      </c>
      <c r="I802">
        <v>739.17</v>
      </c>
      <c r="J802" t="s">
        <v>71</v>
      </c>
    </row>
    <row r="803" spans="1:10">
      <c r="A803" t="s">
        <v>1085</v>
      </c>
      <c r="B803">
        <v>45760</v>
      </c>
      <c r="C803" t="s">
        <v>117</v>
      </c>
      <c r="D803" t="s">
        <v>19</v>
      </c>
      <c r="E803" t="s">
        <v>20</v>
      </c>
      <c r="F803" t="s">
        <v>14</v>
      </c>
      <c r="G803">
        <v>1</v>
      </c>
      <c r="H803">
        <v>2235.7800000000002</v>
      </c>
      <c r="I803">
        <v>1458.46</v>
      </c>
      <c r="J803" t="s">
        <v>28</v>
      </c>
    </row>
    <row r="804" spans="1:10">
      <c r="A804" t="s">
        <v>1086</v>
      </c>
      <c r="B804">
        <v>45974</v>
      </c>
      <c r="C804" t="s">
        <v>40</v>
      </c>
      <c r="D804" t="s">
        <v>19</v>
      </c>
      <c r="E804" t="s">
        <v>26</v>
      </c>
      <c r="F804" t="s">
        <v>103</v>
      </c>
      <c r="G804">
        <v>8</v>
      </c>
      <c r="H804">
        <v>3198.82</v>
      </c>
      <c r="I804">
        <v>2149.54</v>
      </c>
      <c r="J804" t="s">
        <v>28</v>
      </c>
    </row>
    <row r="805" spans="1:10">
      <c r="A805" t="s">
        <v>1087</v>
      </c>
      <c r="B805">
        <v>45775</v>
      </c>
      <c r="C805" t="s">
        <v>175</v>
      </c>
      <c r="D805" t="s">
        <v>57</v>
      </c>
      <c r="E805" t="s">
        <v>32</v>
      </c>
      <c r="F805" t="s">
        <v>960</v>
      </c>
      <c r="G805">
        <v>7</v>
      </c>
      <c r="H805">
        <v>405.46</v>
      </c>
      <c r="I805">
        <v>330.84</v>
      </c>
      <c r="J805" t="s">
        <v>16</v>
      </c>
    </row>
    <row r="806" spans="1:10">
      <c r="A806" t="s">
        <v>1088</v>
      </c>
      <c r="B806">
        <v>45775</v>
      </c>
      <c r="C806" t="s">
        <v>105</v>
      </c>
      <c r="D806" t="s">
        <v>57</v>
      </c>
      <c r="E806" t="s">
        <v>36</v>
      </c>
      <c r="F806" t="s">
        <v>42</v>
      </c>
      <c r="G806">
        <v>8</v>
      </c>
      <c r="H806">
        <v>14291.17</v>
      </c>
      <c r="I806">
        <v>12336.87</v>
      </c>
      <c r="J806" t="s">
        <v>16</v>
      </c>
    </row>
    <row r="807" spans="1:10">
      <c r="A807" t="s">
        <v>1089</v>
      </c>
      <c r="B807">
        <v>45810</v>
      </c>
      <c r="C807" t="s">
        <v>117</v>
      </c>
      <c r="D807" t="s">
        <v>12</v>
      </c>
      <c r="E807" t="s">
        <v>26</v>
      </c>
      <c r="F807" t="s">
        <v>79</v>
      </c>
      <c r="G807">
        <v>2</v>
      </c>
      <c r="H807">
        <v>3176.87</v>
      </c>
      <c r="I807">
        <v>2173.9699999999998</v>
      </c>
      <c r="J807" t="s">
        <v>22</v>
      </c>
    </row>
    <row r="808" spans="1:10">
      <c r="A808" t="s">
        <v>1090</v>
      </c>
      <c r="B808">
        <v>45717</v>
      </c>
      <c r="C808" t="s">
        <v>117</v>
      </c>
      <c r="D808" t="s">
        <v>57</v>
      </c>
      <c r="E808" t="s">
        <v>36</v>
      </c>
      <c r="F808" t="s">
        <v>93</v>
      </c>
      <c r="G808">
        <v>8</v>
      </c>
      <c r="H808">
        <v>11370.28</v>
      </c>
      <c r="I808">
        <v>6460.13</v>
      </c>
      <c r="J808" t="s">
        <v>71</v>
      </c>
    </row>
    <row r="809" spans="1:10">
      <c r="A809" t="s">
        <v>1091</v>
      </c>
      <c r="B809">
        <v>45884</v>
      </c>
      <c r="C809" t="s">
        <v>344</v>
      </c>
      <c r="D809" t="s">
        <v>41</v>
      </c>
      <c r="E809" t="s">
        <v>26</v>
      </c>
      <c r="F809" t="s">
        <v>27</v>
      </c>
      <c r="G809">
        <v>3</v>
      </c>
      <c r="H809" t="s">
        <v>1092</v>
      </c>
      <c r="I809">
        <v>2166.1</v>
      </c>
      <c r="J809" t="s">
        <v>38</v>
      </c>
    </row>
    <row r="810" spans="1:10">
      <c r="A810" t="s">
        <v>1093</v>
      </c>
      <c r="B810">
        <v>45739</v>
      </c>
      <c r="C810" t="s">
        <v>998</v>
      </c>
      <c r="D810" t="s">
        <v>19</v>
      </c>
      <c r="E810" t="s">
        <v>26</v>
      </c>
      <c r="F810" t="s">
        <v>131</v>
      </c>
      <c r="G810">
        <v>3</v>
      </c>
      <c r="H810">
        <v>2940.83</v>
      </c>
      <c r="I810">
        <v>2485.5</v>
      </c>
      <c r="J810" t="s">
        <v>16</v>
      </c>
    </row>
    <row r="811" spans="1:10">
      <c r="A811" t="s">
        <v>1094</v>
      </c>
      <c r="B811">
        <v>45778</v>
      </c>
      <c r="C811" t="s">
        <v>18</v>
      </c>
      <c r="D811" t="s">
        <v>57</v>
      </c>
      <c r="E811" t="s">
        <v>20</v>
      </c>
      <c r="F811" t="s">
        <v>191</v>
      </c>
      <c r="G811">
        <v>7</v>
      </c>
      <c r="H811">
        <v>1702.27</v>
      </c>
      <c r="I811">
        <v>1175</v>
      </c>
      <c r="J811" t="s">
        <v>28</v>
      </c>
    </row>
    <row r="812" spans="1:10">
      <c r="A812" t="s">
        <v>1095</v>
      </c>
      <c r="B812">
        <v>45828</v>
      </c>
      <c r="C812" t="s">
        <v>117</v>
      </c>
      <c r="D812" t="s">
        <v>12</v>
      </c>
      <c r="E812" t="s">
        <v>20</v>
      </c>
      <c r="F812" t="s">
        <v>91</v>
      </c>
      <c r="G812">
        <v>8</v>
      </c>
      <c r="H812">
        <v>3356.33</v>
      </c>
      <c r="I812">
        <v>2010.95</v>
      </c>
      <c r="J812" t="s">
        <v>38</v>
      </c>
    </row>
    <row r="813" spans="1:10">
      <c r="A813" t="s">
        <v>1096</v>
      </c>
      <c r="B813">
        <v>45895</v>
      </c>
      <c r="C813" t="s">
        <v>1097</v>
      </c>
      <c r="D813" t="s">
        <v>19</v>
      </c>
      <c r="E813" t="s">
        <v>36</v>
      </c>
      <c r="F813" t="s">
        <v>88</v>
      </c>
      <c r="G813">
        <v>7</v>
      </c>
      <c r="H813">
        <v>2019.34</v>
      </c>
      <c r="I813">
        <v>1129.9000000000001</v>
      </c>
      <c r="J813" t="s">
        <v>71</v>
      </c>
    </row>
    <row r="814" spans="1:10">
      <c r="A814" t="s">
        <v>1098</v>
      </c>
      <c r="B814" t="s">
        <v>1099</v>
      </c>
      <c r="C814" t="s">
        <v>56</v>
      </c>
      <c r="D814" t="s">
        <v>41</v>
      </c>
      <c r="E814" t="s">
        <v>20</v>
      </c>
      <c r="F814" t="s">
        <v>86</v>
      </c>
      <c r="H814">
        <v>4730.3599999999997</v>
      </c>
      <c r="I814">
        <v>2681.79</v>
      </c>
      <c r="J814" t="s">
        <v>22</v>
      </c>
    </row>
    <row r="815" spans="1:10">
      <c r="A815" t="s">
        <v>1100</v>
      </c>
      <c r="B815">
        <v>45772</v>
      </c>
      <c r="C815" t="s">
        <v>51</v>
      </c>
      <c r="D815" t="s">
        <v>63</v>
      </c>
      <c r="E815" t="s">
        <v>82</v>
      </c>
      <c r="F815" t="s">
        <v>109</v>
      </c>
      <c r="G815">
        <v>1</v>
      </c>
      <c r="H815">
        <v>5390.78</v>
      </c>
      <c r="I815">
        <v>4705.62</v>
      </c>
      <c r="J815" t="s">
        <v>28</v>
      </c>
    </row>
    <row r="816" spans="1:10">
      <c r="A816" t="s">
        <v>1101</v>
      </c>
      <c r="B816">
        <v>46013</v>
      </c>
      <c r="C816" t="s">
        <v>48</v>
      </c>
      <c r="D816" t="s">
        <v>19</v>
      </c>
      <c r="E816" t="s">
        <v>26</v>
      </c>
      <c r="F816" t="s">
        <v>325</v>
      </c>
      <c r="G816">
        <v>4</v>
      </c>
      <c r="H816">
        <v>1806.78</v>
      </c>
      <c r="I816">
        <v>1099.6400000000001</v>
      </c>
      <c r="J816" t="s">
        <v>28</v>
      </c>
    </row>
    <row r="817" spans="1:10">
      <c r="A817" t="s">
        <v>1102</v>
      </c>
      <c r="B817">
        <v>45776</v>
      </c>
      <c r="C817" t="s">
        <v>18</v>
      </c>
      <c r="D817" t="s">
        <v>31</v>
      </c>
      <c r="E817" t="s">
        <v>36</v>
      </c>
      <c r="F817" t="s">
        <v>37</v>
      </c>
      <c r="G817">
        <v>7</v>
      </c>
      <c r="H817">
        <v>4139.7700000000004</v>
      </c>
      <c r="I817">
        <v>2995.72</v>
      </c>
      <c r="J817" t="s">
        <v>71</v>
      </c>
    </row>
    <row r="818" spans="1:10">
      <c r="A818" t="s">
        <v>1103</v>
      </c>
      <c r="B818">
        <v>45667</v>
      </c>
      <c r="C818" t="s">
        <v>70</v>
      </c>
      <c r="D818" t="s">
        <v>31</v>
      </c>
      <c r="E818" t="s">
        <v>36</v>
      </c>
      <c r="F818" t="s">
        <v>37</v>
      </c>
      <c r="G818">
        <v>5</v>
      </c>
      <c r="H818" t="s">
        <v>1104</v>
      </c>
      <c r="I818">
        <v>2749.6</v>
      </c>
      <c r="J818" t="s">
        <v>38</v>
      </c>
    </row>
    <row r="819" spans="1:10">
      <c r="A819" t="s">
        <v>1105</v>
      </c>
      <c r="B819">
        <v>45705</v>
      </c>
      <c r="C819" t="s">
        <v>259</v>
      </c>
      <c r="D819" t="s">
        <v>31</v>
      </c>
      <c r="E819" t="s">
        <v>82</v>
      </c>
      <c r="F819" t="s">
        <v>83</v>
      </c>
      <c r="G819">
        <v>6</v>
      </c>
      <c r="H819">
        <v>1859.91</v>
      </c>
      <c r="I819">
        <v>1153.9000000000001</v>
      </c>
      <c r="J819" t="s">
        <v>22</v>
      </c>
    </row>
    <row r="820" spans="1:10">
      <c r="A820" t="s">
        <v>1106</v>
      </c>
      <c r="B820">
        <v>45785</v>
      </c>
      <c r="C820" t="s">
        <v>119</v>
      </c>
      <c r="D820" t="s">
        <v>63</v>
      </c>
      <c r="E820" t="s">
        <v>36</v>
      </c>
      <c r="F820" t="s">
        <v>37</v>
      </c>
      <c r="G820">
        <v>7</v>
      </c>
      <c r="H820">
        <v>14087.95</v>
      </c>
      <c r="I820">
        <v>9807.7099999999991</v>
      </c>
      <c r="J820" t="s">
        <v>16</v>
      </c>
    </row>
    <row r="821" spans="1:10">
      <c r="A821" t="s">
        <v>1107</v>
      </c>
      <c r="B821">
        <v>45790</v>
      </c>
      <c r="C821" t="s">
        <v>119</v>
      </c>
      <c r="D821" t="s">
        <v>41</v>
      </c>
      <c r="E821" t="s">
        <v>20</v>
      </c>
      <c r="F821" t="s">
        <v>196</v>
      </c>
      <c r="G821">
        <v>6</v>
      </c>
      <c r="H821">
        <v>5509.42</v>
      </c>
      <c r="I821">
        <v>4692.25</v>
      </c>
      <c r="J821" t="s">
        <v>16</v>
      </c>
    </row>
    <row r="822" spans="1:10">
      <c r="A822" t="s">
        <v>1108</v>
      </c>
      <c r="B822">
        <v>45818</v>
      </c>
      <c r="C822" t="s">
        <v>54</v>
      </c>
      <c r="D822" t="s">
        <v>41</v>
      </c>
      <c r="E822" t="s">
        <v>32</v>
      </c>
      <c r="F822" t="s">
        <v>163</v>
      </c>
      <c r="G822">
        <v>7</v>
      </c>
      <c r="H822">
        <v>1606.46</v>
      </c>
      <c r="I822">
        <v>1277.1600000000001</v>
      </c>
      <c r="J822" t="s">
        <v>38</v>
      </c>
    </row>
    <row r="823" spans="1:10">
      <c r="A823" t="s">
        <v>1109</v>
      </c>
      <c r="B823">
        <v>45877</v>
      </c>
      <c r="C823" t="s">
        <v>54</v>
      </c>
      <c r="D823" t="s">
        <v>57</v>
      </c>
      <c r="E823" t="s">
        <v>82</v>
      </c>
      <c r="F823" t="s">
        <v>83</v>
      </c>
      <c r="G823">
        <v>2</v>
      </c>
      <c r="H823">
        <v>1933.89</v>
      </c>
      <c r="I823">
        <v>1131.21</v>
      </c>
    </row>
    <row r="824" spans="1:10">
      <c r="A824" t="s">
        <v>1110</v>
      </c>
      <c r="B824">
        <v>45920</v>
      </c>
      <c r="D824" t="s">
        <v>41</v>
      </c>
      <c r="E824" t="s">
        <v>32</v>
      </c>
      <c r="F824" t="s">
        <v>101</v>
      </c>
      <c r="G824">
        <v>3</v>
      </c>
      <c r="H824">
        <v>2391.42</v>
      </c>
      <c r="I824">
        <v>1427.96</v>
      </c>
      <c r="J824" t="s">
        <v>38</v>
      </c>
    </row>
    <row r="825" spans="1:10">
      <c r="A825" t="s">
        <v>1111</v>
      </c>
      <c r="B825">
        <v>45927</v>
      </c>
      <c r="C825" t="s">
        <v>115</v>
      </c>
      <c r="D825" t="s">
        <v>19</v>
      </c>
      <c r="E825" t="s">
        <v>82</v>
      </c>
      <c r="F825" t="s">
        <v>83</v>
      </c>
      <c r="G825">
        <v>5</v>
      </c>
      <c r="H825">
        <v>699.75</v>
      </c>
      <c r="I825">
        <v>476.14</v>
      </c>
      <c r="J825" t="s">
        <v>38</v>
      </c>
    </row>
    <row r="826" spans="1:10">
      <c r="A826" t="s">
        <v>1112</v>
      </c>
      <c r="B826">
        <v>45994</v>
      </c>
      <c r="C826" t="s">
        <v>51</v>
      </c>
      <c r="D826" t="s">
        <v>63</v>
      </c>
      <c r="E826" t="s">
        <v>82</v>
      </c>
      <c r="F826" t="s">
        <v>137</v>
      </c>
      <c r="G826">
        <v>3</v>
      </c>
      <c r="H826">
        <v>3923.74</v>
      </c>
      <c r="I826">
        <v>2934.85</v>
      </c>
      <c r="J826" t="s">
        <v>22</v>
      </c>
    </row>
    <row r="827" spans="1:10">
      <c r="A827" t="s">
        <v>69</v>
      </c>
      <c r="B827">
        <v>45943</v>
      </c>
      <c r="C827" t="s">
        <v>70</v>
      </c>
      <c r="D827" t="s">
        <v>63</v>
      </c>
      <c r="E827" t="s">
        <v>20</v>
      </c>
      <c r="F827" t="s">
        <v>14</v>
      </c>
      <c r="G827">
        <v>1</v>
      </c>
      <c r="H827">
        <v>4312.38</v>
      </c>
      <c r="I827">
        <v>2950.46</v>
      </c>
      <c r="J827" t="s">
        <v>71</v>
      </c>
    </row>
    <row r="828" spans="1:10">
      <c r="A828" t="s">
        <v>1113</v>
      </c>
      <c r="B828">
        <v>46004</v>
      </c>
      <c r="C828" t="s">
        <v>24</v>
      </c>
      <c r="D828" t="s">
        <v>618</v>
      </c>
      <c r="E828" t="s">
        <v>13</v>
      </c>
      <c r="F828" t="s">
        <v>157</v>
      </c>
      <c r="G828">
        <v>2</v>
      </c>
      <c r="H828">
        <v>5380.52</v>
      </c>
      <c r="I828">
        <v>3005.38</v>
      </c>
      <c r="J828" t="s">
        <v>16</v>
      </c>
    </row>
    <row r="829" spans="1:10">
      <c r="A829" t="s">
        <v>1114</v>
      </c>
      <c r="B829">
        <v>45959</v>
      </c>
      <c r="C829" t="s">
        <v>1040</v>
      </c>
      <c r="D829" t="s">
        <v>57</v>
      </c>
      <c r="E829" t="s">
        <v>32</v>
      </c>
      <c r="F829" t="s">
        <v>101</v>
      </c>
      <c r="G829">
        <v>5</v>
      </c>
      <c r="H829">
        <v>2455.17</v>
      </c>
      <c r="I829">
        <v>2024.94</v>
      </c>
      <c r="J829" t="s">
        <v>22</v>
      </c>
    </row>
    <row r="830" spans="1:10">
      <c r="A830" t="s">
        <v>1115</v>
      </c>
      <c r="B830">
        <v>45837</v>
      </c>
      <c r="C830" t="s">
        <v>119</v>
      </c>
      <c r="D830" t="s">
        <v>57</v>
      </c>
      <c r="E830" t="s">
        <v>36</v>
      </c>
      <c r="F830" t="s">
        <v>113</v>
      </c>
      <c r="G830">
        <v>5</v>
      </c>
      <c r="H830">
        <v>11106.27</v>
      </c>
      <c r="I830">
        <v>6725.56</v>
      </c>
      <c r="J830" t="s">
        <v>22</v>
      </c>
    </row>
    <row r="831" spans="1:10">
      <c r="A831" t="s">
        <v>1116</v>
      </c>
      <c r="B831">
        <v>45660</v>
      </c>
      <c r="C831" t="s">
        <v>70</v>
      </c>
      <c r="D831" t="s">
        <v>19</v>
      </c>
      <c r="E831" t="s">
        <v>82</v>
      </c>
      <c r="F831" t="s">
        <v>155</v>
      </c>
      <c r="G831">
        <v>8</v>
      </c>
      <c r="H831">
        <v>2637.27</v>
      </c>
      <c r="I831">
        <v>1655.97</v>
      </c>
      <c r="J831" t="s">
        <v>38</v>
      </c>
    </row>
    <row r="832" spans="1:10">
      <c r="A832" t="s">
        <v>1117</v>
      </c>
      <c r="B832">
        <v>45987</v>
      </c>
      <c r="C832" t="s">
        <v>115</v>
      </c>
      <c r="D832" t="s">
        <v>63</v>
      </c>
      <c r="E832" t="s">
        <v>26</v>
      </c>
      <c r="F832" t="s">
        <v>131</v>
      </c>
      <c r="G832">
        <v>8</v>
      </c>
      <c r="H832">
        <v>1779.27</v>
      </c>
      <c r="I832">
        <v>1534.9</v>
      </c>
      <c r="J832" t="s">
        <v>71</v>
      </c>
    </row>
    <row r="833" spans="1:10">
      <c r="A833" t="s">
        <v>1118</v>
      </c>
      <c r="B833">
        <v>45740</v>
      </c>
      <c r="C833" t="s">
        <v>108</v>
      </c>
      <c r="D833" t="s">
        <v>12</v>
      </c>
      <c r="E833" t="s">
        <v>26</v>
      </c>
      <c r="F833" t="s">
        <v>27</v>
      </c>
      <c r="G833">
        <v>5</v>
      </c>
      <c r="H833">
        <v>1710.29</v>
      </c>
      <c r="I833">
        <v>1230.3900000000001</v>
      </c>
      <c r="J833" t="s">
        <v>28</v>
      </c>
    </row>
    <row r="834" spans="1:10">
      <c r="A834" t="s">
        <v>1119</v>
      </c>
      <c r="B834">
        <v>45970</v>
      </c>
      <c r="C834" t="s">
        <v>115</v>
      </c>
      <c r="D834" t="s">
        <v>31</v>
      </c>
      <c r="E834" t="s">
        <v>26</v>
      </c>
      <c r="F834" t="s">
        <v>106</v>
      </c>
      <c r="G834">
        <v>5</v>
      </c>
      <c r="H834">
        <v>1338.64</v>
      </c>
      <c r="I834">
        <v>854.24</v>
      </c>
      <c r="J834" t="s">
        <v>16</v>
      </c>
    </row>
    <row r="835" spans="1:10">
      <c r="A835" t="s">
        <v>1120</v>
      </c>
      <c r="B835">
        <v>45844</v>
      </c>
      <c r="C835" t="s">
        <v>1121</v>
      </c>
      <c r="D835" t="s">
        <v>31</v>
      </c>
      <c r="E835" t="s">
        <v>82</v>
      </c>
      <c r="F835" t="s">
        <v>109</v>
      </c>
      <c r="G835">
        <v>6</v>
      </c>
      <c r="H835">
        <v>6458.38</v>
      </c>
      <c r="I835">
        <v>4377.8</v>
      </c>
      <c r="J835" t="s">
        <v>22</v>
      </c>
    </row>
    <row r="836" spans="1:10">
      <c r="A836" t="s">
        <v>1122</v>
      </c>
      <c r="B836">
        <v>46014</v>
      </c>
      <c r="C836" t="s">
        <v>133</v>
      </c>
      <c r="D836" t="s">
        <v>41</v>
      </c>
      <c r="E836" t="s">
        <v>20</v>
      </c>
      <c r="F836" t="s">
        <v>21</v>
      </c>
      <c r="G836">
        <v>7</v>
      </c>
      <c r="H836">
        <v>5430.53</v>
      </c>
      <c r="I836">
        <v>4116.8999999999996</v>
      </c>
      <c r="J836" t="s">
        <v>22</v>
      </c>
    </row>
    <row r="837" spans="1:10">
      <c r="A837" t="s">
        <v>1123</v>
      </c>
      <c r="B837">
        <v>45873</v>
      </c>
      <c r="C837" t="s">
        <v>119</v>
      </c>
      <c r="D837" t="s">
        <v>12</v>
      </c>
      <c r="E837" t="s">
        <v>235</v>
      </c>
      <c r="F837" t="s">
        <v>99</v>
      </c>
      <c r="G837">
        <v>6</v>
      </c>
      <c r="H837">
        <v>2212.1</v>
      </c>
      <c r="I837">
        <v>1725.93</v>
      </c>
      <c r="J837" t="s">
        <v>28</v>
      </c>
    </row>
    <row r="838" spans="1:10">
      <c r="A838" t="s">
        <v>1124</v>
      </c>
      <c r="B838">
        <v>45703</v>
      </c>
      <c r="C838" t="s">
        <v>162</v>
      </c>
      <c r="D838" t="s">
        <v>19</v>
      </c>
      <c r="E838" t="s">
        <v>32</v>
      </c>
      <c r="F838" t="s">
        <v>52</v>
      </c>
      <c r="G838">
        <v>6</v>
      </c>
      <c r="H838">
        <v>1833.59</v>
      </c>
      <c r="I838">
        <v>1270.43</v>
      </c>
      <c r="J838" t="s">
        <v>22</v>
      </c>
    </row>
    <row r="839" spans="1:10">
      <c r="A839" t="s">
        <v>1125</v>
      </c>
      <c r="B839">
        <v>45939</v>
      </c>
      <c r="C839" t="s">
        <v>40</v>
      </c>
      <c r="D839" t="s">
        <v>63</v>
      </c>
      <c r="E839" t="s">
        <v>32</v>
      </c>
      <c r="F839" t="s">
        <v>99</v>
      </c>
      <c r="G839">
        <v>4</v>
      </c>
      <c r="H839">
        <v>417.87</v>
      </c>
      <c r="I839">
        <v>243.88</v>
      </c>
      <c r="J839" t="s">
        <v>71</v>
      </c>
    </row>
    <row r="840" spans="1:10">
      <c r="A840" t="s">
        <v>1126</v>
      </c>
      <c r="B840">
        <v>46014</v>
      </c>
      <c r="C840" t="s">
        <v>133</v>
      </c>
      <c r="D840" t="s">
        <v>41</v>
      </c>
      <c r="E840" t="s">
        <v>20</v>
      </c>
      <c r="F840" t="s">
        <v>21</v>
      </c>
      <c r="G840">
        <v>7</v>
      </c>
      <c r="H840">
        <v>5430.53</v>
      </c>
      <c r="I840">
        <v>4116.8999999999996</v>
      </c>
      <c r="J840" t="s">
        <v>22</v>
      </c>
    </row>
    <row r="841" spans="1:10">
      <c r="A841" t="s">
        <v>1127</v>
      </c>
      <c r="B841">
        <v>45749</v>
      </c>
      <c r="C841" t="s">
        <v>231</v>
      </c>
      <c r="D841" t="s">
        <v>12</v>
      </c>
      <c r="E841" t="s">
        <v>82</v>
      </c>
      <c r="F841" t="s">
        <v>109</v>
      </c>
      <c r="G841">
        <v>7</v>
      </c>
      <c r="H841">
        <v>3901.17</v>
      </c>
      <c r="I841">
        <v>2917.57</v>
      </c>
      <c r="J841" t="s">
        <v>28</v>
      </c>
    </row>
    <row r="842" spans="1:10">
      <c r="A842" t="s">
        <v>1128</v>
      </c>
      <c r="B842">
        <v>45857</v>
      </c>
      <c r="C842" t="s">
        <v>220</v>
      </c>
      <c r="D842" t="s">
        <v>19</v>
      </c>
      <c r="E842" t="s">
        <v>26</v>
      </c>
      <c r="F842" t="s">
        <v>79</v>
      </c>
      <c r="G842">
        <v>4</v>
      </c>
      <c r="H842">
        <v>3290.38</v>
      </c>
      <c r="I842">
        <v>2046.43</v>
      </c>
      <c r="J842" t="s">
        <v>16</v>
      </c>
    </row>
    <row r="843" spans="1:10">
      <c r="A843" t="s">
        <v>1129</v>
      </c>
      <c r="B843">
        <v>45722</v>
      </c>
      <c r="D843" t="s">
        <v>19</v>
      </c>
      <c r="E843" t="s">
        <v>32</v>
      </c>
      <c r="F843" t="s">
        <v>180</v>
      </c>
      <c r="G843">
        <v>2</v>
      </c>
      <c r="H843">
        <v>2158.3200000000002</v>
      </c>
      <c r="I843">
        <v>1384.97</v>
      </c>
      <c r="J843" t="s">
        <v>71</v>
      </c>
    </row>
    <row r="844" spans="1:10">
      <c r="A844" t="s">
        <v>1130</v>
      </c>
      <c r="B844">
        <v>45814</v>
      </c>
      <c r="C844" t="s">
        <v>48</v>
      </c>
      <c r="D844" t="s">
        <v>31</v>
      </c>
      <c r="E844" t="s">
        <v>32</v>
      </c>
      <c r="F844" t="s">
        <v>180</v>
      </c>
      <c r="G844">
        <v>5</v>
      </c>
      <c r="H844">
        <v>695.84</v>
      </c>
      <c r="I844">
        <v>570.80999999999995</v>
      </c>
      <c r="J844" t="s">
        <v>28</v>
      </c>
    </row>
    <row r="845" spans="1:10">
      <c r="A845" t="s">
        <v>1131</v>
      </c>
      <c r="B845">
        <v>45802</v>
      </c>
      <c r="C845" t="s">
        <v>56</v>
      </c>
      <c r="D845" t="s">
        <v>63</v>
      </c>
      <c r="E845" t="s">
        <v>20</v>
      </c>
      <c r="F845" t="s">
        <v>91</v>
      </c>
      <c r="G845">
        <v>1</v>
      </c>
      <c r="H845">
        <v>2205.88</v>
      </c>
      <c r="I845">
        <v>1857.65</v>
      </c>
      <c r="J845" t="s">
        <v>28</v>
      </c>
    </row>
    <row r="846" spans="1:10">
      <c r="A846" t="s">
        <v>1132</v>
      </c>
      <c r="B846">
        <v>45933</v>
      </c>
      <c r="C846" t="s">
        <v>30</v>
      </c>
      <c r="D846" t="s">
        <v>57</v>
      </c>
      <c r="E846" t="s">
        <v>26</v>
      </c>
      <c r="F846" t="s">
        <v>131</v>
      </c>
      <c r="G846">
        <v>5</v>
      </c>
      <c r="H846">
        <v>2416.64</v>
      </c>
      <c r="I846">
        <v>1382.38</v>
      </c>
      <c r="J846" t="s">
        <v>71</v>
      </c>
    </row>
    <row r="847" spans="1:10">
      <c r="A847" t="s">
        <v>1133</v>
      </c>
      <c r="B847">
        <v>45676</v>
      </c>
      <c r="C847" t="s">
        <v>51</v>
      </c>
      <c r="D847" t="s">
        <v>63</v>
      </c>
      <c r="E847" t="s">
        <v>32</v>
      </c>
      <c r="F847" t="s">
        <v>163</v>
      </c>
      <c r="H847">
        <v>566.52</v>
      </c>
      <c r="I847">
        <v>337.09</v>
      </c>
      <c r="J847" t="s">
        <v>22</v>
      </c>
    </row>
    <row r="848" spans="1:10">
      <c r="A848" t="s">
        <v>1134</v>
      </c>
      <c r="B848">
        <v>45684</v>
      </c>
      <c r="C848" t="s">
        <v>117</v>
      </c>
      <c r="D848" t="s">
        <v>57</v>
      </c>
      <c r="E848" t="s">
        <v>26</v>
      </c>
      <c r="F848" t="s">
        <v>79</v>
      </c>
      <c r="G848">
        <v>5</v>
      </c>
      <c r="H848">
        <v>1844.29</v>
      </c>
      <c r="I848">
        <v>1362.9</v>
      </c>
      <c r="J848" t="s">
        <v>22</v>
      </c>
    </row>
    <row r="849" spans="1:10">
      <c r="A849" t="s">
        <v>1135</v>
      </c>
      <c r="B849">
        <v>45968</v>
      </c>
      <c r="C849" t="s">
        <v>70</v>
      </c>
      <c r="D849" t="s">
        <v>19</v>
      </c>
      <c r="E849" t="s">
        <v>32</v>
      </c>
      <c r="F849" t="s">
        <v>33</v>
      </c>
      <c r="G849">
        <v>3</v>
      </c>
      <c r="H849">
        <v>1952.49</v>
      </c>
      <c r="I849">
        <v>1399.1</v>
      </c>
      <c r="J849" t="s">
        <v>28</v>
      </c>
    </row>
    <row r="850" spans="1:10">
      <c r="A850" t="s">
        <v>1136</v>
      </c>
      <c r="B850">
        <v>45871</v>
      </c>
      <c r="C850" t="s">
        <v>105</v>
      </c>
      <c r="D850" t="s">
        <v>63</v>
      </c>
      <c r="E850" t="s">
        <v>26</v>
      </c>
      <c r="F850" t="s">
        <v>350</v>
      </c>
      <c r="G850">
        <v>2</v>
      </c>
      <c r="H850">
        <v>860.79</v>
      </c>
      <c r="I850">
        <v>533.48</v>
      </c>
      <c r="J850" t="s">
        <v>28</v>
      </c>
    </row>
    <row r="851" spans="1:10">
      <c r="A851" t="s">
        <v>1137</v>
      </c>
      <c r="B851">
        <v>45949</v>
      </c>
      <c r="C851" t="s">
        <v>1138</v>
      </c>
      <c r="D851" t="s">
        <v>41</v>
      </c>
      <c r="E851" t="s">
        <v>26</v>
      </c>
      <c r="F851" t="s">
        <v>350</v>
      </c>
      <c r="G851">
        <v>5</v>
      </c>
      <c r="H851">
        <v>3235.13</v>
      </c>
      <c r="I851">
        <v>2779.31</v>
      </c>
      <c r="J851" t="s">
        <v>22</v>
      </c>
    </row>
    <row r="852" spans="1:10">
      <c r="A852" t="s">
        <v>1139</v>
      </c>
      <c r="B852">
        <v>45728</v>
      </c>
      <c r="C852" t="s">
        <v>11</v>
      </c>
      <c r="D852" t="s">
        <v>31</v>
      </c>
      <c r="E852" t="s">
        <v>82</v>
      </c>
      <c r="F852" t="s">
        <v>155</v>
      </c>
      <c r="G852">
        <v>7</v>
      </c>
      <c r="H852">
        <v>5882.31</v>
      </c>
      <c r="I852">
        <v>3438.93</v>
      </c>
      <c r="J852" t="s">
        <v>38</v>
      </c>
    </row>
    <row r="853" spans="1:10">
      <c r="A853" t="s">
        <v>1140</v>
      </c>
      <c r="B853">
        <v>45854</v>
      </c>
      <c r="C853" t="s">
        <v>162</v>
      </c>
      <c r="D853" t="s">
        <v>12</v>
      </c>
      <c r="E853" t="s">
        <v>36</v>
      </c>
      <c r="F853" t="s">
        <v>88</v>
      </c>
      <c r="G853">
        <v>3</v>
      </c>
      <c r="H853">
        <v>8068.92</v>
      </c>
      <c r="I853">
        <v>6149.12</v>
      </c>
      <c r="J853" t="s">
        <v>38</v>
      </c>
    </row>
    <row r="854" spans="1:10">
      <c r="A854" t="s">
        <v>1141</v>
      </c>
      <c r="B854">
        <v>45919</v>
      </c>
      <c r="C854" t="s">
        <v>30</v>
      </c>
      <c r="D854" t="s">
        <v>31</v>
      </c>
      <c r="E854" t="s">
        <v>20</v>
      </c>
      <c r="F854" t="s">
        <v>91</v>
      </c>
      <c r="G854">
        <v>3</v>
      </c>
      <c r="H854">
        <v>1872.07</v>
      </c>
      <c r="I854">
        <v>1503.31</v>
      </c>
      <c r="J854" t="s">
        <v>22</v>
      </c>
    </row>
    <row r="855" spans="1:10">
      <c r="A855" t="s">
        <v>1142</v>
      </c>
      <c r="B855">
        <v>45892</v>
      </c>
      <c r="C855" t="s">
        <v>70</v>
      </c>
      <c r="D855" t="s">
        <v>19</v>
      </c>
      <c r="E855" t="s">
        <v>36</v>
      </c>
      <c r="F855" t="s">
        <v>37</v>
      </c>
      <c r="G855">
        <v>2</v>
      </c>
      <c r="H855">
        <v>2152.7600000000002</v>
      </c>
      <c r="I855">
        <v>1335.45</v>
      </c>
      <c r="J855" t="s">
        <v>22</v>
      </c>
    </row>
    <row r="856" spans="1:10">
      <c r="A856" t="s">
        <v>1143</v>
      </c>
      <c r="B856">
        <v>45912</v>
      </c>
      <c r="C856" t="s">
        <v>231</v>
      </c>
      <c r="D856" t="s">
        <v>63</v>
      </c>
      <c r="E856" t="s">
        <v>26</v>
      </c>
      <c r="F856" t="s">
        <v>103</v>
      </c>
      <c r="G856">
        <v>8</v>
      </c>
      <c r="H856">
        <v>1443.88</v>
      </c>
      <c r="I856">
        <v>1174.03</v>
      </c>
      <c r="J856" t="s">
        <v>22</v>
      </c>
    </row>
    <row r="857" spans="1:10">
      <c r="A857" t="s">
        <v>1144</v>
      </c>
      <c r="B857">
        <v>45990</v>
      </c>
      <c r="C857" t="s">
        <v>85</v>
      </c>
      <c r="D857" t="s">
        <v>504</v>
      </c>
      <c r="E857" t="s">
        <v>26</v>
      </c>
      <c r="F857" t="s">
        <v>350</v>
      </c>
      <c r="G857">
        <v>5</v>
      </c>
      <c r="H857">
        <v>-1326.29</v>
      </c>
      <c r="I857">
        <v>1323.94</v>
      </c>
      <c r="J857" t="s">
        <v>71</v>
      </c>
    </row>
    <row r="858" spans="1:10">
      <c r="A858" t="s">
        <v>1145</v>
      </c>
      <c r="B858">
        <v>45904</v>
      </c>
      <c r="C858" t="s">
        <v>54</v>
      </c>
      <c r="D858" t="s">
        <v>41</v>
      </c>
      <c r="E858" t="s">
        <v>32</v>
      </c>
      <c r="F858" t="s">
        <v>52</v>
      </c>
      <c r="G858">
        <v>1</v>
      </c>
      <c r="H858" t="s">
        <v>1146</v>
      </c>
      <c r="I858">
        <v>1349.22</v>
      </c>
      <c r="J858" t="s">
        <v>16</v>
      </c>
    </row>
    <row r="859" spans="1:10">
      <c r="A859" t="s">
        <v>1147</v>
      </c>
      <c r="B859">
        <v>45779</v>
      </c>
      <c r="C859" t="s">
        <v>231</v>
      </c>
      <c r="D859" t="s">
        <v>41</v>
      </c>
      <c r="E859" t="s">
        <v>122</v>
      </c>
      <c r="F859" t="s">
        <v>113</v>
      </c>
      <c r="G859">
        <v>8</v>
      </c>
      <c r="H859">
        <v>7542.85</v>
      </c>
      <c r="I859">
        <v>6413.16</v>
      </c>
      <c r="J859" t="s">
        <v>28</v>
      </c>
    </row>
    <row r="860" spans="1:10">
      <c r="A860" t="s">
        <v>1148</v>
      </c>
      <c r="B860">
        <v>46007</v>
      </c>
      <c r="C860" t="s">
        <v>231</v>
      </c>
      <c r="D860" t="s">
        <v>12</v>
      </c>
      <c r="E860" t="s">
        <v>26</v>
      </c>
      <c r="F860" t="s">
        <v>103</v>
      </c>
      <c r="G860">
        <v>4</v>
      </c>
      <c r="H860" t="s">
        <v>1149</v>
      </c>
      <c r="I860">
        <v>1611.8</v>
      </c>
      <c r="J860" t="s">
        <v>38</v>
      </c>
    </row>
    <row r="861" spans="1:10">
      <c r="A861" t="s">
        <v>1150</v>
      </c>
      <c r="B861">
        <v>45826</v>
      </c>
      <c r="C861" t="s">
        <v>133</v>
      </c>
      <c r="D861" t="s">
        <v>57</v>
      </c>
      <c r="E861" t="s">
        <v>32</v>
      </c>
      <c r="F861" t="s">
        <v>101</v>
      </c>
      <c r="G861">
        <v>5</v>
      </c>
      <c r="H861">
        <v>1539.66</v>
      </c>
      <c r="I861">
        <v>1137.8800000000001</v>
      </c>
      <c r="J861" t="s">
        <v>22</v>
      </c>
    </row>
    <row r="862" spans="1:10">
      <c r="A862" t="s">
        <v>1151</v>
      </c>
      <c r="B862">
        <v>45779</v>
      </c>
      <c r="C862" t="s">
        <v>135</v>
      </c>
      <c r="D862" t="s">
        <v>41</v>
      </c>
      <c r="E862" t="s">
        <v>20</v>
      </c>
      <c r="F862" t="s">
        <v>14</v>
      </c>
      <c r="G862">
        <v>1</v>
      </c>
      <c r="H862">
        <v>2821.34</v>
      </c>
      <c r="I862">
        <v>1733.67</v>
      </c>
      <c r="J862" t="s">
        <v>71</v>
      </c>
    </row>
    <row r="863" spans="1:10">
      <c r="A863" t="s">
        <v>1152</v>
      </c>
      <c r="B863">
        <v>46004</v>
      </c>
      <c r="C863" t="s">
        <v>129</v>
      </c>
      <c r="D863" t="s">
        <v>81</v>
      </c>
      <c r="E863" t="s">
        <v>82</v>
      </c>
      <c r="F863" t="s">
        <v>97</v>
      </c>
      <c r="G863">
        <v>3</v>
      </c>
      <c r="H863">
        <v>1193.8599999999999</v>
      </c>
      <c r="I863">
        <v>954.94</v>
      </c>
      <c r="J863" t="s">
        <v>71</v>
      </c>
    </row>
    <row r="864" spans="1:10">
      <c r="A864" t="s">
        <v>1153</v>
      </c>
      <c r="B864">
        <v>45842</v>
      </c>
      <c r="C864" t="s">
        <v>115</v>
      </c>
      <c r="D864" t="s">
        <v>31</v>
      </c>
      <c r="E864" t="s">
        <v>20</v>
      </c>
      <c r="F864" t="s">
        <v>191</v>
      </c>
      <c r="G864">
        <v>5</v>
      </c>
      <c r="H864">
        <v>3564.23</v>
      </c>
      <c r="I864">
        <v>2008.09</v>
      </c>
      <c r="J864" t="s">
        <v>22</v>
      </c>
    </row>
    <row r="865" spans="1:10">
      <c r="A865" t="s">
        <v>1154</v>
      </c>
      <c r="B865">
        <v>45847</v>
      </c>
      <c r="C865" t="s">
        <v>105</v>
      </c>
      <c r="D865" t="s">
        <v>19</v>
      </c>
      <c r="E865" t="s">
        <v>32</v>
      </c>
      <c r="F865" t="s">
        <v>52</v>
      </c>
      <c r="G865">
        <v>2</v>
      </c>
      <c r="H865">
        <v>933.97</v>
      </c>
      <c r="I865">
        <v>657.46</v>
      </c>
      <c r="J865" t="s">
        <v>22</v>
      </c>
    </row>
    <row r="866" spans="1:10">
      <c r="A866" t="s">
        <v>1155</v>
      </c>
      <c r="B866">
        <v>45963</v>
      </c>
      <c r="C866" t="s">
        <v>119</v>
      </c>
      <c r="D866" t="s">
        <v>63</v>
      </c>
      <c r="E866" t="s">
        <v>36</v>
      </c>
      <c r="F866" t="s">
        <v>113</v>
      </c>
      <c r="G866">
        <v>8</v>
      </c>
      <c r="H866">
        <v>6463.97</v>
      </c>
      <c r="I866">
        <v>3763.49</v>
      </c>
      <c r="J866" t="s">
        <v>28</v>
      </c>
    </row>
    <row r="867" spans="1:10">
      <c r="A867" t="s">
        <v>1156</v>
      </c>
      <c r="B867">
        <v>45808</v>
      </c>
      <c r="C867" t="s">
        <v>115</v>
      </c>
      <c r="D867" t="s">
        <v>63</v>
      </c>
      <c r="E867" t="s">
        <v>36</v>
      </c>
      <c r="F867" t="s">
        <v>113</v>
      </c>
      <c r="G867">
        <v>6</v>
      </c>
      <c r="H867">
        <v>10772.72</v>
      </c>
      <c r="I867">
        <v>8429.75</v>
      </c>
      <c r="J867" t="s">
        <v>16</v>
      </c>
    </row>
    <row r="868" spans="1:10">
      <c r="A868" t="s">
        <v>1157</v>
      </c>
      <c r="B868">
        <v>45663</v>
      </c>
      <c r="C868" t="s">
        <v>386</v>
      </c>
      <c r="D868" t="s">
        <v>57</v>
      </c>
      <c r="E868" t="s">
        <v>149</v>
      </c>
      <c r="F868" t="s">
        <v>109</v>
      </c>
      <c r="G868">
        <v>7</v>
      </c>
      <c r="H868">
        <v>5895.69</v>
      </c>
      <c r="I868">
        <v>4565.43</v>
      </c>
      <c r="J868" t="s">
        <v>28</v>
      </c>
    </row>
    <row r="869" spans="1:10">
      <c r="A869" t="s">
        <v>1158</v>
      </c>
      <c r="B869">
        <v>45805</v>
      </c>
      <c r="C869" t="s">
        <v>35</v>
      </c>
      <c r="D869" t="s">
        <v>12</v>
      </c>
      <c r="E869" t="s">
        <v>82</v>
      </c>
      <c r="F869" t="s">
        <v>109</v>
      </c>
      <c r="G869">
        <v>5</v>
      </c>
      <c r="H869">
        <v>713.71</v>
      </c>
      <c r="I869">
        <v>627.17999999999995</v>
      </c>
      <c r="J869" t="s">
        <v>28</v>
      </c>
    </row>
    <row r="870" spans="1:10">
      <c r="A870" t="s">
        <v>1159</v>
      </c>
      <c r="B870">
        <v>45744</v>
      </c>
      <c r="C870" t="s">
        <v>105</v>
      </c>
      <c r="D870" t="s">
        <v>19</v>
      </c>
      <c r="E870" t="s">
        <v>20</v>
      </c>
      <c r="F870" t="s">
        <v>21</v>
      </c>
      <c r="G870">
        <v>2</v>
      </c>
      <c r="H870">
        <v>3307.66</v>
      </c>
      <c r="I870">
        <v>1943.68</v>
      </c>
      <c r="J870" t="s">
        <v>38</v>
      </c>
    </row>
    <row r="871" spans="1:10">
      <c r="A871" t="s">
        <v>1160</v>
      </c>
      <c r="B871">
        <v>45905</v>
      </c>
      <c r="C871" t="s">
        <v>108</v>
      </c>
      <c r="D871" t="s">
        <v>12</v>
      </c>
      <c r="E871" t="s">
        <v>26</v>
      </c>
      <c r="F871" t="s">
        <v>350</v>
      </c>
      <c r="G871">
        <v>5</v>
      </c>
      <c r="H871" t="s">
        <v>1161</v>
      </c>
      <c r="I871">
        <v>611.55999999999995</v>
      </c>
      <c r="J871" t="s">
        <v>38</v>
      </c>
    </row>
    <row r="872" spans="1:10">
      <c r="A872" t="s">
        <v>1162</v>
      </c>
      <c r="B872">
        <v>45913</v>
      </c>
      <c r="C872" t="s">
        <v>54</v>
      </c>
      <c r="D872" t="s">
        <v>19</v>
      </c>
      <c r="E872" t="s">
        <v>26</v>
      </c>
      <c r="F872" t="s">
        <v>103</v>
      </c>
      <c r="G872">
        <v>7</v>
      </c>
      <c r="H872">
        <v>934.23</v>
      </c>
      <c r="I872">
        <v>729.85</v>
      </c>
      <c r="J872" t="s">
        <v>22</v>
      </c>
    </row>
    <row r="873" spans="1:10">
      <c r="A873" t="s">
        <v>1163</v>
      </c>
      <c r="B873">
        <v>45930</v>
      </c>
      <c r="C873" t="s">
        <v>220</v>
      </c>
      <c r="D873" t="s">
        <v>57</v>
      </c>
      <c r="E873" t="s">
        <v>20</v>
      </c>
      <c r="F873" t="s">
        <v>191</v>
      </c>
      <c r="G873">
        <v>5</v>
      </c>
      <c r="H873">
        <v>2644.9</v>
      </c>
      <c r="I873">
        <v>1959.12</v>
      </c>
      <c r="J873" t="s">
        <v>71</v>
      </c>
    </row>
    <row r="874" spans="1:10">
      <c r="A874" t="s">
        <v>1164</v>
      </c>
      <c r="B874">
        <v>45782</v>
      </c>
      <c r="C874" t="s">
        <v>648</v>
      </c>
      <c r="D874" t="s">
        <v>19</v>
      </c>
      <c r="E874" t="s">
        <v>32</v>
      </c>
      <c r="F874" t="s">
        <v>99</v>
      </c>
      <c r="G874">
        <v>6</v>
      </c>
      <c r="H874">
        <v>1064.93</v>
      </c>
      <c r="I874">
        <v>872.65</v>
      </c>
      <c r="J874" t="s">
        <v>28</v>
      </c>
    </row>
    <row r="875" spans="1:10">
      <c r="A875" t="s">
        <v>1165</v>
      </c>
      <c r="B875">
        <v>45977</v>
      </c>
      <c r="D875" t="s">
        <v>593</v>
      </c>
      <c r="E875" t="s">
        <v>32</v>
      </c>
      <c r="F875" t="s">
        <v>99</v>
      </c>
      <c r="G875">
        <v>5</v>
      </c>
      <c r="H875">
        <v>312.89999999999998</v>
      </c>
      <c r="I875">
        <v>194.89</v>
      </c>
      <c r="J875" t="s">
        <v>16</v>
      </c>
    </row>
    <row r="876" spans="1:10">
      <c r="A876" t="s">
        <v>1166</v>
      </c>
      <c r="B876">
        <v>45866</v>
      </c>
      <c r="C876" t="s">
        <v>121</v>
      </c>
      <c r="D876" t="s">
        <v>41</v>
      </c>
      <c r="E876" t="s">
        <v>36</v>
      </c>
      <c r="F876" t="s">
        <v>88</v>
      </c>
      <c r="G876">
        <v>6</v>
      </c>
      <c r="H876">
        <v>15353.7</v>
      </c>
      <c r="I876">
        <v>11660.26</v>
      </c>
      <c r="J876" t="s">
        <v>16</v>
      </c>
    </row>
    <row r="877" spans="1:10">
      <c r="A877" t="s">
        <v>658</v>
      </c>
      <c r="B877">
        <v>45762</v>
      </c>
      <c r="C877" t="s">
        <v>56</v>
      </c>
      <c r="D877" t="s">
        <v>31</v>
      </c>
      <c r="E877" t="s">
        <v>26</v>
      </c>
      <c r="F877" t="s">
        <v>350</v>
      </c>
      <c r="G877">
        <v>6</v>
      </c>
      <c r="H877">
        <v>1025.73</v>
      </c>
      <c r="I877">
        <v>698.12</v>
      </c>
      <c r="J877" t="s">
        <v>22</v>
      </c>
    </row>
    <row r="878" spans="1:10">
      <c r="A878" t="s">
        <v>1167</v>
      </c>
      <c r="B878">
        <v>45701</v>
      </c>
      <c r="C878" t="s">
        <v>689</v>
      </c>
      <c r="D878" t="s">
        <v>19</v>
      </c>
      <c r="E878" t="s">
        <v>235</v>
      </c>
      <c r="F878" t="s">
        <v>33</v>
      </c>
      <c r="G878">
        <v>4</v>
      </c>
      <c r="H878">
        <v>1515.51</v>
      </c>
      <c r="I878">
        <v>918.34</v>
      </c>
      <c r="J878" t="s">
        <v>28</v>
      </c>
    </row>
    <row r="879" spans="1:10">
      <c r="A879" t="s">
        <v>39</v>
      </c>
      <c r="B879">
        <v>45892</v>
      </c>
      <c r="C879" t="s">
        <v>40</v>
      </c>
      <c r="D879" t="s">
        <v>41</v>
      </c>
      <c r="E879" t="s">
        <v>36</v>
      </c>
      <c r="F879" t="s">
        <v>42</v>
      </c>
      <c r="G879">
        <v>6</v>
      </c>
      <c r="H879" t="s">
        <v>43</v>
      </c>
      <c r="I879">
        <v>12543.55</v>
      </c>
      <c r="J879" t="s">
        <v>28</v>
      </c>
    </row>
    <row r="880" spans="1:10">
      <c r="A880" t="s">
        <v>1168</v>
      </c>
      <c r="B880">
        <v>45952</v>
      </c>
      <c r="C880" t="s">
        <v>115</v>
      </c>
      <c r="D880" t="s">
        <v>31</v>
      </c>
      <c r="E880" t="s">
        <v>36</v>
      </c>
      <c r="F880" t="s">
        <v>88</v>
      </c>
      <c r="G880">
        <v>7</v>
      </c>
      <c r="H880" t="s">
        <v>1169</v>
      </c>
      <c r="I880">
        <v>6038.33</v>
      </c>
      <c r="J880" t="s">
        <v>16</v>
      </c>
    </row>
    <row r="881" spans="1:10">
      <c r="A881" t="s">
        <v>1170</v>
      </c>
      <c r="B881">
        <v>45981</v>
      </c>
      <c r="C881" t="s">
        <v>70</v>
      </c>
      <c r="D881" t="s">
        <v>12</v>
      </c>
      <c r="E881" t="s">
        <v>32</v>
      </c>
      <c r="F881" t="s">
        <v>33</v>
      </c>
      <c r="G881">
        <v>5</v>
      </c>
      <c r="H881">
        <v>2031.56</v>
      </c>
      <c r="I881">
        <v>1513.85</v>
      </c>
      <c r="J881" t="s">
        <v>22</v>
      </c>
    </row>
    <row r="882" spans="1:10">
      <c r="A882" t="s">
        <v>1171</v>
      </c>
      <c r="B882">
        <v>45699</v>
      </c>
      <c r="C882" t="s">
        <v>35</v>
      </c>
      <c r="D882" t="s">
        <v>57</v>
      </c>
      <c r="E882" t="s">
        <v>26</v>
      </c>
      <c r="F882" t="s">
        <v>131</v>
      </c>
      <c r="G882">
        <v>3</v>
      </c>
      <c r="H882">
        <v>1029.56</v>
      </c>
      <c r="I882">
        <v>753.8</v>
      </c>
      <c r="J882" t="s">
        <v>71</v>
      </c>
    </row>
    <row r="883" spans="1:10">
      <c r="A883" t="s">
        <v>1172</v>
      </c>
      <c r="B883">
        <v>45924</v>
      </c>
      <c r="C883" t="s">
        <v>117</v>
      </c>
      <c r="D883" t="s">
        <v>41</v>
      </c>
      <c r="E883" t="s">
        <v>32</v>
      </c>
      <c r="F883" t="s">
        <v>180</v>
      </c>
      <c r="G883">
        <v>4</v>
      </c>
      <c r="H883">
        <v>1037.71</v>
      </c>
      <c r="I883">
        <v>594.70000000000005</v>
      </c>
      <c r="J883" t="s">
        <v>22</v>
      </c>
    </row>
    <row r="884" spans="1:10">
      <c r="A884" t="s">
        <v>1173</v>
      </c>
      <c r="B884">
        <v>45868</v>
      </c>
      <c r="C884" t="s">
        <v>162</v>
      </c>
      <c r="D884" t="s">
        <v>63</v>
      </c>
      <c r="E884" t="s">
        <v>20</v>
      </c>
      <c r="F884" t="s">
        <v>86</v>
      </c>
      <c r="G884">
        <v>3</v>
      </c>
      <c r="H884">
        <v>4870.3900000000003</v>
      </c>
      <c r="I884">
        <v>3997.37</v>
      </c>
      <c r="J884" t="s">
        <v>71</v>
      </c>
    </row>
    <row r="885" spans="1:10">
      <c r="A885" t="s">
        <v>165</v>
      </c>
      <c r="B885">
        <v>45708</v>
      </c>
      <c r="C885" t="s">
        <v>30</v>
      </c>
      <c r="D885" t="s">
        <v>12</v>
      </c>
      <c r="E885" t="s">
        <v>26</v>
      </c>
      <c r="F885" t="s">
        <v>103</v>
      </c>
      <c r="G885">
        <v>4</v>
      </c>
      <c r="H885">
        <v>2647.68</v>
      </c>
      <c r="I885">
        <v>2216.27</v>
      </c>
      <c r="J885" t="s">
        <v>28</v>
      </c>
    </row>
    <row r="886" spans="1:10">
      <c r="A886" t="s">
        <v>1174</v>
      </c>
      <c r="B886">
        <v>45853</v>
      </c>
      <c r="C886" t="s">
        <v>67</v>
      </c>
      <c r="D886" t="s">
        <v>577</v>
      </c>
      <c r="E886" t="s">
        <v>26</v>
      </c>
      <c r="F886" t="s">
        <v>106</v>
      </c>
      <c r="G886">
        <v>7</v>
      </c>
      <c r="H886">
        <v>2877.45</v>
      </c>
      <c r="I886">
        <v>1794.87</v>
      </c>
      <c r="J886" t="s">
        <v>16</v>
      </c>
    </row>
    <row r="887" spans="1:10">
      <c r="A887" t="s">
        <v>1175</v>
      </c>
      <c r="B887">
        <v>45988</v>
      </c>
      <c r="C887" t="s">
        <v>259</v>
      </c>
      <c r="D887" t="s">
        <v>57</v>
      </c>
      <c r="E887" t="s">
        <v>32</v>
      </c>
      <c r="F887" t="s">
        <v>163</v>
      </c>
      <c r="G887">
        <v>4</v>
      </c>
      <c r="H887">
        <v>265.42</v>
      </c>
      <c r="I887">
        <v>212.96</v>
      </c>
      <c r="J887" t="s">
        <v>28</v>
      </c>
    </row>
    <row r="888" spans="1:10">
      <c r="A888" t="s">
        <v>1176</v>
      </c>
      <c r="B888">
        <v>45870</v>
      </c>
      <c r="C888" t="s">
        <v>67</v>
      </c>
      <c r="D888" t="s">
        <v>57</v>
      </c>
      <c r="E888" t="s">
        <v>32</v>
      </c>
      <c r="F888" t="s">
        <v>163</v>
      </c>
      <c r="G888">
        <v>8</v>
      </c>
      <c r="H888">
        <v>863.86</v>
      </c>
      <c r="I888">
        <v>704.8</v>
      </c>
      <c r="J888" t="s">
        <v>28</v>
      </c>
    </row>
    <row r="889" spans="1:10">
      <c r="A889" t="s">
        <v>1177</v>
      </c>
      <c r="B889">
        <v>45972</v>
      </c>
      <c r="C889" t="s">
        <v>51</v>
      </c>
      <c r="D889" t="s">
        <v>12</v>
      </c>
      <c r="E889" t="s">
        <v>26</v>
      </c>
      <c r="F889" t="s">
        <v>79</v>
      </c>
      <c r="G889">
        <v>8</v>
      </c>
      <c r="H889">
        <v>2539.64</v>
      </c>
      <c r="I889">
        <v>1758.29</v>
      </c>
      <c r="J889" t="s">
        <v>71</v>
      </c>
    </row>
    <row r="890" spans="1:10">
      <c r="A890" t="s">
        <v>1178</v>
      </c>
      <c r="B890">
        <v>45736</v>
      </c>
      <c r="C890" t="s">
        <v>74</v>
      </c>
      <c r="D890" t="s">
        <v>12</v>
      </c>
      <c r="E890" t="s">
        <v>13</v>
      </c>
      <c r="F890" t="s">
        <v>196</v>
      </c>
      <c r="G890">
        <v>8</v>
      </c>
      <c r="H890">
        <v>4640.1899999999996</v>
      </c>
      <c r="I890">
        <v>3184.44</v>
      </c>
      <c r="J890" t="s">
        <v>28</v>
      </c>
    </row>
    <row r="891" spans="1:10">
      <c r="A891" t="s">
        <v>1179</v>
      </c>
      <c r="B891">
        <v>45958</v>
      </c>
      <c r="C891" t="s">
        <v>124</v>
      </c>
      <c r="D891" t="s">
        <v>57</v>
      </c>
      <c r="E891" t="s">
        <v>149</v>
      </c>
      <c r="F891" t="s">
        <v>155</v>
      </c>
      <c r="G891">
        <v>3</v>
      </c>
      <c r="H891">
        <v>5467.36</v>
      </c>
      <c r="I891">
        <v>3239.85</v>
      </c>
      <c r="J891" t="s">
        <v>38</v>
      </c>
    </row>
    <row r="892" spans="1:10">
      <c r="A892" t="s">
        <v>1180</v>
      </c>
      <c r="B892">
        <v>45937</v>
      </c>
      <c r="C892" t="s">
        <v>119</v>
      </c>
      <c r="D892" t="s">
        <v>57</v>
      </c>
      <c r="E892" t="s">
        <v>26</v>
      </c>
      <c r="F892" t="s">
        <v>79</v>
      </c>
      <c r="G892">
        <v>4</v>
      </c>
      <c r="H892">
        <v>2772.48</v>
      </c>
      <c r="I892">
        <v>2407.11</v>
      </c>
      <c r="J892" t="s">
        <v>22</v>
      </c>
    </row>
    <row r="893" spans="1:10">
      <c r="A893" t="s">
        <v>1181</v>
      </c>
      <c r="B893">
        <v>45924</v>
      </c>
      <c r="C893" t="s">
        <v>74</v>
      </c>
      <c r="D893" t="s">
        <v>63</v>
      </c>
      <c r="E893" t="s">
        <v>122</v>
      </c>
      <c r="F893" t="s">
        <v>1182</v>
      </c>
      <c r="G893">
        <v>5</v>
      </c>
      <c r="H893">
        <v>1284.4100000000001</v>
      </c>
      <c r="I893">
        <v>1027.92</v>
      </c>
      <c r="J893" t="s">
        <v>71</v>
      </c>
    </row>
    <row r="894" spans="1:10">
      <c r="A894" t="s">
        <v>1183</v>
      </c>
      <c r="B894">
        <v>45957</v>
      </c>
      <c r="C894" t="s">
        <v>35</v>
      </c>
      <c r="D894" t="s">
        <v>19</v>
      </c>
      <c r="E894" t="s">
        <v>20</v>
      </c>
      <c r="F894" t="s">
        <v>196</v>
      </c>
      <c r="G894">
        <v>8</v>
      </c>
      <c r="H894">
        <v>1650.81</v>
      </c>
      <c r="I894">
        <v>952.29</v>
      </c>
      <c r="J894" t="s">
        <v>28</v>
      </c>
    </row>
    <row r="895" spans="1:10">
      <c r="A895" t="s">
        <v>1184</v>
      </c>
      <c r="B895">
        <v>45698</v>
      </c>
      <c r="C895" t="s">
        <v>119</v>
      </c>
      <c r="D895" t="s">
        <v>63</v>
      </c>
      <c r="E895" t="s">
        <v>20</v>
      </c>
      <c r="F895" t="s">
        <v>21</v>
      </c>
      <c r="G895">
        <v>7</v>
      </c>
      <c r="H895">
        <v>3939.28</v>
      </c>
      <c r="I895">
        <v>2838.18</v>
      </c>
      <c r="J895" t="s">
        <v>38</v>
      </c>
    </row>
    <row r="896" spans="1:10">
      <c r="A896" t="s">
        <v>1185</v>
      </c>
      <c r="B896">
        <v>45859</v>
      </c>
      <c r="C896" t="s">
        <v>30</v>
      </c>
      <c r="D896" t="s">
        <v>19</v>
      </c>
      <c r="E896" t="s">
        <v>26</v>
      </c>
      <c r="F896" t="s">
        <v>350</v>
      </c>
      <c r="G896">
        <v>6</v>
      </c>
      <c r="H896">
        <v>1283.69</v>
      </c>
      <c r="I896">
        <v>821.23</v>
      </c>
    </row>
    <row r="897" spans="1:10">
      <c r="A897" t="s">
        <v>1186</v>
      </c>
      <c r="B897">
        <v>45949</v>
      </c>
      <c r="C897" t="s">
        <v>121</v>
      </c>
      <c r="D897" t="s">
        <v>31</v>
      </c>
      <c r="E897" t="s">
        <v>32</v>
      </c>
      <c r="F897" t="s">
        <v>101</v>
      </c>
      <c r="G897">
        <v>1</v>
      </c>
      <c r="H897">
        <v>1602.15</v>
      </c>
      <c r="I897">
        <v>1272.47</v>
      </c>
      <c r="J897" t="s">
        <v>71</v>
      </c>
    </row>
    <row r="898" spans="1:10">
      <c r="A898" t="s">
        <v>1187</v>
      </c>
      <c r="B898">
        <v>45848</v>
      </c>
      <c r="C898" t="s">
        <v>612</v>
      </c>
      <c r="D898" t="s">
        <v>63</v>
      </c>
      <c r="E898" t="s">
        <v>20</v>
      </c>
      <c r="F898" t="s">
        <v>14</v>
      </c>
      <c r="G898">
        <v>7</v>
      </c>
      <c r="H898">
        <v>1571.02</v>
      </c>
      <c r="I898">
        <v>920.26</v>
      </c>
      <c r="J898" t="s">
        <v>16</v>
      </c>
    </row>
    <row r="899" spans="1:10">
      <c r="A899" t="s">
        <v>1188</v>
      </c>
      <c r="B899">
        <v>46005</v>
      </c>
      <c r="C899" t="s">
        <v>90</v>
      </c>
      <c r="D899" t="s">
        <v>19</v>
      </c>
      <c r="E899" t="s">
        <v>32</v>
      </c>
      <c r="F899" t="s">
        <v>33</v>
      </c>
      <c r="G899">
        <v>6</v>
      </c>
      <c r="H899">
        <v>2412.0500000000002</v>
      </c>
      <c r="I899">
        <v>1870.18</v>
      </c>
      <c r="J899" t="s">
        <v>16</v>
      </c>
    </row>
    <row r="900" spans="1:10">
      <c r="A900" t="s">
        <v>1189</v>
      </c>
      <c r="B900">
        <v>45917</v>
      </c>
      <c r="C900" t="s">
        <v>85</v>
      </c>
      <c r="D900" t="s">
        <v>12</v>
      </c>
      <c r="E900" t="s">
        <v>149</v>
      </c>
      <c r="F900" t="s">
        <v>150</v>
      </c>
      <c r="G900">
        <v>2</v>
      </c>
      <c r="H900">
        <v>1502.51</v>
      </c>
      <c r="I900">
        <v>884.92</v>
      </c>
      <c r="J900" t="s">
        <v>71</v>
      </c>
    </row>
    <row r="901" spans="1:10">
      <c r="A901" t="s">
        <v>1190</v>
      </c>
      <c r="B901">
        <v>45876</v>
      </c>
      <c r="C901" t="s">
        <v>129</v>
      </c>
      <c r="D901" t="s">
        <v>49</v>
      </c>
      <c r="E901" t="s">
        <v>32</v>
      </c>
      <c r="F901" t="s">
        <v>52</v>
      </c>
      <c r="G901">
        <v>5</v>
      </c>
      <c r="H901">
        <v>1791.22</v>
      </c>
      <c r="I901">
        <v>1281.0999999999999</v>
      </c>
      <c r="J901" t="s">
        <v>38</v>
      </c>
    </row>
    <row r="902" spans="1:10">
      <c r="A902" t="s">
        <v>1191</v>
      </c>
      <c r="B902">
        <v>45845</v>
      </c>
      <c r="C902" t="s">
        <v>67</v>
      </c>
      <c r="D902" t="s">
        <v>12</v>
      </c>
      <c r="E902" t="s">
        <v>32</v>
      </c>
      <c r="F902" t="s">
        <v>33</v>
      </c>
      <c r="G902">
        <v>6</v>
      </c>
      <c r="H902">
        <v>638.13</v>
      </c>
      <c r="I902">
        <v>423.52</v>
      </c>
      <c r="J902" t="s">
        <v>16</v>
      </c>
    </row>
    <row r="903" spans="1:10">
      <c r="A903" t="s">
        <v>1192</v>
      </c>
      <c r="B903">
        <v>45977</v>
      </c>
      <c r="C903" t="s">
        <v>48</v>
      </c>
      <c r="D903" t="s">
        <v>12</v>
      </c>
      <c r="E903" t="s">
        <v>420</v>
      </c>
      <c r="F903" t="s">
        <v>21</v>
      </c>
      <c r="G903">
        <v>6</v>
      </c>
      <c r="H903">
        <v>2594.9699999999998</v>
      </c>
      <c r="I903">
        <v>1938.8</v>
      </c>
      <c r="J903" t="s">
        <v>22</v>
      </c>
    </row>
    <row r="904" spans="1:10">
      <c r="A904" t="s">
        <v>1193</v>
      </c>
      <c r="B904">
        <v>45894</v>
      </c>
      <c r="C904" t="s">
        <v>11</v>
      </c>
      <c r="D904" t="s">
        <v>41</v>
      </c>
      <c r="E904" t="s">
        <v>82</v>
      </c>
      <c r="F904" t="s">
        <v>83</v>
      </c>
      <c r="G904">
        <v>4</v>
      </c>
      <c r="H904">
        <v>5246.47</v>
      </c>
      <c r="I904">
        <v>3904.84</v>
      </c>
      <c r="J904" t="s">
        <v>71</v>
      </c>
    </row>
    <row r="905" spans="1:10">
      <c r="A905" t="s">
        <v>1194</v>
      </c>
      <c r="B905">
        <v>45883</v>
      </c>
      <c r="C905" t="s">
        <v>162</v>
      </c>
      <c r="D905" t="s">
        <v>63</v>
      </c>
      <c r="E905" t="s">
        <v>36</v>
      </c>
      <c r="F905" t="s">
        <v>93</v>
      </c>
      <c r="G905">
        <v>1</v>
      </c>
      <c r="H905">
        <v>1983.05</v>
      </c>
      <c r="I905">
        <v>1519.3</v>
      </c>
      <c r="J905" t="s">
        <v>16</v>
      </c>
    </row>
    <row r="906" spans="1:10">
      <c r="A906" t="s">
        <v>1195</v>
      </c>
      <c r="B906">
        <v>45931</v>
      </c>
      <c r="C906" t="s">
        <v>115</v>
      </c>
      <c r="D906" t="s">
        <v>57</v>
      </c>
      <c r="E906" t="s">
        <v>20</v>
      </c>
      <c r="F906" t="s">
        <v>21</v>
      </c>
      <c r="G906">
        <v>1</v>
      </c>
      <c r="H906">
        <v>4702.2700000000004</v>
      </c>
      <c r="I906">
        <v>4057</v>
      </c>
      <c r="J906" t="s">
        <v>38</v>
      </c>
    </row>
    <row r="907" spans="1:10">
      <c r="A907" t="s">
        <v>1196</v>
      </c>
      <c r="B907">
        <v>45805</v>
      </c>
      <c r="C907" t="s">
        <v>220</v>
      </c>
      <c r="D907" t="s">
        <v>57</v>
      </c>
      <c r="E907" t="s">
        <v>78</v>
      </c>
      <c r="F907" t="s">
        <v>27</v>
      </c>
      <c r="G907">
        <v>2</v>
      </c>
      <c r="H907">
        <v>1375.68</v>
      </c>
      <c r="I907">
        <v>957.45</v>
      </c>
      <c r="J907" t="s">
        <v>22</v>
      </c>
    </row>
    <row r="908" spans="1:10">
      <c r="A908" t="s">
        <v>1197</v>
      </c>
      <c r="B908">
        <v>45673</v>
      </c>
      <c r="C908" t="s">
        <v>162</v>
      </c>
      <c r="D908" t="s">
        <v>173</v>
      </c>
      <c r="E908" t="s">
        <v>36</v>
      </c>
      <c r="F908" t="s">
        <v>113</v>
      </c>
      <c r="G908">
        <v>4</v>
      </c>
      <c r="H908">
        <v>5894.74</v>
      </c>
      <c r="I908">
        <v>3776.77</v>
      </c>
      <c r="J908" t="s">
        <v>38</v>
      </c>
    </row>
    <row r="909" spans="1:10">
      <c r="A909" t="s">
        <v>1198</v>
      </c>
      <c r="B909">
        <v>45700</v>
      </c>
      <c r="C909" t="s">
        <v>121</v>
      </c>
      <c r="D909" t="s">
        <v>31</v>
      </c>
      <c r="E909" t="s">
        <v>32</v>
      </c>
      <c r="F909" t="s">
        <v>541</v>
      </c>
      <c r="G909">
        <v>4</v>
      </c>
      <c r="H909">
        <v>2000.63</v>
      </c>
      <c r="I909">
        <v>1194.3399999999999</v>
      </c>
      <c r="J909" t="s">
        <v>38</v>
      </c>
    </row>
    <row r="910" spans="1:10">
      <c r="A910" t="s">
        <v>1199</v>
      </c>
      <c r="B910">
        <v>45680</v>
      </c>
      <c r="C910" t="s">
        <v>220</v>
      </c>
      <c r="D910" t="s">
        <v>31</v>
      </c>
      <c r="E910" t="s">
        <v>26</v>
      </c>
      <c r="F910" t="s">
        <v>103</v>
      </c>
      <c r="G910">
        <v>6</v>
      </c>
      <c r="H910">
        <v>2024.54</v>
      </c>
      <c r="I910">
        <v>1657</v>
      </c>
    </row>
    <row r="911" spans="1:10">
      <c r="A911" t="s">
        <v>1200</v>
      </c>
      <c r="B911">
        <v>45721</v>
      </c>
      <c r="C911" t="s">
        <v>129</v>
      </c>
      <c r="D911" t="s">
        <v>31</v>
      </c>
      <c r="E911" t="s">
        <v>20</v>
      </c>
      <c r="F911" t="s">
        <v>191</v>
      </c>
      <c r="G911">
        <v>8</v>
      </c>
      <c r="H911">
        <v>538.01</v>
      </c>
      <c r="I911">
        <v>432.52</v>
      </c>
      <c r="J911" t="s">
        <v>22</v>
      </c>
    </row>
    <row r="912" spans="1:10">
      <c r="A912" t="s">
        <v>1201</v>
      </c>
      <c r="B912">
        <v>45980</v>
      </c>
      <c r="C912" t="s">
        <v>133</v>
      </c>
      <c r="D912" t="s">
        <v>63</v>
      </c>
      <c r="E912" t="s">
        <v>36</v>
      </c>
      <c r="F912" t="s">
        <v>113</v>
      </c>
      <c r="G912">
        <v>1</v>
      </c>
      <c r="H912">
        <v>3494.53</v>
      </c>
      <c r="I912">
        <v>2857.4</v>
      </c>
      <c r="J912" t="s">
        <v>22</v>
      </c>
    </row>
    <row r="913" spans="1:10">
      <c r="A913" t="s">
        <v>1202</v>
      </c>
      <c r="B913">
        <v>45729</v>
      </c>
      <c r="C913" t="s">
        <v>1203</v>
      </c>
      <c r="D913" t="s">
        <v>57</v>
      </c>
      <c r="E913" t="s">
        <v>420</v>
      </c>
      <c r="F913" t="s">
        <v>191</v>
      </c>
      <c r="G913">
        <v>4</v>
      </c>
      <c r="H913">
        <v>3554.82</v>
      </c>
      <c r="I913">
        <v>2944.45</v>
      </c>
      <c r="J913" t="s">
        <v>22</v>
      </c>
    </row>
    <row r="914" spans="1:10">
      <c r="A914" t="s">
        <v>1204</v>
      </c>
      <c r="B914">
        <v>45678</v>
      </c>
      <c r="C914" t="s">
        <v>135</v>
      </c>
      <c r="D914" t="s">
        <v>57</v>
      </c>
      <c r="E914" t="s">
        <v>32</v>
      </c>
      <c r="F914" t="s">
        <v>101</v>
      </c>
      <c r="G914">
        <v>4</v>
      </c>
      <c r="H914">
        <v>1951.39</v>
      </c>
      <c r="I914">
        <v>1222.5</v>
      </c>
      <c r="J914" t="s">
        <v>22</v>
      </c>
    </row>
    <row r="915" spans="1:10">
      <c r="A915" t="s">
        <v>1205</v>
      </c>
      <c r="B915">
        <v>45899</v>
      </c>
      <c r="C915" t="s">
        <v>119</v>
      </c>
      <c r="D915" t="s">
        <v>31</v>
      </c>
      <c r="E915" t="s">
        <v>36</v>
      </c>
      <c r="F915" t="s">
        <v>88</v>
      </c>
      <c r="G915">
        <v>3</v>
      </c>
      <c r="H915">
        <v>2986.6</v>
      </c>
      <c r="I915">
        <v>2489.64</v>
      </c>
      <c r="J915" t="s">
        <v>22</v>
      </c>
    </row>
    <row r="916" spans="1:10">
      <c r="A916" t="s">
        <v>1206</v>
      </c>
      <c r="B916">
        <v>45790</v>
      </c>
      <c r="C916" t="s">
        <v>115</v>
      </c>
      <c r="D916" t="s">
        <v>19</v>
      </c>
      <c r="E916" t="s">
        <v>26</v>
      </c>
      <c r="F916" t="s">
        <v>79</v>
      </c>
      <c r="G916">
        <v>3</v>
      </c>
      <c r="H916">
        <v>2032.83</v>
      </c>
      <c r="I916">
        <v>1277.1400000000001</v>
      </c>
      <c r="J916" t="s">
        <v>28</v>
      </c>
    </row>
    <row r="917" spans="1:10">
      <c r="A917" t="s">
        <v>1207</v>
      </c>
      <c r="B917">
        <v>45842</v>
      </c>
      <c r="C917" t="s">
        <v>30</v>
      </c>
      <c r="D917" t="s">
        <v>127</v>
      </c>
      <c r="E917" t="s">
        <v>235</v>
      </c>
      <c r="F917" t="s">
        <v>180</v>
      </c>
      <c r="G917">
        <v>4</v>
      </c>
      <c r="H917">
        <v>830.15</v>
      </c>
      <c r="I917">
        <v>682.18</v>
      </c>
      <c r="J917" t="s">
        <v>38</v>
      </c>
    </row>
    <row r="918" spans="1:10">
      <c r="A918" t="s">
        <v>1208</v>
      </c>
      <c r="B918">
        <v>45891</v>
      </c>
      <c r="C918" t="s">
        <v>48</v>
      </c>
      <c r="D918" t="s">
        <v>19</v>
      </c>
      <c r="E918" t="s">
        <v>36</v>
      </c>
      <c r="F918" t="s">
        <v>42</v>
      </c>
      <c r="G918">
        <v>8</v>
      </c>
      <c r="H918">
        <v>5553.49</v>
      </c>
      <c r="I918">
        <v>4195.71</v>
      </c>
      <c r="J918" t="s">
        <v>71</v>
      </c>
    </row>
    <row r="919" spans="1:10">
      <c r="A919" t="s">
        <v>1160</v>
      </c>
      <c r="B919">
        <v>45905</v>
      </c>
      <c r="C919" t="s">
        <v>108</v>
      </c>
      <c r="D919" t="s">
        <v>12</v>
      </c>
      <c r="E919" t="s">
        <v>26</v>
      </c>
      <c r="F919" t="s">
        <v>350</v>
      </c>
      <c r="G919">
        <v>5</v>
      </c>
      <c r="H919" t="s">
        <v>1161</v>
      </c>
      <c r="I919">
        <v>611.55999999999995</v>
      </c>
      <c r="J919" t="s">
        <v>38</v>
      </c>
    </row>
    <row r="920" spans="1:10">
      <c r="A920" t="s">
        <v>1209</v>
      </c>
      <c r="B920">
        <v>46005</v>
      </c>
      <c r="C920" t="s">
        <v>56</v>
      </c>
      <c r="D920" t="s">
        <v>41</v>
      </c>
      <c r="E920" t="s">
        <v>20</v>
      </c>
      <c r="F920" t="s">
        <v>91</v>
      </c>
      <c r="G920">
        <v>7</v>
      </c>
      <c r="H920">
        <v>3557.18</v>
      </c>
      <c r="I920">
        <v>2011.48</v>
      </c>
      <c r="J920" t="s">
        <v>22</v>
      </c>
    </row>
    <row r="921" spans="1:10">
      <c r="A921" t="s">
        <v>1210</v>
      </c>
      <c r="B921">
        <v>45945</v>
      </c>
      <c r="C921" t="s">
        <v>35</v>
      </c>
      <c r="D921" t="s">
        <v>19</v>
      </c>
      <c r="E921" t="s">
        <v>20</v>
      </c>
      <c r="F921" t="s">
        <v>91</v>
      </c>
      <c r="G921">
        <v>6</v>
      </c>
      <c r="H921">
        <v>1727.8</v>
      </c>
      <c r="I921">
        <v>1286.0899999999999</v>
      </c>
      <c r="J921" t="s">
        <v>71</v>
      </c>
    </row>
    <row r="922" spans="1:10">
      <c r="A922" t="s">
        <v>1211</v>
      </c>
      <c r="B922">
        <v>45953</v>
      </c>
      <c r="C922" t="s">
        <v>67</v>
      </c>
      <c r="D922" t="s">
        <v>57</v>
      </c>
      <c r="E922" t="s">
        <v>82</v>
      </c>
      <c r="F922" t="s">
        <v>97</v>
      </c>
      <c r="G922">
        <v>1</v>
      </c>
      <c r="H922">
        <v>6718.13</v>
      </c>
      <c r="I922">
        <v>4851.6899999999996</v>
      </c>
      <c r="J922" t="s">
        <v>28</v>
      </c>
    </row>
    <row r="923" spans="1:10">
      <c r="A923" t="s">
        <v>1212</v>
      </c>
      <c r="B923">
        <v>46005</v>
      </c>
      <c r="C923" t="s">
        <v>135</v>
      </c>
      <c r="D923" t="s">
        <v>57</v>
      </c>
      <c r="E923" t="s">
        <v>32</v>
      </c>
      <c r="F923" t="s">
        <v>33</v>
      </c>
      <c r="G923">
        <v>3</v>
      </c>
      <c r="H923">
        <v>2329.77</v>
      </c>
      <c r="I923">
        <v>1355.22</v>
      </c>
      <c r="J923" t="s">
        <v>28</v>
      </c>
    </row>
    <row r="924" spans="1:10">
      <c r="A924" t="s">
        <v>1213</v>
      </c>
      <c r="B924">
        <v>45919</v>
      </c>
      <c r="C924" t="s">
        <v>121</v>
      </c>
      <c r="D924" t="s">
        <v>57</v>
      </c>
      <c r="E924" t="s">
        <v>36</v>
      </c>
      <c r="F924" t="s">
        <v>113</v>
      </c>
      <c r="G924">
        <v>4</v>
      </c>
      <c r="H924">
        <v>11419.75</v>
      </c>
      <c r="I924">
        <v>8820.94</v>
      </c>
      <c r="J924" t="s">
        <v>22</v>
      </c>
    </row>
    <row r="925" spans="1:10">
      <c r="A925" t="s">
        <v>1214</v>
      </c>
      <c r="B925">
        <v>45777</v>
      </c>
      <c r="C925" t="s">
        <v>56</v>
      </c>
      <c r="D925" t="s">
        <v>41</v>
      </c>
      <c r="E925" t="s">
        <v>82</v>
      </c>
      <c r="F925" t="s">
        <v>97</v>
      </c>
      <c r="G925">
        <v>6</v>
      </c>
      <c r="H925">
        <v>2374.73</v>
      </c>
      <c r="I925">
        <v>1828.74</v>
      </c>
      <c r="J925" t="s">
        <v>38</v>
      </c>
    </row>
    <row r="926" spans="1:10">
      <c r="A926" t="s">
        <v>1215</v>
      </c>
      <c r="B926">
        <v>45972</v>
      </c>
      <c r="C926" t="s">
        <v>254</v>
      </c>
      <c r="D926" t="s">
        <v>31</v>
      </c>
      <c r="E926" t="s">
        <v>26</v>
      </c>
      <c r="F926" t="s">
        <v>103</v>
      </c>
      <c r="G926">
        <v>8</v>
      </c>
      <c r="H926">
        <v>1939.04</v>
      </c>
      <c r="I926">
        <v>1470.79</v>
      </c>
      <c r="J926" t="s">
        <v>28</v>
      </c>
    </row>
    <row r="927" spans="1:10">
      <c r="A927" t="s">
        <v>1216</v>
      </c>
      <c r="B927">
        <v>45689</v>
      </c>
      <c r="C927" t="s">
        <v>382</v>
      </c>
      <c r="D927" t="s">
        <v>41</v>
      </c>
      <c r="E927" t="s">
        <v>36</v>
      </c>
      <c r="F927" t="s">
        <v>660</v>
      </c>
      <c r="G927">
        <v>8</v>
      </c>
      <c r="H927" t="s">
        <v>661</v>
      </c>
      <c r="I927">
        <v>1380.5</v>
      </c>
      <c r="J927" t="s">
        <v>28</v>
      </c>
    </row>
    <row r="928" spans="1:10">
      <c r="A928" t="s">
        <v>1217</v>
      </c>
      <c r="B928">
        <v>45800</v>
      </c>
      <c r="C928" t="s">
        <v>54</v>
      </c>
      <c r="D928" t="s">
        <v>65</v>
      </c>
      <c r="E928" t="s">
        <v>20</v>
      </c>
      <c r="F928" t="s">
        <v>196</v>
      </c>
      <c r="G928">
        <v>4</v>
      </c>
      <c r="H928">
        <v>769.05</v>
      </c>
      <c r="I928">
        <v>460.6</v>
      </c>
      <c r="J928" t="s">
        <v>22</v>
      </c>
    </row>
    <row r="929" spans="1:10">
      <c r="A929" t="s">
        <v>1218</v>
      </c>
      <c r="B929">
        <v>46002</v>
      </c>
      <c r="C929" t="s">
        <v>24</v>
      </c>
      <c r="D929" t="s">
        <v>31</v>
      </c>
      <c r="E929" t="s">
        <v>82</v>
      </c>
      <c r="F929" t="s">
        <v>150</v>
      </c>
      <c r="G929">
        <v>3</v>
      </c>
      <c r="H929">
        <v>2467.0300000000002</v>
      </c>
      <c r="I929">
        <v>1551.09</v>
      </c>
      <c r="J929" t="s">
        <v>16</v>
      </c>
    </row>
    <row r="930" spans="1:10">
      <c r="A930" t="s">
        <v>1219</v>
      </c>
      <c r="B930">
        <v>45697</v>
      </c>
      <c r="C930" t="s">
        <v>1220</v>
      </c>
      <c r="D930" t="s">
        <v>31</v>
      </c>
      <c r="E930" t="s">
        <v>20</v>
      </c>
      <c r="F930" t="s">
        <v>91</v>
      </c>
      <c r="G930">
        <v>6</v>
      </c>
      <c r="H930">
        <v>4860.97</v>
      </c>
      <c r="I930">
        <v>2950.89</v>
      </c>
      <c r="J930" t="s">
        <v>38</v>
      </c>
    </row>
    <row r="931" spans="1:10">
      <c r="A931" t="s">
        <v>1221</v>
      </c>
      <c r="B931">
        <v>45842</v>
      </c>
      <c r="C931" t="s">
        <v>259</v>
      </c>
      <c r="D931" t="s">
        <v>19</v>
      </c>
      <c r="E931" t="s">
        <v>32</v>
      </c>
      <c r="F931" t="s">
        <v>180</v>
      </c>
      <c r="G931">
        <v>5</v>
      </c>
      <c r="H931">
        <v>2371.71</v>
      </c>
      <c r="I931">
        <v>1868.66</v>
      </c>
      <c r="J931" t="s">
        <v>28</v>
      </c>
    </row>
    <row r="932" spans="1:10">
      <c r="A932" t="s">
        <v>1222</v>
      </c>
      <c r="B932">
        <v>45872</v>
      </c>
      <c r="C932" t="s">
        <v>1223</v>
      </c>
      <c r="D932" t="s">
        <v>41</v>
      </c>
      <c r="E932" t="s">
        <v>26</v>
      </c>
      <c r="F932" t="s">
        <v>350</v>
      </c>
      <c r="G932">
        <v>1</v>
      </c>
      <c r="H932">
        <v>2062.56</v>
      </c>
      <c r="I932">
        <v>1265.03</v>
      </c>
      <c r="J932" t="s">
        <v>38</v>
      </c>
    </row>
    <row r="933" spans="1:10">
      <c r="A933" t="s">
        <v>1224</v>
      </c>
      <c r="B933">
        <v>45849</v>
      </c>
      <c r="C933" t="s">
        <v>48</v>
      </c>
      <c r="D933" t="s">
        <v>12</v>
      </c>
      <c r="E933" t="s">
        <v>26</v>
      </c>
      <c r="F933" t="s">
        <v>350</v>
      </c>
      <c r="G933">
        <v>5</v>
      </c>
      <c r="H933">
        <v>1205.44</v>
      </c>
      <c r="I933">
        <v>674.12</v>
      </c>
      <c r="J933" t="s">
        <v>71</v>
      </c>
    </row>
    <row r="934" spans="1:10">
      <c r="A934" t="s">
        <v>1225</v>
      </c>
      <c r="B934">
        <v>45731</v>
      </c>
      <c r="C934" t="s">
        <v>135</v>
      </c>
      <c r="D934" t="s">
        <v>81</v>
      </c>
      <c r="E934" t="s">
        <v>20</v>
      </c>
      <c r="F934" t="s">
        <v>14</v>
      </c>
      <c r="G934">
        <v>2</v>
      </c>
      <c r="H934">
        <v>2845.17</v>
      </c>
      <c r="I934">
        <v>1992.07</v>
      </c>
      <c r="J934" t="s">
        <v>28</v>
      </c>
    </row>
    <row r="935" spans="1:10">
      <c r="A935" t="s">
        <v>1226</v>
      </c>
      <c r="B935">
        <v>45886</v>
      </c>
      <c r="C935" t="s">
        <v>18</v>
      </c>
      <c r="D935" t="s">
        <v>31</v>
      </c>
      <c r="E935" t="s">
        <v>32</v>
      </c>
      <c r="F935" t="s">
        <v>52</v>
      </c>
      <c r="G935">
        <v>4</v>
      </c>
      <c r="H935">
        <v>1878.57</v>
      </c>
      <c r="I935">
        <v>1302.2</v>
      </c>
      <c r="J935" t="s">
        <v>71</v>
      </c>
    </row>
    <row r="936" spans="1:10">
      <c r="A936" t="s">
        <v>1227</v>
      </c>
      <c r="B936">
        <v>45779</v>
      </c>
      <c r="C936" t="s">
        <v>108</v>
      </c>
      <c r="D936" t="s">
        <v>57</v>
      </c>
      <c r="E936" t="s">
        <v>82</v>
      </c>
      <c r="F936" t="s">
        <v>83</v>
      </c>
      <c r="G936">
        <v>5</v>
      </c>
      <c r="H936">
        <v>4973.38</v>
      </c>
      <c r="I936">
        <v>2812.46</v>
      </c>
      <c r="J936" t="s">
        <v>28</v>
      </c>
    </row>
    <row r="937" spans="1:10">
      <c r="A937" t="s">
        <v>1228</v>
      </c>
      <c r="B937">
        <v>46010</v>
      </c>
      <c r="C937" t="s">
        <v>129</v>
      </c>
      <c r="D937" t="s">
        <v>41</v>
      </c>
      <c r="E937" t="s">
        <v>32</v>
      </c>
      <c r="F937" t="s">
        <v>163</v>
      </c>
      <c r="G937">
        <v>6</v>
      </c>
      <c r="H937">
        <v>1801.85</v>
      </c>
      <c r="I937">
        <v>1378.05</v>
      </c>
      <c r="J937" t="s">
        <v>28</v>
      </c>
    </row>
    <row r="938" spans="1:10">
      <c r="A938" t="s">
        <v>1229</v>
      </c>
      <c r="B938">
        <v>45853</v>
      </c>
      <c r="C938" t="s">
        <v>135</v>
      </c>
      <c r="D938" t="s">
        <v>41</v>
      </c>
      <c r="E938" t="s">
        <v>26</v>
      </c>
      <c r="F938" t="s">
        <v>79</v>
      </c>
      <c r="G938">
        <v>6</v>
      </c>
      <c r="H938">
        <v>602.12</v>
      </c>
      <c r="I938">
        <v>377.63</v>
      </c>
      <c r="J938" t="s">
        <v>16</v>
      </c>
    </row>
    <row r="939" spans="1:10">
      <c r="A939" t="s">
        <v>1230</v>
      </c>
      <c r="B939">
        <v>45871</v>
      </c>
      <c r="C939" t="s">
        <v>67</v>
      </c>
      <c r="D939" t="s">
        <v>57</v>
      </c>
      <c r="E939" t="s">
        <v>36</v>
      </c>
      <c r="F939" t="s">
        <v>113</v>
      </c>
      <c r="G939">
        <v>4</v>
      </c>
      <c r="H939">
        <v>14164.36</v>
      </c>
      <c r="I939">
        <v>9568.3799999999992</v>
      </c>
      <c r="J939" t="s">
        <v>28</v>
      </c>
    </row>
    <row r="940" spans="1:10">
      <c r="A940" t="s">
        <v>1231</v>
      </c>
      <c r="B940">
        <v>45727</v>
      </c>
      <c r="C940" t="s">
        <v>251</v>
      </c>
      <c r="D940" t="s">
        <v>19</v>
      </c>
      <c r="E940" t="s">
        <v>32</v>
      </c>
      <c r="F940" t="s">
        <v>163</v>
      </c>
      <c r="G940">
        <v>6</v>
      </c>
      <c r="H940">
        <v>575.61</v>
      </c>
      <c r="I940">
        <v>368.38</v>
      </c>
      <c r="J940" t="s">
        <v>28</v>
      </c>
    </row>
    <row r="941" spans="1:10">
      <c r="A941" t="s">
        <v>1232</v>
      </c>
      <c r="B941">
        <v>45953</v>
      </c>
      <c r="C941" t="s">
        <v>108</v>
      </c>
      <c r="D941" t="s">
        <v>41</v>
      </c>
      <c r="E941" t="s">
        <v>82</v>
      </c>
      <c r="F941" t="s">
        <v>109</v>
      </c>
      <c r="G941">
        <v>3</v>
      </c>
      <c r="H941">
        <v>6863.86</v>
      </c>
      <c r="I941">
        <v>4419.78</v>
      </c>
      <c r="J941" t="s">
        <v>22</v>
      </c>
    </row>
    <row r="942" spans="1:10">
      <c r="A942" t="s">
        <v>1233</v>
      </c>
      <c r="B942">
        <v>45914</v>
      </c>
      <c r="C942" t="s">
        <v>195</v>
      </c>
      <c r="D942" t="s">
        <v>312</v>
      </c>
      <c r="E942" t="s">
        <v>20</v>
      </c>
      <c r="F942" t="s">
        <v>191</v>
      </c>
      <c r="G942">
        <v>2</v>
      </c>
      <c r="H942">
        <v>2682.32</v>
      </c>
      <c r="I942">
        <v>1919.78</v>
      </c>
      <c r="J942" t="s">
        <v>71</v>
      </c>
    </row>
    <row r="943" spans="1:10">
      <c r="A943" t="s">
        <v>1234</v>
      </c>
      <c r="B943">
        <v>45698</v>
      </c>
      <c r="C943" t="s">
        <v>119</v>
      </c>
      <c r="D943" t="s">
        <v>57</v>
      </c>
      <c r="E943" t="s">
        <v>13</v>
      </c>
      <c r="F943" t="s">
        <v>196</v>
      </c>
      <c r="G943">
        <v>7</v>
      </c>
      <c r="H943">
        <v>4487.4399999999996</v>
      </c>
      <c r="I943">
        <v>2929.32</v>
      </c>
      <c r="J943" t="s">
        <v>71</v>
      </c>
    </row>
    <row r="944" spans="1:10">
      <c r="A944" t="s">
        <v>1235</v>
      </c>
      <c r="B944">
        <v>45669</v>
      </c>
      <c r="C944" t="s">
        <v>56</v>
      </c>
      <c r="D944" t="s">
        <v>31</v>
      </c>
      <c r="E944" t="s">
        <v>78</v>
      </c>
      <c r="F944" t="s">
        <v>27</v>
      </c>
      <c r="G944">
        <v>2</v>
      </c>
      <c r="H944">
        <v>892.69</v>
      </c>
      <c r="I944">
        <v>681.28</v>
      </c>
      <c r="J944" t="s">
        <v>71</v>
      </c>
    </row>
    <row r="945" spans="1:10">
      <c r="A945" t="s">
        <v>1236</v>
      </c>
      <c r="B945">
        <v>45914</v>
      </c>
      <c r="C945" t="s">
        <v>48</v>
      </c>
      <c r="D945" t="s">
        <v>57</v>
      </c>
      <c r="E945" t="s">
        <v>36</v>
      </c>
      <c r="F945" t="s">
        <v>37</v>
      </c>
      <c r="G945">
        <v>6</v>
      </c>
      <c r="H945">
        <v>9303.86</v>
      </c>
      <c r="I945">
        <v>7959.25</v>
      </c>
      <c r="J945" t="s">
        <v>28</v>
      </c>
    </row>
    <row r="946" spans="1:10">
      <c r="A946" t="s">
        <v>1237</v>
      </c>
      <c r="B946">
        <v>45952</v>
      </c>
      <c r="C946" t="s">
        <v>48</v>
      </c>
      <c r="D946" t="s">
        <v>31</v>
      </c>
      <c r="E946" t="s">
        <v>26</v>
      </c>
      <c r="F946" t="s">
        <v>103</v>
      </c>
      <c r="G946">
        <v>6</v>
      </c>
      <c r="H946">
        <v>2126.79</v>
      </c>
      <c r="I946">
        <v>1711.93</v>
      </c>
      <c r="J946" t="s">
        <v>22</v>
      </c>
    </row>
    <row r="947" spans="1:10">
      <c r="A947" t="s">
        <v>1238</v>
      </c>
      <c r="B947">
        <v>45982</v>
      </c>
      <c r="C947" t="s">
        <v>115</v>
      </c>
      <c r="D947" t="s">
        <v>19</v>
      </c>
      <c r="E947" t="s">
        <v>122</v>
      </c>
      <c r="F947" t="s">
        <v>93</v>
      </c>
      <c r="G947">
        <v>4</v>
      </c>
      <c r="H947">
        <v>12475.21</v>
      </c>
      <c r="I947">
        <v>7807.95</v>
      </c>
      <c r="J947" t="s">
        <v>22</v>
      </c>
    </row>
    <row r="948" spans="1:10">
      <c r="A948" t="s">
        <v>1239</v>
      </c>
      <c r="B948">
        <v>45952</v>
      </c>
      <c r="C948" t="s">
        <v>1240</v>
      </c>
      <c r="D948" t="s">
        <v>31</v>
      </c>
      <c r="E948" t="s">
        <v>26</v>
      </c>
      <c r="F948" t="s">
        <v>79</v>
      </c>
      <c r="G948">
        <v>5</v>
      </c>
      <c r="H948">
        <v>2506.12</v>
      </c>
      <c r="I948">
        <v>2177.31</v>
      </c>
      <c r="J948" t="s">
        <v>38</v>
      </c>
    </row>
    <row r="949" spans="1:10">
      <c r="A949" t="s">
        <v>1241</v>
      </c>
      <c r="B949">
        <v>45799</v>
      </c>
      <c r="C949" t="s">
        <v>85</v>
      </c>
      <c r="D949" t="s">
        <v>63</v>
      </c>
      <c r="E949" t="s">
        <v>82</v>
      </c>
      <c r="F949" t="s">
        <v>137</v>
      </c>
      <c r="G949">
        <v>7</v>
      </c>
      <c r="H949">
        <v>3835.92</v>
      </c>
      <c r="I949">
        <v>3019.23</v>
      </c>
      <c r="J949" t="s">
        <v>71</v>
      </c>
    </row>
    <row r="950" spans="1:10">
      <c r="A950" t="s">
        <v>1242</v>
      </c>
      <c r="B950">
        <v>45952</v>
      </c>
      <c r="C950" t="s">
        <v>48</v>
      </c>
      <c r="D950" t="s">
        <v>31</v>
      </c>
      <c r="E950" t="s">
        <v>26</v>
      </c>
      <c r="F950" t="s">
        <v>103</v>
      </c>
      <c r="G950">
        <v>6</v>
      </c>
      <c r="H950">
        <v>2126.79</v>
      </c>
      <c r="I950">
        <v>1711.93</v>
      </c>
      <c r="J950" t="s">
        <v>22</v>
      </c>
    </row>
    <row r="951" spans="1:10">
      <c r="A951" t="s">
        <v>1243</v>
      </c>
      <c r="B951">
        <v>45977</v>
      </c>
      <c r="C951" t="s">
        <v>108</v>
      </c>
      <c r="D951" t="s">
        <v>63</v>
      </c>
      <c r="E951" t="s">
        <v>82</v>
      </c>
      <c r="F951" t="s">
        <v>83</v>
      </c>
      <c r="G951">
        <v>3</v>
      </c>
      <c r="H951">
        <v>3399</v>
      </c>
      <c r="I951">
        <v>2345.1799999999998</v>
      </c>
      <c r="J951" t="s">
        <v>28</v>
      </c>
    </row>
    <row r="952" spans="1:10">
      <c r="A952" t="s">
        <v>1244</v>
      </c>
      <c r="B952">
        <v>45913</v>
      </c>
      <c r="C952" t="s">
        <v>74</v>
      </c>
      <c r="D952" t="s">
        <v>57</v>
      </c>
      <c r="E952" t="s">
        <v>26</v>
      </c>
      <c r="F952" t="s">
        <v>103</v>
      </c>
      <c r="G952">
        <v>8</v>
      </c>
      <c r="H952">
        <v>729.13</v>
      </c>
      <c r="I952">
        <v>469.21</v>
      </c>
      <c r="J952" t="s">
        <v>16</v>
      </c>
    </row>
    <row r="953" spans="1:10">
      <c r="A953" t="s">
        <v>1245</v>
      </c>
      <c r="B953">
        <v>45919</v>
      </c>
      <c r="C953" t="s">
        <v>129</v>
      </c>
      <c r="D953" t="s">
        <v>19</v>
      </c>
      <c r="E953" t="s">
        <v>82</v>
      </c>
      <c r="F953" t="s">
        <v>97</v>
      </c>
      <c r="G953">
        <v>4</v>
      </c>
      <c r="H953">
        <v>4940.34</v>
      </c>
      <c r="I953">
        <v>3797.46</v>
      </c>
      <c r="J953" t="s">
        <v>16</v>
      </c>
    </row>
    <row r="954" spans="1:10">
      <c r="A954" t="s">
        <v>1246</v>
      </c>
      <c r="B954">
        <v>45924</v>
      </c>
      <c r="C954" t="s">
        <v>30</v>
      </c>
      <c r="D954" t="s">
        <v>19</v>
      </c>
      <c r="E954" t="s">
        <v>20</v>
      </c>
      <c r="F954" t="s">
        <v>91</v>
      </c>
      <c r="G954">
        <v>4</v>
      </c>
      <c r="H954">
        <v>2774.58</v>
      </c>
      <c r="I954">
        <v>1777.95</v>
      </c>
      <c r="J954" t="s">
        <v>38</v>
      </c>
    </row>
    <row r="955" spans="1:10">
      <c r="A955" t="s">
        <v>1247</v>
      </c>
      <c r="B955">
        <v>45771</v>
      </c>
      <c r="C955" t="s">
        <v>48</v>
      </c>
      <c r="D955" t="s">
        <v>19</v>
      </c>
      <c r="E955" t="s">
        <v>36</v>
      </c>
      <c r="F955" t="s">
        <v>88</v>
      </c>
      <c r="G955">
        <v>4</v>
      </c>
      <c r="H955">
        <v>15532.82</v>
      </c>
      <c r="I955">
        <v>8654.2900000000009</v>
      </c>
      <c r="J955" t="s">
        <v>22</v>
      </c>
    </row>
    <row r="956" spans="1:10">
      <c r="A956" t="s">
        <v>1248</v>
      </c>
      <c r="B956">
        <v>45988</v>
      </c>
      <c r="C956" t="s">
        <v>59</v>
      </c>
      <c r="D956" t="s">
        <v>63</v>
      </c>
      <c r="E956" t="s">
        <v>82</v>
      </c>
      <c r="F956" t="s">
        <v>155</v>
      </c>
      <c r="G956">
        <v>3</v>
      </c>
      <c r="H956">
        <v>4062.42</v>
      </c>
      <c r="I956">
        <v>2890.74</v>
      </c>
      <c r="J956" t="s">
        <v>71</v>
      </c>
    </row>
    <row r="957" spans="1:10">
      <c r="A957" t="s">
        <v>1249</v>
      </c>
      <c r="B957">
        <v>45895</v>
      </c>
      <c r="C957" t="s">
        <v>59</v>
      </c>
      <c r="D957" t="s">
        <v>63</v>
      </c>
      <c r="E957" t="s">
        <v>32</v>
      </c>
      <c r="F957" t="s">
        <v>33</v>
      </c>
      <c r="G957">
        <v>4</v>
      </c>
      <c r="I957">
        <v>586.91999999999996</v>
      </c>
      <c r="J957" t="s">
        <v>22</v>
      </c>
    </row>
    <row r="958" spans="1:10">
      <c r="A958" t="s">
        <v>1250</v>
      </c>
      <c r="B958">
        <v>45823</v>
      </c>
      <c r="C958" t="s">
        <v>121</v>
      </c>
      <c r="D958" t="s">
        <v>19</v>
      </c>
      <c r="E958" t="s">
        <v>82</v>
      </c>
      <c r="F958" t="s">
        <v>97</v>
      </c>
      <c r="G958">
        <v>1</v>
      </c>
      <c r="H958">
        <v>1151.32</v>
      </c>
      <c r="I958">
        <v>759.85</v>
      </c>
      <c r="J958" t="s">
        <v>28</v>
      </c>
    </row>
    <row r="959" spans="1:10">
      <c r="A959" t="s">
        <v>1251</v>
      </c>
      <c r="B959">
        <v>45783</v>
      </c>
      <c r="C959" t="s">
        <v>54</v>
      </c>
      <c r="D959" t="s">
        <v>577</v>
      </c>
      <c r="E959" t="s">
        <v>20</v>
      </c>
      <c r="F959" t="s">
        <v>196</v>
      </c>
      <c r="G959">
        <v>3</v>
      </c>
      <c r="H959">
        <v>3042.43</v>
      </c>
      <c r="I959">
        <v>1944.36</v>
      </c>
      <c r="J959" t="s">
        <v>38</v>
      </c>
    </row>
    <row r="960" spans="1:10">
      <c r="A960" t="s">
        <v>1252</v>
      </c>
      <c r="B960">
        <v>45939</v>
      </c>
      <c r="C960" t="s">
        <v>51</v>
      </c>
      <c r="D960" t="s">
        <v>31</v>
      </c>
      <c r="E960" t="s">
        <v>26</v>
      </c>
      <c r="F960" t="s">
        <v>106</v>
      </c>
      <c r="G960">
        <v>6</v>
      </c>
      <c r="H960">
        <v>1393.38</v>
      </c>
      <c r="I960">
        <v>975</v>
      </c>
      <c r="J960" t="s">
        <v>22</v>
      </c>
    </row>
    <row r="961" spans="1:10">
      <c r="A961" t="s">
        <v>1253</v>
      </c>
      <c r="B961">
        <v>45815</v>
      </c>
      <c r="C961" t="s">
        <v>105</v>
      </c>
      <c r="D961" t="s">
        <v>19</v>
      </c>
      <c r="E961" t="s">
        <v>32</v>
      </c>
      <c r="F961" t="s">
        <v>33</v>
      </c>
      <c r="G961">
        <v>2</v>
      </c>
      <c r="H961">
        <v>1140.21</v>
      </c>
      <c r="I961">
        <v>641.72</v>
      </c>
      <c r="J961" t="s">
        <v>16</v>
      </c>
    </row>
    <row r="962" spans="1:10">
      <c r="A962" t="s">
        <v>1254</v>
      </c>
      <c r="B962">
        <v>45974</v>
      </c>
      <c r="C962" t="s">
        <v>175</v>
      </c>
      <c r="D962" t="s">
        <v>57</v>
      </c>
      <c r="E962" t="s">
        <v>26</v>
      </c>
      <c r="F962" t="s">
        <v>106</v>
      </c>
      <c r="G962">
        <v>8</v>
      </c>
      <c r="H962">
        <v>1923.47</v>
      </c>
      <c r="I962">
        <v>1476.99</v>
      </c>
      <c r="J962" t="s">
        <v>16</v>
      </c>
    </row>
    <row r="963" spans="1:10">
      <c r="A963" t="s">
        <v>1255</v>
      </c>
      <c r="B963">
        <v>46005</v>
      </c>
      <c r="C963" t="s">
        <v>40</v>
      </c>
      <c r="D963" t="s">
        <v>63</v>
      </c>
      <c r="E963" t="s">
        <v>26</v>
      </c>
      <c r="F963" t="s">
        <v>131</v>
      </c>
      <c r="G963">
        <v>7</v>
      </c>
      <c r="H963">
        <v>2603.59</v>
      </c>
      <c r="I963">
        <v>2154.12</v>
      </c>
      <c r="J963" t="s">
        <v>71</v>
      </c>
    </row>
    <row r="964" spans="1:10">
      <c r="A964" t="s">
        <v>1256</v>
      </c>
      <c r="B964">
        <v>45795</v>
      </c>
      <c r="C964" t="s">
        <v>51</v>
      </c>
      <c r="D964" t="s">
        <v>57</v>
      </c>
      <c r="E964" t="s">
        <v>60</v>
      </c>
      <c r="F964" t="s">
        <v>42</v>
      </c>
      <c r="G964">
        <v>4</v>
      </c>
      <c r="H964">
        <v>13117.01</v>
      </c>
      <c r="I964">
        <v>9654.14</v>
      </c>
      <c r="J964" t="s">
        <v>38</v>
      </c>
    </row>
    <row r="965" spans="1:10">
      <c r="A965" t="s">
        <v>1257</v>
      </c>
      <c r="B965">
        <v>45777</v>
      </c>
      <c r="C965" t="s">
        <v>175</v>
      </c>
      <c r="D965" t="s">
        <v>63</v>
      </c>
      <c r="E965" t="s">
        <v>36</v>
      </c>
      <c r="F965" t="s">
        <v>42</v>
      </c>
      <c r="G965">
        <v>5</v>
      </c>
      <c r="H965" t="s">
        <v>1258</v>
      </c>
      <c r="I965">
        <v>10868.99</v>
      </c>
      <c r="J965" t="s">
        <v>71</v>
      </c>
    </row>
    <row r="966" spans="1:10">
      <c r="A966" t="s">
        <v>1259</v>
      </c>
      <c r="B966">
        <v>45911</v>
      </c>
      <c r="C966" t="s">
        <v>121</v>
      </c>
      <c r="D966" t="s">
        <v>57</v>
      </c>
      <c r="E966" t="s">
        <v>32</v>
      </c>
      <c r="F966" t="s">
        <v>99</v>
      </c>
      <c r="G966">
        <v>2</v>
      </c>
      <c r="H966">
        <v>1517.24</v>
      </c>
      <c r="I966">
        <v>968.61</v>
      </c>
      <c r="J966" t="s">
        <v>38</v>
      </c>
    </row>
    <row r="967" spans="1:10">
      <c r="A967" t="s">
        <v>1260</v>
      </c>
      <c r="B967">
        <v>45747</v>
      </c>
      <c r="C967" t="s">
        <v>56</v>
      </c>
      <c r="D967" t="s">
        <v>41</v>
      </c>
      <c r="E967" t="s">
        <v>20</v>
      </c>
      <c r="F967" t="s">
        <v>86</v>
      </c>
      <c r="G967">
        <v>2</v>
      </c>
      <c r="H967">
        <v>3852.2</v>
      </c>
      <c r="I967">
        <v>2605.0100000000002</v>
      </c>
      <c r="J967" t="s">
        <v>71</v>
      </c>
    </row>
    <row r="968" spans="1:10">
      <c r="A968" t="s">
        <v>1261</v>
      </c>
      <c r="B968">
        <v>45976</v>
      </c>
      <c r="C968" t="s">
        <v>56</v>
      </c>
      <c r="D968" t="s">
        <v>57</v>
      </c>
      <c r="E968" t="s">
        <v>32</v>
      </c>
      <c r="F968" t="s">
        <v>99</v>
      </c>
      <c r="G968">
        <v>1</v>
      </c>
      <c r="H968">
        <v>1600.69</v>
      </c>
      <c r="I968">
        <v>1227.8599999999999</v>
      </c>
      <c r="J968" t="s">
        <v>22</v>
      </c>
    </row>
    <row r="969" spans="1:10">
      <c r="A969" t="s">
        <v>1262</v>
      </c>
      <c r="B969">
        <v>45881</v>
      </c>
      <c r="C969" t="s">
        <v>133</v>
      </c>
      <c r="D969" t="s">
        <v>31</v>
      </c>
      <c r="E969" t="s">
        <v>20</v>
      </c>
      <c r="F969" t="s">
        <v>86</v>
      </c>
      <c r="G969">
        <v>5</v>
      </c>
      <c r="H969">
        <v>4741.99</v>
      </c>
      <c r="I969">
        <v>3784.21</v>
      </c>
      <c r="J969" t="s">
        <v>22</v>
      </c>
    </row>
    <row r="970" spans="1:10">
      <c r="A970" t="s">
        <v>1263</v>
      </c>
      <c r="B970">
        <v>45826</v>
      </c>
      <c r="C970" t="s">
        <v>24</v>
      </c>
      <c r="D970" t="s">
        <v>57</v>
      </c>
      <c r="E970" t="s">
        <v>20</v>
      </c>
      <c r="F970" t="s">
        <v>86</v>
      </c>
      <c r="G970">
        <v>5</v>
      </c>
      <c r="H970">
        <v>845.64</v>
      </c>
      <c r="I970">
        <v>639.6</v>
      </c>
      <c r="J970" t="s">
        <v>16</v>
      </c>
    </row>
    <row r="971" spans="1:10">
      <c r="A971" t="s">
        <v>1264</v>
      </c>
      <c r="B971">
        <v>45866</v>
      </c>
      <c r="C971" t="s">
        <v>56</v>
      </c>
      <c r="D971" t="s">
        <v>63</v>
      </c>
      <c r="E971" t="s">
        <v>20</v>
      </c>
      <c r="F971" t="s">
        <v>191</v>
      </c>
      <c r="G971">
        <v>4</v>
      </c>
      <c r="H971">
        <v>1018.79</v>
      </c>
      <c r="I971">
        <v>781.88</v>
      </c>
      <c r="J971" t="s">
        <v>22</v>
      </c>
    </row>
    <row r="972" spans="1:10">
      <c r="A972" t="s">
        <v>1265</v>
      </c>
      <c r="B972">
        <v>45943</v>
      </c>
      <c r="C972" t="s">
        <v>254</v>
      </c>
      <c r="D972" t="s">
        <v>41</v>
      </c>
      <c r="E972" t="s">
        <v>20</v>
      </c>
      <c r="F972" t="s">
        <v>252</v>
      </c>
      <c r="G972">
        <v>7</v>
      </c>
      <c r="H972">
        <v>4603.6000000000004</v>
      </c>
      <c r="I972">
        <v>3696.11</v>
      </c>
      <c r="J972" t="s">
        <v>38</v>
      </c>
    </row>
    <row r="973" spans="1:10">
      <c r="A973" t="s">
        <v>1266</v>
      </c>
      <c r="B973">
        <v>46013</v>
      </c>
      <c r="C973" t="s">
        <v>162</v>
      </c>
      <c r="D973" t="s">
        <v>41</v>
      </c>
      <c r="E973" t="s">
        <v>20</v>
      </c>
      <c r="F973" t="s">
        <v>86</v>
      </c>
      <c r="G973">
        <v>1</v>
      </c>
      <c r="H973">
        <v>2156.14</v>
      </c>
      <c r="I973">
        <v>1656.67</v>
      </c>
      <c r="J973" t="s">
        <v>38</v>
      </c>
    </row>
    <row r="974" spans="1:10">
      <c r="A974" t="s">
        <v>1267</v>
      </c>
      <c r="B974">
        <v>45959</v>
      </c>
      <c r="C974" t="s">
        <v>30</v>
      </c>
      <c r="D974" t="s">
        <v>63</v>
      </c>
      <c r="E974" t="s">
        <v>32</v>
      </c>
      <c r="F974" t="s">
        <v>101</v>
      </c>
      <c r="G974">
        <v>2</v>
      </c>
      <c r="H974">
        <v>1178.6300000000001</v>
      </c>
      <c r="I974">
        <v>747.24</v>
      </c>
      <c r="J974" t="s">
        <v>71</v>
      </c>
    </row>
    <row r="975" spans="1:10">
      <c r="A975" t="s">
        <v>1268</v>
      </c>
      <c r="B975">
        <v>45936</v>
      </c>
      <c r="C975" t="s">
        <v>782</v>
      </c>
      <c r="D975" t="s">
        <v>63</v>
      </c>
      <c r="E975" t="s">
        <v>82</v>
      </c>
      <c r="F975" t="s">
        <v>137</v>
      </c>
      <c r="G975">
        <v>4</v>
      </c>
      <c r="H975">
        <v>1542.36</v>
      </c>
      <c r="I975">
        <v>1189.1099999999999</v>
      </c>
      <c r="J975" t="s">
        <v>38</v>
      </c>
    </row>
    <row r="976" spans="1:10">
      <c r="A976" t="s">
        <v>1269</v>
      </c>
      <c r="B976">
        <v>45682</v>
      </c>
      <c r="C976" t="s">
        <v>129</v>
      </c>
      <c r="D976" t="s">
        <v>12</v>
      </c>
      <c r="E976" t="s">
        <v>36</v>
      </c>
      <c r="F976" t="s">
        <v>42</v>
      </c>
      <c r="G976">
        <v>1</v>
      </c>
      <c r="H976">
        <v>7951.91</v>
      </c>
      <c r="I976">
        <v>6584.5</v>
      </c>
      <c r="J976" t="s">
        <v>71</v>
      </c>
    </row>
    <row r="977" spans="1:10">
      <c r="A977" t="s">
        <v>1270</v>
      </c>
      <c r="B977">
        <v>45954</v>
      </c>
      <c r="C977" t="s">
        <v>70</v>
      </c>
      <c r="D977" t="s">
        <v>41</v>
      </c>
      <c r="E977" t="s">
        <v>82</v>
      </c>
      <c r="F977" t="s">
        <v>109</v>
      </c>
      <c r="G977">
        <v>4</v>
      </c>
      <c r="H977">
        <v>6503.78</v>
      </c>
      <c r="I977">
        <v>3656.23</v>
      </c>
      <c r="J977" t="s">
        <v>71</v>
      </c>
    </row>
    <row r="978" spans="1:10">
      <c r="A978" t="s">
        <v>1271</v>
      </c>
      <c r="B978">
        <v>46001</v>
      </c>
      <c r="C978" t="s">
        <v>59</v>
      </c>
      <c r="D978" t="s">
        <v>41</v>
      </c>
      <c r="E978" t="s">
        <v>36</v>
      </c>
      <c r="F978" t="s">
        <v>42</v>
      </c>
      <c r="G978">
        <v>6</v>
      </c>
      <c r="H978">
        <v>8537.3700000000008</v>
      </c>
      <c r="I978">
        <v>5442.75</v>
      </c>
      <c r="J978" t="s">
        <v>71</v>
      </c>
    </row>
    <row r="979" spans="1:10">
      <c r="A979" t="s">
        <v>1272</v>
      </c>
      <c r="B979">
        <v>45828</v>
      </c>
      <c r="C979" t="s">
        <v>175</v>
      </c>
      <c r="D979" t="s">
        <v>63</v>
      </c>
      <c r="E979" t="s">
        <v>96</v>
      </c>
      <c r="F979" t="s">
        <v>155</v>
      </c>
      <c r="G979">
        <v>3</v>
      </c>
      <c r="H979">
        <v>5694.13</v>
      </c>
      <c r="I979">
        <v>4360.59</v>
      </c>
      <c r="J979" t="s">
        <v>71</v>
      </c>
    </row>
    <row r="980" spans="1:10">
      <c r="A980" t="s">
        <v>1273</v>
      </c>
      <c r="B980">
        <v>46013</v>
      </c>
      <c r="C980" t="s">
        <v>121</v>
      </c>
      <c r="D980" t="s">
        <v>12</v>
      </c>
      <c r="E980" t="s">
        <v>82</v>
      </c>
      <c r="F980" t="s">
        <v>150</v>
      </c>
      <c r="G980">
        <v>4</v>
      </c>
      <c r="H980">
        <v>5288.72</v>
      </c>
      <c r="I980">
        <v>3602.53</v>
      </c>
      <c r="J980" t="s">
        <v>38</v>
      </c>
    </row>
    <row r="981" spans="1:10">
      <c r="A981" t="s">
        <v>1274</v>
      </c>
      <c r="B981">
        <v>45724</v>
      </c>
      <c r="C981" t="s">
        <v>40</v>
      </c>
      <c r="D981" t="s">
        <v>63</v>
      </c>
      <c r="E981" t="s">
        <v>32</v>
      </c>
      <c r="F981" t="s">
        <v>52</v>
      </c>
      <c r="G981">
        <v>7</v>
      </c>
      <c r="H981">
        <v>1424.94</v>
      </c>
      <c r="I981">
        <v>891.92</v>
      </c>
      <c r="J981" t="s">
        <v>38</v>
      </c>
    </row>
    <row r="982" spans="1:10">
      <c r="A982" t="s">
        <v>1275</v>
      </c>
      <c r="B982">
        <v>45841</v>
      </c>
      <c r="C982" t="s">
        <v>117</v>
      </c>
      <c r="D982" t="s">
        <v>19</v>
      </c>
      <c r="E982" t="s">
        <v>36</v>
      </c>
      <c r="F982" t="s">
        <v>88</v>
      </c>
      <c r="G982">
        <v>6</v>
      </c>
      <c r="H982">
        <v>8264.74</v>
      </c>
      <c r="I982">
        <v>5211.62</v>
      </c>
      <c r="J982" t="s">
        <v>28</v>
      </c>
    </row>
    <row r="983" spans="1:10">
      <c r="A983" t="s">
        <v>1276</v>
      </c>
      <c r="B983">
        <v>45794</v>
      </c>
      <c r="C983" t="s">
        <v>215</v>
      </c>
      <c r="D983" t="s">
        <v>57</v>
      </c>
      <c r="E983" t="s">
        <v>20</v>
      </c>
      <c r="F983" t="s">
        <v>86</v>
      </c>
      <c r="G983">
        <v>5</v>
      </c>
      <c r="H983">
        <v>4605.4399999999996</v>
      </c>
      <c r="I983">
        <v>3113.67</v>
      </c>
      <c r="J983" t="s">
        <v>28</v>
      </c>
    </row>
    <row r="984" spans="1:10">
      <c r="A984" t="s">
        <v>1277</v>
      </c>
      <c r="B984">
        <v>45764</v>
      </c>
      <c r="C984" t="s">
        <v>70</v>
      </c>
      <c r="D984" t="s">
        <v>41</v>
      </c>
      <c r="E984" t="s">
        <v>36</v>
      </c>
      <c r="F984" t="s">
        <v>42</v>
      </c>
      <c r="G984">
        <v>7</v>
      </c>
      <c r="H984">
        <v>7980.1</v>
      </c>
      <c r="I984">
        <v>5268.07</v>
      </c>
      <c r="J984" t="s">
        <v>38</v>
      </c>
    </row>
    <row r="985" spans="1:10">
      <c r="A985" t="s">
        <v>1278</v>
      </c>
      <c r="B985">
        <v>45773</v>
      </c>
      <c r="C985" t="s">
        <v>220</v>
      </c>
      <c r="D985" t="s">
        <v>31</v>
      </c>
      <c r="E985" t="s">
        <v>32</v>
      </c>
      <c r="F985" t="s">
        <v>1279</v>
      </c>
      <c r="G985">
        <v>5</v>
      </c>
      <c r="H985">
        <v>2172.34</v>
      </c>
      <c r="I985">
        <v>1298.27</v>
      </c>
      <c r="J985" t="s">
        <v>28</v>
      </c>
    </row>
    <row r="986" spans="1:10">
      <c r="A986" t="s">
        <v>1280</v>
      </c>
      <c r="B986">
        <v>45754</v>
      </c>
      <c r="C986" t="s">
        <v>18</v>
      </c>
      <c r="D986" t="s">
        <v>31</v>
      </c>
      <c r="E986" t="s">
        <v>82</v>
      </c>
      <c r="F986" t="s">
        <v>97</v>
      </c>
      <c r="G986">
        <v>7</v>
      </c>
      <c r="H986">
        <v>2350.58</v>
      </c>
      <c r="I986">
        <v>1335.15</v>
      </c>
      <c r="J986" t="s">
        <v>71</v>
      </c>
    </row>
    <row r="987" spans="1:10">
      <c r="A987" t="s">
        <v>1281</v>
      </c>
      <c r="B987" t="s">
        <v>1282</v>
      </c>
      <c r="C987" t="s">
        <v>135</v>
      </c>
      <c r="D987" t="s">
        <v>63</v>
      </c>
      <c r="E987" t="s">
        <v>26</v>
      </c>
      <c r="F987" t="s">
        <v>103</v>
      </c>
      <c r="G987">
        <v>4</v>
      </c>
      <c r="H987">
        <v>1825.99</v>
      </c>
      <c r="I987">
        <v>1485.98</v>
      </c>
      <c r="J987" t="s">
        <v>16</v>
      </c>
    </row>
    <row r="988" spans="1:10">
      <c r="A988" t="s">
        <v>1283</v>
      </c>
      <c r="B988">
        <v>45702</v>
      </c>
      <c r="C988" t="s">
        <v>386</v>
      </c>
      <c r="D988" t="s">
        <v>19</v>
      </c>
      <c r="E988" t="s">
        <v>36</v>
      </c>
      <c r="F988" t="s">
        <v>46</v>
      </c>
      <c r="G988">
        <v>3</v>
      </c>
      <c r="H988">
        <v>8269.75</v>
      </c>
      <c r="I988">
        <v>6068.38</v>
      </c>
      <c r="J988" t="s">
        <v>38</v>
      </c>
    </row>
    <row r="989" spans="1:10">
      <c r="A989" t="s">
        <v>1284</v>
      </c>
      <c r="B989">
        <v>45788</v>
      </c>
      <c r="C989" t="s">
        <v>11</v>
      </c>
      <c r="D989" t="s">
        <v>57</v>
      </c>
      <c r="E989" t="s">
        <v>20</v>
      </c>
      <c r="F989" t="s">
        <v>196</v>
      </c>
      <c r="G989">
        <v>1</v>
      </c>
      <c r="H989">
        <v>2318.1</v>
      </c>
      <c r="I989">
        <v>1817.85</v>
      </c>
      <c r="J989" t="s">
        <v>71</v>
      </c>
    </row>
    <row r="990" spans="1:10">
      <c r="A990" t="s">
        <v>1285</v>
      </c>
      <c r="B990">
        <v>45989</v>
      </c>
      <c r="C990" t="s">
        <v>135</v>
      </c>
      <c r="D990" t="s">
        <v>81</v>
      </c>
      <c r="E990" t="s">
        <v>36</v>
      </c>
      <c r="F990" t="s">
        <v>42</v>
      </c>
      <c r="G990">
        <v>6</v>
      </c>
      <c r="H990">
        <v>2027.09</v>
      </c>
      <c r="I990">
        <v>1178.1199999999999</v>
      </c>
      <c r="J990" t="s">
        <v>28</v>
      </c>
    </row>
    <row r="991" spans="1:10">
      <c r="A991" t="s">
        <v>1286</v>
      </c>
      <c r="B991">
        <v>45944</v>
      </c>
      <c r="C991" t="s">
        <v>121</v>
      </c>
      <c r="D991" t="s">
        <v>63</v>
      </c>
      <c r="E991" t="s">
        <v>26</v>
      </c>
      <c r="F991" t="s">
        <v>103</v>
      </c>
      <c r="G991">
        <v>1</v>
      </c>
      <c r="H991">
        <v>2136.58</v>
      </c>
      <c r="I991">
        <v>1358.64</v>
      </c>
      <c r="J991" t="s">
        <v>38</v>
      </c>
    </row>
    <row r="992" spans="1:10">
      <c r="A992" t="s">
        <v>1287</v>
      </c>
      <c r="B992">
        <v>45733</v>
      </c>
      <c r="C992" t="s">
        <v>59</v>
      </c>
      <c r="D992" t="s">
        <v>19</v>
      </c>
      <c r="E992" t="s">
        <v>36</v>
      </c>
      <c r="F992" t="s">
        <v>42</v>
      </c>
      <c r="G992">
        <v>8</v>
      </c>
      <c r="H992">
        <v>3473.52</v>
      </c>
      <c r="I992">
        <v>2144.5700000000002</v>
      </c>
      <c r="J992" t="s">
        <v>16</v>
      </c>
    </row>
    <row r="993" spans="1:10">
      <c r="A993" t="s">
        <v>1288</v>
      </c>
      <c r="B993">
        <v>45815</v>
      </c>
      <c r="C993" t="s">
        <v>48</v>
      </c>
      <c r="D993" t="s">
        <v>41</v>
      </c>
      <c r="E993" t="s">
        <v>82</v>
      </c>
      <c r="F993" t="s">
        <v>150</v>
      </c>
      <c r="G993">
        <v>1</v>
      </c>
      <c r="H993">
        <v>3050.76</v>
      </c>
      <c r="I993">
        <v>2524.4699999999998</v>
      </c>
      <c r="J993" t="s">
        <v>28</v>
      </c>
    </row>
    <row r="994" spans="1:10">
      <c r="A994" t="s">
        <v>1289</v>
      </c>
      <c r="B994">
        <v>45961</v>
      </c>
      <c r="C994" t="s">
        <v>54</v>
      </c>
      <c r="D994" t="s">
        <v>31</v>
      </c>
      <c r="E994" t="s">
        <v>122</v>
      </c>
      <c r="F994" t="s">
        <v>93</v>
      </c>
      <c r="G994">
        <v>1</v>
      </c>
      <c r="H994">
        <v>2335.5</v>
      </c>
      <c r="I994">
        <v>1614.86</v>
      </c>
      <c r="J994" t="s">
        <v>28</v>
      </c>
    </row>
    <row r="995" spans="1:10">
      <c r="A995" t="s">
        <v>1290</v>
      </c>
      <c r="B995">
        <v>45917</v>
      </c>
      <c r="C995" t="s">
        <v>115</v>
      </c>
      <c r="D995" t="s">
        <v>31</v>
      </c>
      <c r="E995" t="s">
        <v>26</v>
      </c>
      <c r="F995" t="s">
        <v>79</v>
      </c>
      <c r="G995">
        <v>4</v>
      </c>
      <c r="H995">
        <v>1758.7</v>
      </c>
      <c r="I995">
        <v>1330.87</v>
      </c>
    </row>
    <row r="996" spans="1:10">
      <c r="A996" t="s">
        <v>1291</v>
      </c>
      <c r="B996">
        <v>45733</v>
      </c>
      <c r="C996" t="s">
        <v>11</v>
      </c>
      <c r="D996" t="s">
        <v>31</v>
      </c>
      <c r="E996" t="s">
        <v>32</v>
      </c>
      <c r="F996" t="s">
        <v>163</v>
      </c>
      <c r="G996">
        <v>5</v>
      </c>
      <c r="H996">
        <v>769.05</v>
      </c>
      <c r="I996">
        <v>569.75</v>
      </c>
      <c r="J996" t="s">
        <v>71</v>
      </c>
    </row>
    <row r="997" spans="1:10">
      <c r="A997" t="s">
        <v>1292</v>
      </c>
      <c r="B997">
        <v>46009</v>
      </c>
      <c r="C997" t="s">
        <v>124</v>
      </c>
      <c r="D997" t="s">
        <v>31</v>
      </c>
      <c r="E997" t="s">
        <v>36</v>
      </c>
      <c r="F997" t="s">
        <v>88</v>
      </c>
      <c r="G997">
        <v>5</v>
      </c>
      <c r="H997">
        <v>11272.28</v>
      </c>
      <c r="I997">
        <v>7246.96</v>
      </c>
      <c r="J997" t="s">
        <v>28</v>
      </c>
    </row>
    <row r="998" spans="1:10">
      <c r="A998" t="s">
        <v>1293</v>
      </c>
      <c r="B998">
        <v>45755</v>
      </c>
      <c r="C998" t="s">
        <v>115</v>
      </c>
      <c r="D998" t="s">
        <v>12</v>
      </c>
      <c r="E998" t="s">
        <v>96</v>
      </c>
      <c r="F998" t="s">
        <v>155</v>
      </c>
      <c r="G998">
        <v>4</v>
      </c>
      <c r="H998">
        <v>5050.76</v>
      </c>
      <c r="I998">
        <v>4320.5</v>
      </c>
      <c r="J998" t="s">
        <v>16</v>
      </c>
    </row>
    <row r="999" spans="1:10">
      <c r="A999" t="s">
        <v>1294</v>
      </c>
      <c r="B999">
        <v>45932</v>
      </c>
      <c r="C999" t="s">
        <v>133</v>
      </c>
      <c r="D999" t="s">
        <v>57</v>
      </c>
      <c r="E999" t="s">
        <v>36</v>
      </c>
      <c r="F999" t="s">
        <v>660</v>
      </c>
      <c r="G999">
        <v>7</v>
      </c>
      <c r="H999">
        <v>9078.09</v>
      </c>
      <c r="I999">
        <v>5198.95</v>
      </c>
      <c r="J999" t="s">
        <v>71</v>
      </c>
    </row>
    <row r="1000" spans="1:10">
      <c r="A1000" t="s">
        <v>1295</v>
      </c>
      <c r="B1000">
        <v>46021</v>
      </c>
      <c r="C1000" t="s">
        <v>35</v>
      </c>
      <c r="D1000" t="s">
        <v>31</v>
      </c>
      <c r="E1000" t="s">
        <v>122</v>
      </c>
      <c r="F1000" t="s">
        <v>113</v>
      </c>
      <c r="G1000">
        <v>4</v>
      </c>
      <c r="H1000">
        <v>3266.74</v>
      </c>
      <c r="I1000">
        <v>2157.77</v>
      </c>
      <c r="J1000" t="s">
        <v>38</v>
      </c>
    </row>
    <row r="1001" spans="1:10">
      <c r="A1001" t="s">
        <v>1296</v>
      </c>
      <c r="B1001">
        <v>45820</v>
      </c>
      <c r="C1001" t="s">
        <v>982</v>
      </c>
      <c r="D1001" t="s">
        <v>57</v>
      </c>
      <c r="E1001" t="s">
        <v>60</v>
      </c>
      <c r="F1001" t="s">
        <v>37</v>
      </c>
      <c r="G1001">
        <v>3</v>
      </c>
      <c r="H1001">
        <v>8439.2000000000007</v>
      </c>
      <c r="I1001">
        <v>5671.07</v>
      </c>
      <c r="J1001" t="s">
        <v>71</v>
      </c>
    </row>
    <row r="1002" spans="1:10">
      <c r="A1002" t="s">
        <v>1297</v>
      </c>
      <c r="B1002">
        <v>45695</v>
      </c>
      <c r="C1002" t="s">
        <v>231</v>
      </c>
      <c r="D1002" t="s">
        <v>19</v>
      </c>
      <c r="E1002" t="s">
        <v>82</v>
      </c>
      <c r="F1002" t="s">
        <v>109</v>
      </c>
      <c r="G1002">
        <v>8</v>
      </c>
      <c r="H1002">
        <v>6638.56</v>
      </c>
      <c r="I1002">
        <v>5814.88</v>
      </c>
      <c r="J1002" t="s">
        <v>22</v>
      </c>
    </row>
    <row r="1003" spans="1:10">
      <c r="A1003" t="s">
        <v>1298</v>
      </c>
      <c r="B1003">
        <v>45676</v>
      </c>
      <c r="C1003" t="s">
        <v>74</v>
      </c>
      <c r="D1003" t="s">
        <v>63</v>
      </c>
      <c r="E1003" t="s">
        <v>179</v>
      </c>
      <c r="F1003" t="s">
        <v>33</v>
      </c>
      <c r="G1003">
        <v>1</v>
      </c>
      <c r="H1003">
        <v>606.79999999999995</v>
      </c>
      <c r="I1003">
        <v>465.78</v>
      </c>
      <c r="J1003" t="s">
        <v>22</v>
      </c>
    </row>
    <row r="1004" spans="1:10">
      <c r="A1004" t="s">
        <v>1299</v>
      </c>
      <c r="B1004">
        <v>45980</v>
      </c>
      <c r="C1004" t="s">
        <v>108</v>
      </c>
      <c r="E1004" t="s">
        <v>32</v>
      </c>
      <c r="F1004" t="s">
        <v>33</v>
      </c>
      <c r="G1004">
        <v>4</v>
      </c>
      <c r="H1004">
        <v>1852.2</v>
      </c>
      <c r="I1004">
        <v>1253.4100000000001</v>
      </c>
      <c r="J1004" t="s">
        <v>28</v>
      </c>
    </row>
    <row r="1005" spans="1:10">
      <c r="A1005" t="s">
        <v>1300</v>
      </c>
      <c r="B1005">
        <v>45664</v>
      </c>
      <c r="C1005" t="s">
        <v>48</v>
      </c>
      <c r="D1005" t="s">
        <v>57</v>
      </c>
      <c r="E1005" t="s">
        <v>26</v>
      </c>
      <c r="F1005" t="s">
        <v>79</v>
      </c>
      <c r="G1005">
        <v>4</v>
      </c>
      <c r="H1005">
        <v>419.13</v>
      </c>
      <c r="I1005">
        <v>345.3</v>
      </c>
      <c r="J1005" t="s">
        <v>28</v>
      </c>
    </row>
    <row r="1006" spans="1:10">
      <c r="A1006" t="s">
        <v>1301</v>
      </c>
      <c r="B1006">
        <v>45969</v>
      </c>
      <c r="C1006" t="s">
        <v>30</v>
      </c>
      <c r="D1006" t="s">
        <v>31</v>
      </c>
      <c r="E1006" t="s">
        <v>82</v>
      </c>
      <c r="F1006" t="s">
        <v>97</v>
      </c>
      <c r="G1006">
        <v>5</v>
      </c>
      <c r="H1006">
        <v>5541.2</v>
      </c>
      <c r="I1006">
        <v>4310.26</v>
      </c>
      <c r="J1006" t="s">
        <v>22</v>
      </c>
    </row>
    <row r="1007" spans="1:10">
      <c r="A1007" t="s">
        <v>1285</v>
      </c>
      <c r="B1007">
        <v>45989</v>
      </c>
      <c r="C1007" t="s">
        <v>135</v>
      </c>
      <c r="D1007" t="s">
        <v>81</v>
      </c>
      <c r="E1007" t="s">
        <v>36</v>
      </c>
      <c r="F1007" t="s">
        <v>42</v>
      </c>
      <c r="G1007">
        <v>6</v>
      </c>
      <c r="H1007">
        <v>2027.09</v>
      </c>
      <c r="I1007">
        <v>1178.1199999999999</v>
      </c>
      <c r="J1007" t="s">
        <v>28</v>
      </c>
    </row>
    <row r="1008" spans="1:10">
      <c r="A1008" t="s">
        <v>1302</v>
      </c>
      <c r="B1008">
        <v>46006</v>
      </c>
      <c r="C1008" t="s">
        <v>386</v>
      </c>
      <c r="D1008" t="s">
        <v>31</v>
      </c>
      <c r="E1008" t="s">
        <v>20</v>
      </c>
      <c r="F1008" t="s">
        <v>86</v>
      </c>
      <c r="G1008">
        <v>2</v>
      </c>
      <c r="H1008">
        <v>3390.29</v>
      </c>
      <c r="I1008">
        <v>2455.58</v>
      </c>
      <c r="J1008" t="s">
        <v>22</v>
      </c>
    </row>
    <row r="1009" spans="1:10">
      <c r="A1009" t="s">
        <v>1303</v>
      </c>
      <c r="B1009">
        <v>45952</v>
      </c>
      <c r="C1009" t="s">
        <v>175</v>
      </c>
      <c r="D1009" t="s">
        <v>12</v>
      </c>
      <c r="E1009" t="s">
        <v>26</v>
      </c>
      <c r="F1009" t="s">
        <v>79</v>
      </c>
      <c r="G1009">
        <v>1</v>
      </c>
      <c r="H1009">
        <v>2997.16</v>
      </c>
      <c r="I1009">
        <v>1809.5</v>
      </c>
      <c r="J1009" t="s">
        <v>16</v>
      </c>
    </row>
    <row r="1010" spans="1:10">
      <c r="A1010" t="s">
        <v>1304</v>
      </c>
      <c r="B1010">
        <v>45731</v>
      </c>
      <c r="C1010" t="s">
        <v>124</v>
      </c>
      <c r="D1010" t="s">
        <v>57</v>
      </c>
      <c r="E1010" t="s">
        <v>182</v>
      </c>
      <c r="F1010" t="s">
        <v>106</v>
      </c>
      <c r="G1010">
        <v>7</v>
      </c>
      <c r="H1010">
        <v>1038.1199999999999</v>
      </c>
      <c r="I1010">
        <v>854.56</v>
      </c>
      <c r="J1010" t="s">
        <v>16</v>
      </c>
    </row>
    <row r="1011" spans="1:10">
      <c r="A1011" t="s">
        <v>1305</v>
      </c>
      <c r="B1011">
        <v>45936</v>
      </c>
      <c r="C1011" t="s">
        <v>121</v>
      </c>
      <c r="D1011" t="s">
        <v>12</v>
      </c>
      <c r="E1011" t="s">
        <v>82</v>
      </c>
      <c r="F1011" t="s">
        <v>155</v>
      </c>
      <c r="G1011">
        <v>7</v>
      </c>
      <c r="H1011" t="s">
        <v>1306</v>
      </c>
      <c r="I1011">
        <v>4293.41</v>
      </c>
      <c r="J1011" t="s">
        <v>22</v>
      </c>
    </row>
    <row r="1012" spans="1:10">
      <c r="A1012" t="s">
        <v>1307</v>
      </c>
      <c r="B1012">
        <v>45817</v>
      </c>
      <c r="C1012" t="s">
        <v>133</v>
      </c>
      <c r="D1012" t="s">
        <v>12</v>
      </c>
      <c r="E1012" t="s">
        <v>179</v>
      </c>
      <c r="F1012" t="s">
        <v>101</v>
      </c>
      <c r="G1012">
        <v>6</v>
      </c>
      <c r="H1012">
        <v>398.69</v>
      </c>
      <c r="I1012">
        <v>279.37</v>
      </c>
      <c r="J1012" t="s">
        <v>22</v>
      </c>
    </row>
    <row r="1013" spans="1:10">
      <c r="A1013" t="s">
        <v>1308</v>
      </c>
      <c r="B1013">
        <v>45925</v>
      </c>
      <c r="C1013" t="s">
        <v>48</v>
      </c>
      <c r="D1013" t="s">
        <v>19</v>
      </c>
      <c r="E1013" t="s">
        <v>36</v>
      </c>
      <c r="F1013" t="s">
        <v>37</v>
      </c>
      <c r="G1013">
        <v>3</v>
      </c>
      <c r="H1013">
        <v>6780.43</v>
      </c>
      <c r="I1013">
        <v>4779.09</v>
      </c>
      <c r="J1013" t="s">
        <v>16</v>
      </c>
    </row>
    <row r="1014" spans="1:10">
      <c r="A1014" t="s">
        <v>1309</v>
      </c>
      <c r="B1014">
        <v>45900</v>
      </c>
      <c r="C1014" t="s">
        <v>18</v>
      </c>
      <c r="D1014" t="s">
        <v>12</v>
      </c>
      <c r="E1014" t="s">
        <v>26</v>
      </c>
      <c r="F1014" t="s">
        <v>79</v>
      </c>
      <c r="G1014">
        <v>3</v>
      </c>
      <c r="H1014">
        <v>3242.94</v>
      </c>
      <c r="I1014">
        <v>1847.37</v>
      </c>
      <c r="J1014" t="s">
        <v>22</v>
      </c>
    </row>
    <row r="1015" spans="1:10">
      <c r="A1015" t="s">
        <v>1310</v>
      </c>
      <c r="B1015" t="s">
        <v>1311</v>
      </c>
      <c r="C1015" t="s">
        <v>70</v>
      </c>
      <c r="D1015" t="s">
        <v>125</v>
      </c>
      <c r="E1015" t="s">
        <v>20</v>
      </c>
      <c r="F1015" t="s">
        <v>86</v>
      </c>
      <c r="G1015">
        <v>1</v>
      </c>
      <c r="H1015">
        <v>4624.54</v>
      </c>
      <c r="I1015">
        <v>3778.38</v>
      </c>
      <c r="J1015" t="s">
        <v>71</v>
      </c>
    </row>
    <row r="1016" spans="1:10">
      <c r="A1016" t="s">
        <v>1312</v>
      </c>
      <c r="B1016">
        <v>45667</v>
      </c>
      <c r="C1016" t="s">
        <v>133</v>
      </c>
      <c r="D1016" t="s">
        <v>31</v>
      </c>
      <c r="E1016" t="s">
        <v>82</v>
      </c>
      <c r="F1016" t="s">
        <v>155</v>
      </c>
      <c r="G1016">
        <v>5</v>
      </c>
      <c r="H1016">
        <v>6651.88</v>
      </c>
      <c r="I1016">
        <v>4133.9799999999996</v>
      </c>
      <c r="J1016" t="s">
        <v>38</v>
      </c>
    </row>
    <row r="1017" spans="1:10">
      <c r="A1017" t="s">
        <v>1313</v>
      </c>
      <c r="B1017">
        <v>46022</v>
      </c>
      <c r="C1017" t="s">
        <v>259</v>
      </c>
      <c r="D1017" t="s">
        <v>41</v>
      </c>
      <c r="E1017" t="s">
        <v>36</v>
      </c>
      <c r="F1017" t="s">
        <v>93</v>
      </c>
      <c r="G1017">
        <v>8</v>
      </c>
      <c r="H1017">
        <v>2156.69</v>
      </c>
      <c r="I1017">
        <v>1243.68</v>
      </c>
      <c r="J1017" t="s">
        <v>38</v>
      </c>
    </row>
    <row r="1018" spans="1:10">
      <c r="A1018" t="s">
        <v>1314</v>
      </c>
      <c r="B1018">
        <v>45782</v>
      </c>
      <c r="C1018" t="s">
        <v>115</v>
      </c>
      <c r="D1018" t="s">
        <v>31</v>
      </c>
      <c r="E1018" t="s">
        <v>82</v>
      </c>
      <c r="F1018" t="s">
        <v>205</v>
      </c>
      <c r="G1018">
        <v>1</v>
      </c>
      <c r="H1018">
        <v>4820.8999999999996</v>
      </c>
      <c r="I1018">
        <v>3496.33</v>
      </c>
      <c r="J1018" t="s">
        <v>71</v>
      </c>
    </row>
    <row r="1019" spans="1:10">
      <c r="A1019" t="s">
        <v>1315</v>
      </c>
      <c r="B1019">
        <v>45978</v>
      </c>
      <c r="C1019" t="s">
        <v>354</v>
      </c>
      <c r="D1019" t="s">
        <v>63</v>
      </c>
      <c r="E1019" t="s">
        <v>36</v>
      </c>
      <c r="F1019" t="s">
        <v>113</v>
      </c>
      <c r="G1019">
        <v>6</v>
      </c>
      <c r="H1019">
        <v>15272.68</v>
      </c>
      <c r="I1019">
        <v>9645.6200000000008</v>
      </c>
      <c r="J1019" t="s">
        <v>28</v>
      </c>
    </row>
    <row r="1020" spans="1:10">
      <c r="A1020" t="s">
        <v>1316</v>
      </c>
      <c r="B1020">
        <v>45893</v>
      </c>
      <c r="C1020" t="s">
        <v>117</v>
      </c>
      <c r="D1020" t="s">
        <v>25</v>
      </c>
      <c r="E1020" t="s">
        <v>36</v>
      </c>
      <c r="F1020" t="s">
        <v>113</v>
      </c>
      <c r="G1020">
        <v>6</v>
      </c>
      <c r="H1020">
        <v>6001.8</v>
      </c>
      <c r="I1020">
        <v>3513.24</v>
      </c>
      <c r="J1020" t="s">
        <v>22</v>
      </c>
    </row>
    <row r="1021" spans="1:10">
      <c r="A1021" t="s">
        <v>1317</v>
      </c>
      <c r="B1021">
        <v>45861</v>
      </c>
      <c r="C1021" t="s">
        <v>56</v>
      </c>
      <c r="D1021" t="s">
        <v>173</v>
      </c>
      <c r="E1021" t="s">
        <v>82</v>
      </c>
      <c r="F1021" t="s">
        <v>137</v>
      </c>
      <c r="G1021">
        <v>6</v>
      </c>
      <c r="H1021">
        <v>4687.1000000000004</v>
      </c>
      <c r="I1021">
        <v>2963.99</v>
      </c>
      <c r="J1021" t="s">
        <v>16</v>
      </c>
    </row>
    <row r="1022" spans="1:10">
      <c r="A1022" t="s">
        <v>1318</v>
      </c>
      <c r="B1022">
        <v>45686</v>
      </c>
      <c r="C1022" t="s">
        <v>105</v>
      </c>
      <c r="D1022" t="s">
        <v>63</v>
      </c>
      <c r="E1022" t="s">
        <v>96</v>
      </c>
      <c r="F1022" t="s">
        <v>137</v>
      </c>
      <c r="G1022">
        <v>3</v>
      </c>
      <c r="H1022">
        <v>833.07</v>
      </c>
      <c r="I1022">
        <v>653.26</v>
      </c>
      <c r="J1022" t="s">
        <v>28</v>
      </c>
    </row>
    <row r="1023" spans="1:10">
      <c r="A1023" t="s">
        <v>1319</v>
      </c>
      <c r="B1023">
        <v>45870</v>
      </c>
      <c r="C1023" t="s">
        <v>74</v>
      </c>
      <c r="D1023" t="s">
        <v>41</v>
      </c>
      <c r="E1023" t="s">
        <v>36</v>
      </c>
      <c r="F1023" t="s">
        <v>113</v>
      </c>
      <c r="G1023">
        <v>5</v>
      </c>
      <c r="H1023">
        <v>13734.42</v>
      </c>
      <c r="I1023">
        <v>8591.89</v>
      </c>
      <c r="J1023" t="s">
        <v>22</v>
      </c>
    </row>
    <row r="1024" spans="1:10">
      <c r="A1024" t="s">
        <v>1320</v>
      </c>
      <c r="B1024">
        <v>45939</v>
      </c>
      <c r="C1024" t="s">
        <v>18</v>
      </c>
      <c r="D1024" t="s">
        <v>31</v>
      </c>
      <c r="E1024" t="s">
        <v>32</v>
      </c>
      <c r="F1024" t="s">
        <v>101</v>
      </c>
      <c r="G1024">
        <v>1</v>
      </c>
      <c r="H1024">
        <v>569.70000000000005</v>
      </c>
      <c r="I1024">
        <v>494.68</v>
      </c>
      <c r="J1024" t="s">
        <v>16</v>
      </c>
    </row>
    <row r="1025" spans="1:10">
      <c r="A1025" t="s">
        <v>1321</v>
      </c>
      <c r="B1025">
        <v>45919</v>
      </c>
      <c r="C1025" t="s">
        <v>124</v>
      </c>
      <c r="D1025" t="s">
        <v>41</v>
      </c>
      <c r="E1025" t="s">
        <v>20</v>
      </c>
      <c r="F1025" t="s">
        <v>252</v>
      </c>
      <c r="G1025">
        <v>5</v>
      </c>
      <c r="H1025">
        <v>750.17</v>
      </c>
      <c r="I1025">
        <v>595.58000000000004</v>
      </c>
      <c r="J1025" t="s">
        <v>38</v>
      </c>
    </row>
    <row r="1026" spans="1:10">
      <c r="A1026" t="s">
        <v>1322</v>
      </c>
      <c r="B1026">
        <v>45865</v>
      </c>
      <c r="C1026" t="s">
        <v>95</v>
      </c>
      <c r="D1026" t="s">
        <v>63</v>
      </c>
      <c r="E1026" t="s">
        <v>32</v>
      </c>
      <c r="F1026" t="s">
        <v>52</v>
      </c>
      <c r="G1026">
        <v>3</v>
      </c>
      <c r="H1026">
        <v>628.69000000000005</v>
      </c>
      <c r="I1026">
        <v>482.15</v>
      </c>
      <c r="J1026" t="s">
        <v>28</v>
      </c>
    </row>
    <row r="1027" spans="1:10">
      <c r="A1027" t="s">
        <v>1323</v>
      </c>
      <c r="B1027">
        <v>45940</v>
      </c>
      <c r="C1027" t="s">
        <v>67</v>
      </c>
      <c r="D1027" t="s">
        <v>63</v>
      </c>
      <c r="E1027" t="s">
        <v>82</v>
      </c>
      <c r="F1027" t="s">
        <v>83</v>
      </c>
      <c r="G1027">
        <v>6</v>
      </c>
      <c r="H1027">
        <v>6053.72</v>
      </c>
      <c r="I1027">
        <v>4367.74</v>
      </c>
      <c r="J1027" t="s">
        <v>16</v>
      </c>
    </row>
    <row r="1028" spans="1:10">
      <c r="A1028" t="s">
        <v>1324</v>
      </c>
      <c r="B1028">
        <v>45962</v>
      </c>
      <c r="C1028" t="s">
        <v>30</v>
      </c>
      <c r="D1028" t="s">
        <v>57</v>
      </c>
      <c r="E1028" t="s">
        <v>36</v>
      </c>
      <c r="F1028" t="s">
        <v>37</v>
      </c>
      <c r="G1028">
        <v>1</v>
      </c>
      <c r="H1028">
        <v>8534.14</v>
      </c>
      <c r="I1028">
        <v>6586.37</v>
      </c>
      <c r="J1028" t="s">
        <v>16</v>
      </c>
    </row>
    <row r="1029" spans="1:10">
      <c r="A1029" t="s">
        <v>1325</v>
      </c>
      <c r="B1029">
        <v>45722</v>
      </c>
      <c r="C1029" t="s">
        <v>259</v>
      </c>
      <c r="D1029" t="s">
        <v>19</v>
      </c>
      <c r="E1029" t="s">
        <v>26</v>
      </c>
      <c r="F1029" t="s">
        <v>131</v>
      </c>
      <c r="G1029">
        <v>4</v>
      </c>
      <c r="H1029">
        <v>596.4</v>
      </c>
      <c r="I1029">
        <v>329.83</v>
      </c>
      <c r="J1029" t="s">
        <v>28</v>
      </c>
    </row>
    <row r="1030" spans="1:10">
      <c r="A1030" t="s">
        <v>1326</v>
      </c>
      <c r="B1030">
        <v>45939</v>
      </c>
      <c r="C1030" t="s">
        <v>133</v>
      </c>
      <c r="D1030" t="s">
        <v>31</v>
      </c>
      <c r="E1030" t="s">
        <v>20</v>
      </c>
      <c r="F1030" t="s">
        <v>191</v>
      </c>
      <c r="G1030">
        <v>6</v>
      </c>
      <c r="H1030">
        <v>1915.3</v>
      </c>
      <c r="I1030">
        <v>1572.7</v>
      </c>
      <c r="J1030" t="s">
        <v>28</v>
      </c>
    </row>
    <row r="1031" spans="1:10">
      <c r="A1031" t="s">
        <v>1327</v>
      </c>
      <c r="B1031">
        <v>45759</v>
      </c>
      <c r="C1031" t="s">
        <v>135</v>
      </c>
      <c r="D1031" t="s">
        <v>31</v>
      </c>
      <c r="E1031" t="s">
        <v>26</v>
      </c>
      <c r="F1031" t="s">
        <v>350</v>
      </c>
      <c r="G1031">
        <v>2</v>
      </c>
      <c r="H1031">
        <v>1597.11</v>
      </c>
      <c r="I1031">
        <v>974.27</v>
      </c>
      <c r="J1031" t="s">
        <v>28</v>
      </c>
    </row>
    <row r="1032" spans="1:10">
      <c r="A1032" t="s">
        <v>1328</v>
      </c>
      <c r="B1032">
        <v>45787</v>
      </c>
      <c r="D1032" t="s">
        <v>63</v>
      </c>
      <c r="E1032" t="s">
        <v>26</v>
      </c>
      <c r="F1032" t="s">
        <v>106</v>
      </c>
      <c r="G1032">
        <v>4</v>
      </c>
      <c r="H1032">
        <v>1766.77</v>
      </c>
      <c r="I1032">
        <v>1366.55</v>
      </c>
      <c r="J1032" t="s">
        <v>38</v>
      </c>
    </row>
    <row r="1033" spans="1:10">
      <c r="A1033" t="s">
        <v>1329</v>
      </c>
      <c r="B1033">
        <v>45764</v>
      </c>
      <c r="C1033" t="s">
        <v>434</v>
      </c>
      <c r="D1033" t="s">
        <v>63</v>
      </c>
      <c r="E1033" t="s">
        <v>20</v>
      </c>
      <c r="F1033" t="s">
        <v>21</v>
      </c>
      <c r="G1033">
        <v>1</v>
      </c>
      <c r="H1033">
        <v>3041.92</v>
      </c>
      <c r="I1033">
        <v>1746.53</v>
      </c>
      <c r="J1033" t="s">
        <v>28</v>
      </c>
    </row>
    <row r="1034" spans="1:10">
      <c r="A1034" t="s">
        <v>1330</v>
      </c>
      <c r="B1034">
        <v>45751</v>
      </c>
      <c r="C1034" t="s">
        <v>1331</v>
      </c>
      <c r="D1034" t="s">
        <v>12</v>
      </c>
      <c r="E1034" t="s">
        <v>26</v>
      </c>
      <c r="F1034" t="s">
        <v>103</v>
      </c>
      <c r="G1034">
        <v>7</v>
      </c>
      <c r="H1034" t="s">
        <v>1332</v>
      </c>
      <c r="I1034">
        <v>995.46</v>
      </c>
      <c r="J1034" t="s">
        <v>28</v>
      </c>
    </row>
    <row r="1035" spans="1:10">
      <c r="A1035" t="s">
        <v>1333</v>
      </c>
      <c r="B1035">
        <v>45958</v>
      </c>
      <c r="C1035" t="s">
        <v>59</v>
      </c>
      <c r="D1035" t="s">
        <v>19</v>
      </c>
      <c r="E1035" t="s">
        <v>36</v>
      </c>
      <c r="F1035" t="s">
        <v>46</v>
      </c>
      <c r="G1035">
        <v>3</v>
      </c>
      <c r="H1035">
        <v>13763.55</v>
      </c>
      <c r="I1035">
        <v>10807.07</v>
      </c>
      <c r="J1035" t="s">
        <v>28</v>
      </c>
    </row>
    <row r="1036" spans="1:10">
      <c r="A1036" t="s">
        <v>1334</v>
      </c>
      <c r="B1036">
        <v>45730</v>
      </c>
      <c r="C1036" t="s">
        <v>67</v>
      </c>
      <c r="D1036" t="s">
        <v>49</v>
      </c>
      <c r="E1036" t="s">
        <v>36</v>
      </c>
      <c r="F1036" t="s">
        <v>42</v>
      </c>
      <c r="G1036">
        <v>4</v>
      </c>
      <c r="H1036">
        <v>3047.09</v>
      </c>
      <c r="I1036">
        <v>1850.54</v>
      </c>
      <c r="J1036" t="s">
        <v>38</v>
      </c>
    </row>
    <row r="1037" spans="1:10">
      <c r="A1037" t="s">
        <v>1335</v>
      </c>
      <c r="B1037">
        <v>45903</v>
      </c>
      <c r="C1037" t="s">
        <v>54</v>
      </c>
      <c r="D1037" t="s">
        <v>577</v>
      </c>
      <c r="E1037" t="s">
        <v>36</v>
      </c>
      <c r="F1037" t="s">
        <v>93</v>
      </c>
      <c r="G1037">
        <v>5</v>
      </c>
      <c r="H1037">
        <v>5726.02</v>
      </c>
      <c r="I1037">
        <v>3305.42</v>
      </c>
      <c r="J1037" t="s">
        <v>28</v>
      </c>
    </row>
    <row r="1038" spans="1:10">
      <c r="A1038" t="s">
        <v>1336</v>
      </c>
      <c r="B1038">
        <v>45904</v>
      </c>
      <c r="C1038" t="s">
        <v>175</v>
      </c>
      <c r="D1038" t="s">
        <v>57</v>
      </c>
      <c r="E1038" t="s">
        <v>36</v>
      </c>
      <c r="F1038" t="s">
        <v>46</v>
      </c>
      <c r="G1038">
        <v>3</v>
      </c>
      <c r="H1038">
        <v>12010.55</v>
      </c>
      <c r="I1038">
        <v>8333.0400000000009</v>
      </c>
      <c r="J1038" t="s">
        <v>38</v>
      </c>
    </row>
    <row r="1039" spans="1:10">
      <c r="A1039" t="s">
        <v>1337</v>
      </c>
      <c r="B1039">
        <v>45937</v>
      </c>
      <c r="C1039" t="s">
        <v>108</v>
      </c>
      <c r="D1039" t="s">
        <v>63</v>
      </c>
      <c r="E1039" t="s">
        <v>82</v>
      </c>
      <c r="F1039" t="s">
        <v>155</v>
      </c>
      <c r="G1039">
        <v>4</v>
      </c>
      <c r="H1039">
        <v>3622.31</v>
      </c>
      <c r="I1039">
        <v>2318.5300000000002</v>
      </c>
      <c r="J1039" t="s">
        <v>28</v>
      </c>
    </row>
    <row r="1040" spans="1:10">
      <c r="A1040" t="s">
        <v>1338</v>
      </c>
      <c r="B1040">
        <v>45722</v>
      </c>
      <c r="C1040" t="s">
        <v>105</v>
      </c>
      <c r="D1040" t="s">
        <v>63</v>
      </c>
      <c r="E1040" t="s">
        <v>60</v>
      </c>
      <c r="F1040" t="s">
        <v>113</v>
      </c>
      <c r="G1040">
        <v>3</v>
      </c>
      <c r="H1040">
        <v>12181.74</v>
      </c>
      <c r="I1040">
        <v>10506.26</v>
      </c>
      <c r="J1040" t="s">
        <v>71</v>
      </c>
    </row>
    <row r="1041" spans="1:10">
      <c r="A1041" t="s">
        <v>1339</v>
      </c>
      <c r="B1041">
        <v>45946</v>
      </c>
      <c r="C1041" t="s">
        <v>1340</v>
      </c>
      <c r="D1041" t="s">
        <v>41</v>
      </c>
      <c r="E1041" t="s">
        <v>149</v>
      </c>
      <c r="F1041" t="s">
        <v>150</v>
      </c>
      <c r="G1041">
        <v>7</v>
      </c>
      <c r="H1041">
        <v>6780.95</v>
      </c>
      <c r="I1041">
        <v>4471.54</v>
      </c>
      <c r="J1041" t="s">
        <v>28</v>
      </c>
    </row>
    <row r="1042" spans="1:10">
      <c r="A1042" t="s">
        <v>1341</v>
      </c>
      <c r="B1042">
        <v>45658</v>
      </c>
      <c r="C1042" t="s">
        <v>1342</v>
      </c>
      <c r="D1042" t="s">
        <v>19</v>
      </c>
      <c r="E1042" t="s">
        <v>32</v>
      </c>
      <c r="F1042" t="s">
        <v>99</v>
      </c>
      <c r="G1042">
        <v>5</v>
      </c>
      <c r="H1042">
        <v>859.9</v>
      </c>
      <c r="I1042">
        <v>594.92999999999995</v>
      </c>
      <c r="J1042" t="s">
        <v>38</v>
      </c>
    </row>
    <row r="1043" spans="1:10">
      <c r="A1043" t="s">
        <v>1343</v>
      </c>
      <c r="B1043">
        <v>45863</v>
      </c>
      <c r="C1043" t="s">
        <v>67</v>
      </c>
      <c r="D1043" t="s">
        <v>12</v>
      </c>
      <c r="E1043" t="s">
        <v>26</v>
      </c>
      <c r="F1043" t="s">
        <v>350</v>
      </c>
      <c r="G1043">
        <v>3</v>
      </c>
      <c r="H1043">
        <v>1660.73</v>
      </c>
      <c r="I1043">
        <v>1128.93</v>
      </c>
      <c r="J1043" t="s">
        <v>16</v>
      </c>
    </row>
    <row r="1044" spans="1:10">
      <c r="A1044" t="s">
        <v>1344</v>
      </c>
      <c r="B1044">
        <v>45809</v>
      </c>
      <c r="C1044" t="s">
        <v>612</v>
      </c>
      <c r="D1044" t="s">
        <v>173</v>
      </c>
      <c r="E1044" t="s">
        <v>82</v>
      </c>
      <c r="F1044" t="s">
        <v>1345</v>
      </c>
      <c r="G1044">
        <v>1</v>
      </c>
      <c r="H1044">
        <v>4036.56</v>
      </c>
      <c r="I1044">
        <v>3442.01</v>
      </c>
      <c r="J1044" t="s">
        <v>38</v>
      </c>
    </row>
    <row r="1045" spans="1:10">
      <c r="A1045" t="s">
        <v>1346</v>
      </c>
      <c r="B1045">
        <v>45719</v>
      </c>
      <c r="C1045" t="s">
        <v>18</v>
      </c>
      <c r="D1045" t="s">
        <v>31</v>
      </c>
      <c r="E1045" t="s">
        <v>20</v>
      </c>
      <c r="F1045" t="s">
        <v>86</v>
      </c>
      <c r="G1045">
        <v>3</v>
      </c>
      <c r="H1045">
        <v>2707.06</v>
      </c>
      <c r="I1045">
        <v>1733.53</v>
      </c>
      <c r="J1045" t="s">
        <v>71</v>
      </c>
    </row>
    <row r="1046" spans="1:10">
      <c r="A1046" t="s">
        <v>1347</v>
      </c>
      <c r="B1046">
        <v>45774</v>
      </c>
      <c r="C1046" t="s">
        <v>105</v>
      </c>
      <c r="D1046" t="s">
        <v>57</v>
      </c>
      <c r="E1046" t="s">
        <v>32</v>
      </c>
      <c r="F1046" t="s">
        <v>33</v>
      </c>
      <c r="G1046">
        <v>7</v>
      </c>
      <c r="H1046">
        <v>979.54</v>
      </c>
      <c r="I1046">
        <v>685.34</v>
      </c>
      <c r="J1046" t="s">
        <v>28</v>
      </c>
    </row>
    <row r="1047" spans="1:10">
      <c r="A1047" t="s">
        <v>1348</v>
      </c>
      <c r="B1047">
        <v>45720</v>
      </c>
      <c r="C1047" t="s">
        <v>24</v>
      </c>
      <c r="D1047" t="s">
        <v>63</v>
      </c>
      <c r="E1047" t="s">
        <v>32</v>
      </c>
      <c r="F1047" t="s">
        <v>99</v>
      </c>
      <c r="G1047">
        <v>6</v>
      </c>
      <c r="H1047">
        <v>376.03</v>
      </c>
      <c r="I1047">
        <v>219.87</v>
      </c>
      <c r="J1047" t="s">
        <v>22</v>
      </c>
    </row>
    <row r="1048" spans="1:10">
      <c r="A1048" t="s">
        <v>1349</v>
      </c>
      <c r="B1048">
        <v>45951</v>
      </c>
      <c r="C1048" t="s">
        <v>35</v>
      </c>
      <c r="D1048" t="s">
        <v>63</v>
      </c>
      <c r="E1048" t="s">
        <v>82</v>
      </c>
      <c r="F1048" t="s">
        <v>109</v>
      </c>
      <c r="G1048">
        <v>1</v>
      </c>
      <c r="H1048">
        <v>4731.71</v>
      </c>
      <c r="I1048">
        <v>3058</v>
      </c>
      <c r="J1048" t="s">
        <v>38</v>
      </c>
    </row>
    <row r="1049" spans="1:10">
      <c r="A1049" t="s">
        <v>1350</v>
      </c>
      <c r="B1049">
        <v>45684</v>
      </c>
      <c r="C1049" t="s">
        <v>117</v>
      </c>
      <c r="D1049" t="s">
        <v>41</v>
      </c>
      <c r="E1049" t="s">
        <v>26</v>
      </c>
      <c r="F1049" t="s">
        <v>27</v>
      </c>
      <c r="G1049">
        <v>3</v>
      </c>
      <c r="H1049">
        <v>1758.05</v>
      </c>
      <c r="I1049">
        <v>1243.22</v>
      </c>
      <c r="J1049" t="s">
        <v>28</v>
      </c>
    </row>
    <row r="1050" spans="1:10">
      <c r="A1050" t="s">
        <v>1351</v>
      </c>
      <c r="B1050">
        <v>46008</v>
      </c>
      <c r="C1050" t="s">
        <v>259</v>
      </c>
      <c r="D1050" t="s">
        <v>12</v>
      </c>
      <c r="E1050" t="s">
        <v>82</v>
      </c>
      <c r="F1050" t="s">
        <v>150</v>
      </c>
      <c r="G1050">
        <v>8</v>
      </c>
      <c r="H1050" t="s">
        <v>1352</v>
      </c>
      <c r="I1050">
        <v>2146.9899999999998</v>
      </c>
      <c r="J1050" t="s">
        <v>22</v>
      </c>
    </row>
    <row r="1051" spans="1:10">
      <c r="A1051" t="s">
        <v>1353</v>
      </c>
      <c r="B1051">
        <v>45679</v>
      </c>
      <c r="C1051" t="s">
        <v>1354</v>
      </c>
      <c r="D1051" t="s">
        <v>19</v>
      </c>
      <c r="E1051" t="s">
        <v>13</v>
      </c>
      <c r="F1051" t="s">
        <v>196</v>
      </c>
      <c r="G1051">
        <v>8</v>
      </c>
      <c r="H1051">
        <v>3317.44</v>
      </c>
      <c r="I1051">
        <v>2192.84</v>
      </c>
      <c r="J1051" t="s">
        <v>28</v>
      </c>
    </row>
    <row r="1052" spans="1:10">
      <c r="A1052" t="s">
        <v>1355</v>
      </c>
      <c r="B1052">
        <v>45776</v>
      </c>
      <c r="C1052" t="s">
        <v>121</v>
      </c>
      <c r="D1052" t="s">
        <v>57</v>
      </c>
      <c r="E1052" t="s">
        <v>36</v>
      </c>
      <c r="F1052" t="s">
        <v>37</v>
      </c>
      <c r="G1052">
        <v>6</v>
      </c>
      <c r="H1052">
        <v>7939.93</v>
      </c>
      <c r="I1052">
        <v>5265.14</v>
      </c>
      <c r="J1052" t="s">
        <v>22</v>
      </c>
    </row>
    <row r="1053" spans="1:10">
      <c r="A1053" t="s">
        <v>1356</v>
      </c>
      <c r="B1053">
        <v>45978</v>
      </c>
      <c r="C1053" t="s">
        <v>40</v>
      </c>
      <c r="D1053" t="s">
        <v>19</v>
      </c>
      <c r="E1053" t="s">
        <v>26</v>
      </c>
      <c r="F1053" t="s">
        <v>350</v>
      </c>
      <c r="G1053">
        <v>5</v>
      </c>
      <c r="H1053" t="s">
        <v>1357</v>
      </c>
      <c r="I1053">
        <v>888.24</v>
      </c>
      <c r="J1053" t="s">
        <v>38</v>
      </c>
    </row>
    <row r="1054" spans="1:10">
      <c r="A1054" t="s">
        <v>1358</v>
      </c>
      <c r="B1054">
        <v>45676</v>
      </c>
      <c r="C1054" t="s">
        <v>24</v>
      </c>
      <c r="D1054" t="s">
        <v>173</v>
      </c>
      <c r="E1054" t="s">
        <v>32</v>
      </c>
      <c r="F1054" t="s">
        <v>52</v>
      </c>
      <c r="G1054">
        <v>7</v>
      </c>
      <c r="H1054">
        <v>2012.31</v>
      </c>
      <c r="I1054">
        <v>1230.49</v>
      </c>
      <c r="J1054" t="s">
        <v>22</v>
      </c>
    </row>
    <row r="1055" spans="1:10">
      <c r="A1055" t="s">
        <v>1359</v>
      </c>
      <c r="B1055">
        <v>45700</v>
      </c>
      <c r="C1055" t="s">
        <v>85</v>
      </c>
      <c r="D1055" t="s">
        <v>57</v>
      </c>
      <c r="E1055" t="s">
        <v>32</v>
      </c>
      <c r="F1055" t="s">
        <v>180</v>
      </c>
      <c r="G1055">
        <v>7</v>
      </c>
      <c r="H1055">
        <v>2216.54</v>
      </c>
      <c r="I1055">
        <v>1436.81</v>
      </c>
      <c r="J1055" t="s">
        <v>38</v>
      </c>
    </row>
    <row r="1056" spans="1:10">
      <c r="A1056" t="s">
        <v>1360</v>
      </c>
      <c r="B1056">
        <v>45778</v>
      </c>
      <c r="C1056" t="s">
        <v>117</v>
      </c>
      <c r="D1056" t="s">
        <v>41</v>
      </c>
      <c r="E1056" t="s">
        <v>20</v>
      </c>
      <c r="F1056" t="s">
        <v>86</v>
      </c>
      <c r="G1056">
        <v>5</v>
      </c>
      <c r="H1056">
        <v>3758.92</v>
      </c>
      <c r="I1056">
        <v>3196.69</v>
      </c>
      <c r="J1056" t="s">
        <v>16</v>
      </c>
    </row>
    <row r="1057" spans="1:10">
      <c r="A1057" t="s">
        <v>1361</v>
      </c>
      <c r="B1057">
        <v>45996</v>
      </c>
      <c r="C1057" t="s">
        <v>175</v>
      </c>
      <c r="D1057" t="s">
        <v>31</v>
      </c>
      <c r="E1057" t="s">
        <v>26</v>
      </c>
      <c r="F1057" t="s">
        <v>103</v>
      </c>
      <c r="G1057">
        <v>1</v>
      </c>
      <c r="H1057">
        <v>2223.96</v>
      </c>
      <c r="I1057">
        <v>1931.14</v>
      </c>
      <c r="J1057" t="s">
        <v>38</v>
      </c>
    </row>
    <row r="1058" spans="1:10">
      <c r="A1058" t="s">
        <v>1362</v>
      </c>
      <c r="B1058">
        <v>46001</v>
      </c>
      <c r="C1058" t="s">
        <v>117</v>
      </c>
      <c r="D1058" t="s">
        <v>499</v>
      </c>
      <c r="E1058" t="s">
        <v>36</v>
      </c>
      <c r="F1058" t="s">
        <v>42</v>
      </c>
      <c r="G1058">
        <v>0</v>
      </c>
      <c r="H1058" t="s">
        <v>1363</v>
      </c>
      <c r="I1058">
        <v>3537.74</v>
      </c>
      <c r="J1058" t="s">
        <v>22</v>
      </c>
    </row>
    <row r="1059" spans="1:10">
      <c r="A1059" t="s">
        <v>1364</v>
      </c>
      <c r="B1059">
        <v>45972</v>
      </c>
      <c r="C1059" t="s">
        <v>162</v>
      </c>
      <c r="D1059" t="s">
        <v>31</v>
      </c>
      <c r="E1059" t="s">
        <v>26</v>
      </c>
      <c r="F1059" t="s">
        <v>103</v>
      </c>
      <c r="G1059">
        <v>5</v>
      </c>
      <c r="H1059">
        <v>1430.84</v>
      </c>
      <c r="I1059">
        <v>992.83</v>
      </c>
      <c r="J1059" t="s">
        <v>28</v>
      </c>
    </row>
    <row r="1060" spans="1:10">
      <c r="A1060" t="s">
        <v>1365</v>
      </c>
      <c r="B1060">
        <v>45858</v>
      </c>
      <c r="C1060" t="s">
        <v>119</v>
      </c>
      <c r="D1060" t="s">
        <v>57</v>
      </c>
      <c r="E1060" t="s">
        <v>36</v>
      </c>
      <c r="F1060" t="s">
        <v>88</v>
      </c>
      <c r="G1060">
        <v>2</v>
      </c>
      <c r="H1060">
        <v>10188.58</v>
      </c>
      <c r="I1060">
        <v>6214.31</v>
      </c>
      <c r="J1060" t="s">
        <v>22</v>
      </c>
    </row>
    <row r="1061" spans="1:10">
      <c r="A1061" t="s">
        <v>1366</v>
      </c>
      <c r="B1061">
        <v>45737</v>
      </c>
      <c r="C1061" t="s">
        <v>18</v>
      </c>
      <c r="D1061" t="s">
        <v>57</v>
      </c>
      <c r="E1061" t="s">
        <v>82</v>
      </c>
      <c r="F1061" t="s">
        <v>150</v>
      </c>
      <c r="G1061">
        <v>2</v>
      </c>
      <c r="H1061">
        <v>1484.87</v>
      </c>
      <c r="I1061">
        <v>1045.05</v>
      </c>
      <c r="J1061" t="s">
        <v>28</v>
      </c>
    </row>
    <row r="1062" spans="1:10">
      <c r="A1062" t="s">
        <v>1367</v>
      </c>
      <c r="B1062">
        <v>45967</v>
      </c>
      <c r="C1062" t="s">
        <v>18</v>
      </c>
      <c r="D1062" t="s">
        <v>57</v>
      </c>
      <c r="E1062" t="s">
        <v>36</v>
      </c>
      <c r="F1062" t="s">
        <v>42</v>
      </c>
      <c r="G1062">
        <v>5</v>
      </c>
      <c r="H1062">
        <v>15804.63</v>
      </c>
      <c r="I1062">
        <v>9247.1200000000008</v>
      </c>
      <c r="J1062" t="s">
        <v>38</v>
      </c>
    </row>
    <row r="1063" spans="1:10">
      <c r="A1063" t="s">
        <v>1368</v>
      </c>
      <c r="B1063">
        <v>45658</v>
      </c>
      <c r="C1063" t="s">
        <v>30</v>
      </c>
      <c r="D1063" t="s">
        <v>504</v>
      </c>
      <c r="E1063" t="s">
        <v>82</v>
      </c>
      <c r="F1063" t="s">
        <v>83</v>
      </c>
      <c r="G1063">
        <v>6</v>
      </c>
      <c r="H1063">
        <v>6458.11</v>
      </c>
      <c r="I1063">
        <v>3981.32</v>
      </c>
      <c r="J1063" t="s">
        <v>71</v>
      </c>
    </row>
    <row r="1064" spans="1:10">
      <c r="A1064" t="s">
        <v>1369</v>
      </c>
      <c r="B1064">
        <v>45665</v>
      </c>
      <c r="C1064" t="s">
        <v>56</v>
      </c>
      <c r="D1064" t="s">
        <v>63</v>
      </c>
      <c r="E1064" t="s">
        <v>32</v>
      </c>
      <c r="F1064" t="s">
        <v>101</v>
      </c>
      <c r="G1064">
        <v>7</v>
      </c>
      <c r="H1064">
        <v>1893.21</v>
      </c>
      <c r="I1064">
        <v>1195.3599999999999</v>
      </c>
      <c r="J1064" t="s">
        <v>22</v>
      </c>
    </row>
    <row r="1065" spans="1:10">
      <c r="A1065" t="s">
        <v>1370</v>
      </c>
      <c r="B1065">
        <v>45749</v>
      </c>
      <c r="C1065" t="s">
        <v>117</v>
      </c>
      <c r="D1065" t="s">
        <v>504</v>
      </c>
      <c r="E1065" t="s">
        <v>32</v>
      </c>
      <c r="F1065" t="s">
        <v>33</v>
      </c>
      <c r="G1065">
        <v>8</v>
      </c>
      <c r="H1065">
        <v>1617.53</v>
      </c>
      <c r="I1065">
        <v>1056.42</v>
      </c>
      <c r="J1065" t="s">
        <v>71</v>
      </c>
    </row>
    <row r="1066" spans="1:10">
      <c r="A1066" t="s">
        <v>1371</v>
      </c>
      <c r="B1066">
        <v>45995</v>
      </c>
      <c r="C1066" t="s">
        <v>220</v>
      </c>
      <c r="D1066" t="s">
        <v>63</v>
      </c>
      <c r="E1066" t="s">
        <v>20</v>
      </c>
      <c r="F1066" t="s">
        <v>196</v>
      </c>
      <c r="G1066">
        <v>1</v>
      </c>
      <c r="H1066">
        <v>2993.76</v>
      </c>
      <c r="I1066">
        <v>2105.1799999999998</v>
      </c>
      <c r="J1066" t="s">
        <v>28</v>
      </c>
    </row>
    <row r="1067" spans="1:10">
      <c r="A1067" t="s">
        <v>1372</v>
      </c>
      <c r="B1067">
        <v>45940</v>
      </c>
      <c r="C1067" t="s">
        <v>162</v>
      </c>
      <c r="D1067" t="s">
        <v>57</v>
      </c>
      <c r="E1067" t="s">
        <v>82</v>
      </c>
      <c r="F1067" t="s">
        <v>97</v>
      </c>
      <c r="G1067">
        <v>8</v>
      </c>
      <c r="H1067">
        <v>5168.57</v>
      </c>
      <c r="I1067">
        <v>3629.69</v>
      </c>
      <c r="J1067" t="s">
        <v>16</v>
      </c>
    </row>
    <row r="1068" spans="1:10">
      <c r="A1068" t="s">
        <v>1373</v>
      </c>
      <c r="B1068">
        <v>46007</v>
      </c>
      <c r="C1068" t="s">
        <v>1374</v>
      </c>
      <c r="D1068" t="s">
        <v>63</v>
      </c>
      <c r="E1068" t="s">
        <v>26</v>
      </c>
      <c r="F1068" t="s">
        <v>350</v>
      </c>
      <c r="G1068">
        <v>6</v>
      </c>
      <c r="H1068">
        <v>3498.2</v>
      </c>
      <c r="I1068">
        <v>2866.98</v>
      </c>
      <c r="J1068" t="s">
        <v>22</v>
      </c>
    </row>
    <row r="1069" spans="1:10">
      <c r="A1069" t="s">
        <v>1375</v>
      </c>
      <c r="B1069">
        <v>45800</v>
      </c>
      <c r="C1069" t="s">
        <v>54</v>
      </c>
      <c r="D1069" t="s">
        <v>63</v>
      </c>
      <c r="E1069" t="s">
        <v>20</v>
      </c>
      <c r="F1069" t="s">
        <v>86</v>
      </c>
      <c r="G1069">
        <v>5</v>
      </c>
      <c r="H1069">
        <v>1736.77</v>
      </c>
      <c r="I1069">
        <v>1512.83</v>
      </c>
      <c r="J1069" t="s">
        <v>22</v>
      </c>
    </row>
    <row r="1070" spans="1:10">
      <c r="A1070" t="s">
        <v>1376</v>
      </c>
      <c r="B1070">
        <v>45713</v>
      </c>
      <c r="C1070" t="s">
        <v>246</v>
      </c>
      <c r="D1070" t="s">
        <v>19</v>
      </c>
      <c r="E1070" t="s">
        <v>82</v>
      </c>
      <c r="F1070" t="s">
        <v>97</v>
      </c>
      <c r="G1070">
        <v>8</v>
      </c>
      <c r="H1070">
        <v>3725.34</v>
      </c>
      <c r="I1070">
        <v>3211.2</v>
      </c>
      <c r="J1070" t="s">
        <v>16</v>
      </c>
    </row>
    <row r="1071" spans="1:10">
      <c r="A1071" t="s">
        <v>1377</v>
      </c>
      <c r="B1071">
        <v>45996</v>
      </c>
      <c r="C1071" t="s">
        <v>59</v>
      </c>
      <c r="D1071" t="s">
        <v>12</v>
      </c>
      <c r="E1071" t="s">
        <v>36</v>
      </c>
      <c r="F1071" t="s">
        <v>37</v>
      </c>
      <c r="G1071">
        <v>6</v>
      </c>
      <c r="H1071">
        <v>4524.82</v>
      </c>
      <c r="I1071">
        <v>3193.52</v>
      </c>
      <c r="J1071" t="s">
        <v>38</v>
      </c>
    </row>
    <row r="1072" spans="1:10">
      <c r="A1072" t="s">
        <v>1378</v>
      </c>
      <c r="B1072">
        <v>45940</v>
      </c>
      <c r="C1072" t="s">
        <v>437</v>
      </c>
      <c r="D1072" t="s">
        <v>19</v>
      </c>
      <c r="E1072" t="s">
        <v>82</v>
      </c>
      <c r="F1072" t="s">
        <v>137</v>
      </c>
      <c r="G1072">
        <v>5</v>
      </c>
      <c r="H1072">
        <v>4409.28</v>
      </c>
      <c r="I1072">
        <v>3729.67</v>
      </c>
      <c r="J1072" t="s">
        <v>71</v>
      </c>
    </row>
    <row r="1073" spans="1:10">
      <c r="A1073" t="s">
        <v>1379</v>
      </c>
      <c r="B1073">
        <v>45882</v>
      </c>
      <c r="C1073" t="s">
        <v>11</v>
      </c>
      <c r="D1073" t="s">
        <v>12</v>
      </c>
      <c r="E1073" t="s">
        <v>32</v>
      </c>
      <c r="F1073" t="s">
        <v>163</v>
      </c>
      <c r="G1073">
        <v>5</v>
      </c>
      <c r="H1073">
        <v>1448.29</v>
      </c>
      <c r="I1073">
        <v>1030.79</v>
      </c>
      <c r="J1073" t="s">
        <v>38</v>
      </c>
    </row>
    <row r="1074" spans="1:10">
      <c r="A1074" t="s">
        <v>305</v>
      </c>
      <c r="B1074">
        <v>45688</v>
      </c>
      <c r="C1074" t="s">
        <v>74</v>
      </c>
      <c r="D1074" t="s">
        <v>41</v>
      </c>
      <c r="E1074" t="s">
        <v>20</v>
      </c>
      <c r="F1074" t="s">
        <v>21</v>
      </c>
      <c r="G1074">
        <v>1</v>
      </c>
      <c r="H1074">
        <v>1312.42</v>
      </c>
      <c r="I1074">
        <v>1027.03</v>
      </c>
      <c r="J1074" t="s">
        <v>71</v>
      </c>
    </row>
    <row r="1075" spans="1:10">
      <c r="A1075" t="s">
        <v>1380</v>
      </c>
      <c r="B1075">
        <v>45981</v>
      </c>
      <c r="C1075" t="s">
        <v>220</v>
      </c>
      <c r="D1075" t="s">
        <v>12</v>
      </c>
      <c r="E1075" t="s">
        <v>32</v>
      </c>
      <c r="F1075" t="s">
        <v>101</v>
      </c>
      <c r="G1075">
        <v>3</v>
      </c>
      <c r="H1075">
        <v>920.85</v>
      </c>
      <c r="I1075">
        <v>524.1</v>
      </c>
      <c r="J1075" t="s">
        <v>28</v>
      </c>
    </row>
    <row r="1076" spans="1:10">
      <c r="A1076" t="s">
        <v>1381</v>
      </c>
      <c r="B1076">
        <v>45822</v>
      </c>
      <c r="C1076" t="s">
        <v>108</v>
      </c>
      <c r="D1076" t="s">
        <v>57</v>
      </c>
      <c r="E1076" t="s">
        <v>36</v>
      </c>
      <c r="F1076" t="s">
        <v>93</v>
      </c>
      <c r="G1076">
        <v>4</v>
      </c>
      <c r="H1076">
        <v>6558.3</v>
      </c>
      <c r="I1076">
        <v>4209.0600000000004</v>
      </c>
      <c r="J1076" t="s">
        <v>38</v>
      </c>
    </row>
    <row r="1077" spans="1:10">
      <c r="A1077" t="s">
        <v>1382</v>
      </c>
      <c r="B1077">
        <v>45739</v>
      </c>
      <c r="C1077" t="s">
        <v>11</v>
      </c>
      <c r="D1077" t="s">
        <v>57</v>
      </c>
      <c r="E1077" t="s">
        <v>20</v>
      </c>
      <c r="F1077" t="s">
        <v>14</v>
      </c>
      <c r="G1077">
        <v>4</v>
      </c>
      <c r="H1077">
        <v>3756.62</v>
      </c>
      <c r="I1077">
        <v>2077.13</v>
      </c>
      <c r="J1077" t="s">
        <v>38</v>
      </c>
    </row>
    <row r="1078" spans="1:10">
      <c r="A1078" t="s">
        <v>1383</v>
      </c>
      <c r="B1078">
        <v>45684</v>
      </c>
      <c r="C1078" t="s">
        <v>162</v>
      </c>
      <c r="D1078" t="s">
        <v>63</v>
      </c>
      <c r="E1078" t="s">
        <v>26</v>
      </c>
      <c r="F1078" t="s">
        <v>103</v>
      </c>
      <c r="G1078">
        <v>5</v>
      </c>
      <c r="H1078">
        <v>3308.46</v>
      </c>
      <c r="I1078">
        <v>2341.23</v>
      </c>
      <c r="J1078" t="s">
        <v>16</v>
      </c>
    </row>
    <row r="1079" spans="1:10">
      <c r="A1079" t="s">
        <v>1384</v>
      </c>
      <c r="B1079">
        <v>45832</v>
      </c>
      <c r="C1079" t="s">
        <v>115</v>
      </c>
      <c r="E1079" t="s">
        <v>20</v>
      </c>
      <c r="F1079" t="s">
        <v>14</v>
      </c>
      <c r="G1079">
        <v>6</v>
      </c>
      <c r="H1079">
        <v>5064.3599999999997</v>
      </c>
      <c r="I1079">
        <v>4397.2</v>
      </c>
      <c r="J1079" t="s">
        <v>22</v>
      </c>
    </row>
    <row r="1080" spans="1:10">
      <c r="A1080" t="s">
        <v>1385</v>
      </c>
      <c r="B1080">
        <v>45988</v>
      </c>
      <c r="C1080" t="s">
        <v>1040</v>
      </c>
      <c r="D1080" t="s">
        <v>19</v>
      </c>
      <c r="E1080" t="s">
        <v>78</v>
      </c>
      <c r="F1080" t="s">
        <v>131</v>
      </c>
      <c r="G1080">
        <v>3</v>
      </c>
      <c r="H1080">
        <v>1017.87</v>
      </c>
      <c r="I1080">
        <v>609.02</v>
      </c>
      <c r="J1080" t="s">
        <v>71</v>
      </c>
    </row>
    <row r="1081" spans="1:10">
      <c r="A1081" t="s">
        <v>1386</v>
      </c>
      <c r="B1081">
        <v>45997</v>
      </c>
      <c r="C1081" t="s">
        <v>645</v>
      </c>
      <c r="D1081" t="s">
        <v>12</v>
      </c>
      <c r="E1081" t="s">
        <v>26</v>
      </c>
      <c r="F1081" t="s">
        <v>79</v>
      </c>
      <c r="G1081">
        <v>6</v>
      </c>
      <c r="H1081">
        <v>553.51</v>
      </c>
      <c r="I1081">
        <v>478.32</v>
      </c>
      <c r="J1081" t="s">
        <v>71</v>
      </c>
    </row>
    <row r="1082" spans="1:10">
      <c r="A1082" t="s">
        <v>1387</v>
      </c>
      <c r="B1082">
        <v>46016</v>
      </c>
      <c r="C1082" t="s">
        <v>24</v>
      </c>
      <c r="D1082" t="s">
        <v>31</v>
      </c>
      <c r="E1082" t="s">
        <v>36</v>
      </c>
      <c r="F1082" t="s">
        <v>42</v>
      </c>
      <c r="G1082">
        <v>6</v>
      </c>
      <c r="H1082">
        <v>17103.25</v>
      </c>
      <c r="I1082">
        <v>12587.82</v>
      </c>
      <c r="J1082" t="s">
        <v>38</v>
      </c>
    </row>
    <row r="1083" spans="1:10">
      <c r="A1083" t="s">
        <v>1388</v>
      </c>
      <c r="B1083">
        <v>45993</v>
      </c>
      <c r="C1083" t="s">
        <v>11</v>
      </c>
      <c r="D1083" t="s">
        <v>31</v>
      </c>
      <c r="E1083" t="s">
        <v>20</v>
      </c>
      <c r="F1083" t="s">
        <v>14</v>
      </c>
      <c r="G1083">
        <v>7</v>
      </c>
      <c r="H1083">
        <v>2201.54</v>
      </c>
      <c r="I1083">
        <v>1390.58</v>
      </c>
      <c r="J1083" t="s">
        <v>22</v>
      </c>
    </row>
    <row r="1084" spans="1:10">
      <c r="A1084" t="s">
        <v>1389</v>
      </c>
      <c r="B1084">
        <v>45800</v>
      </c>
      <c r="C1084" t="s">
        <v>129</v>
      </c>
      <c r="D1084" t="s">
        <v>12</v>
      </c>
      <c r="E1084" t="s">
        <v>13</v>
      </c>
      <c r="F1084" t="s">
        <v>14</v>
      </c>
      <c r="G1084">
        <v>7</v>
      </c>
      <c r="H1084">
        <v>3428.26</v>
      </c>
      <c r="I1084">
        <v>2243.3200000000002</v>
      </c>
      <c r="J1084" t="s">
        <v>28</v>
      </c>
    </row>
    <row r="1085" spans="1:10">
      <c r="A1085" t="s">
        <v>1390</v>
      </c>
      <c r="B1085">
        <v>45989</v>
      </c>
      <c r="C1085" t="s">
        <v>259</v>
      </c>
      <c r="D1085" t="s">
        <v>12</v>
      </c>
      <c r="E1085" t="s">
        <v>82</v>
      </c>
      <c r="F1085" t="s">
        <v>109</v>
      </c>
      <c r="G1085">
        <v>3</v>
      </c>
      <c r="H1085" t="s">
        <v>1391</v>
      </c>
      <c r="I1085">
        <v>5262.16</v>
      </c>
      <c r="J1085" t="s">
        <v>16</v>
      </c>
    </row>
    <row r="1086" spans="1:10">
      <c r="A1086" t="s">
        <v>1392</v>
      </c>
      <c r="B1086">
        <v>45964</v>
      </c>
      <c r="C1086" t="s">
        <v>105</v>
      </c>
      <c r="D1086" t="s">
        <v>63</v>
      </c>
      <c r="E1086" t="s">
        <v>20</v>
      </c>
      <c r="F1086" t="s">
        <v>196</v>
      </c>
      <c r="G1086">
        <v>2</v>
      </c>
      <c r="H1086">
        <v>1290.02</v>
      </c>
      <c r="I1086">
        <v>838.6</v>
      </c>
      <c r="J1086" t="s">
        <v>38</v>
      </c>
    </row>
    <row r="1087" spans="1:10">
      <c r="A1087" t="s">
        <v>1393</v>
      </c>
      <c r="B1087">
        <v>45855</v>
      </c>
      <c r="C1087" t="s">
        <v>133</v>
      </c>
      <c r="D1087" t="s">
        <v>63</v>
      </c>
      <c r="E1087" t="s">
        <v>32</v>
      </c>
      <c r="F1087" t="s">
        <v>101</v>
      </c>
      <c r="G1087">
        <v>8</v>
      </c>
      <c r="H1087">
        <v>2039.77</v>
      </c>
      <c r="I1087">
        <v>1558.63</v>
      </c>
      <c r="J1087" t="s">
        <v>71</v>
      </c>
    </row>
    <row r="1088" spans="1:10">
      <c r="A1088" t="s">
        <v>1394</v>
      </c>
      <c r="B1088">
        <v>45932</v>
      </c>
      <c r="C1088" t="s">
        <v>51</v>
      </c>
      <c r="D1088" t="s">
        <v>12</v>
      </c>
      <c r="E1088" t="s">
        <v>26</v>
      </c>
      <c r="F1088" t="s">
        <v>131</v>
      </c>
      <c r="G1088">
        <v>2</v>
      </c>
      <c r="H1088">
        <v>605.45000000000005</v>
      </c>
      <c r="I1088">
        <v>382.59</v>
      </c>
      <c r="J1088" t="s">
        <v>22</v>
      </c>
    </row>
    <row r="1089" spans="1:10">
      <c r="A1089" t="s">
        <v>1395</v>
      </c>
      <c r="B1089">
        <v>45773</v>
      </c>
      <c r="C1089" t="s">
        <v>119</v>
      </c>
      <c r="D1089" t="s">
        <v>41</v>
      </c>
      <c r="E1089" t="s">
        <v>20</v>
      </c>
      <c r="F1089" t="s">
        <v>91</v>
      </c>
      <c r="G1089">
        <v>1</v>
      </c>
      <c r="H1089" t="s">
        <v>1396</v>
      </c>
      <c r="I1089">
        <v>4495.88</v>
      </c>
      <c r="J1089" t="s">
        <v>28</v>
      </c>
    </row>
    <row r="1090" spans="1:10">
      <c r="A1090" t="s">
        <v>461</v>
      </c>
      <c r="B1090">
        <v>45949</v>
      </c>
      <c r="C1090" t="s">
        <v>117</v>
      </c>
      <c r="D1090" t="s">
        <v>57</v>
      </c>
      <c r="E1090" t="s">
        <v>26</v>
      </c>
      <c r="F1090" t="s">
        <v>79</v>
      </c>
      <c r="G1090">
        <v>5</v>
      </c>
      <c r="H1090" t="s">
        <v>462</v>
      </c>
      <c r="I1090">
        <v>1181.9100000000001</v>
      </c>
      <c r="J1090" t="s">
        <v>22</v>
      </c>
    </row>
    <row r="1091" spans="1:10">
      <c r="A1091" t="s">
        <v>1397</v>
      </c>
      <c r="B1091">
        <v>45899</v>
      </c>
      <c r="C1091" t="s">
        <v>108</v>
      </c>
      <c r="D1091" t="s">
        <v>12</v>
      </c>
      <c r="E1091" t="s">
        <v>26</v>
      </c>
      <c r="F1091" t="s">
        <v>106</v>
      </c>
      <c r="G1091">
        <v>8</v>
      </c>
      <c r="H1091">
        <v>3158.35</v>
      </c>
      <c r="I1091">
        <v>2013.29</v>
      </c>
      <c r="J1091" t="s">
        <v>38</v>
      </c>
    </row>
    <row r="1092" spans="1:10">
      <c r="A1092" t="s">
        <v>1398</v>
      </c>
      <c r="B1092">
        <v>46015</v>
      </c>
      <c r="C1092" t="s">
        <v>51</v>
      </c>
      <c r="D1092" t="s">
        <v>75</v>
      </c>
      <c r="E1092" t="s">
        <v>36</v>
      </c>
      <c r="F1092" t="s">
        <v>113</v>
      </c>
      <c r="G1092">
        <v>7</v>
      </c>
      <c r="H1092">
        <v>14685.47</v>
      </c>
      <c r="I1092">
        <v>12485.96</v>
      </c>
      <c r="J1092" t="s">
        <v>16</v>
      </c>
    </row>
    <row r="1093" spans="1:10">
      <c r="A1093" t="s">
        <v>1399</v>
      </c>
      <c r="B1093">
        <v>45937</v>
      </c>
      <c r="C1093" t="s">
        <v>914</v>
      </c>
      <c r="D1093" t="s">
        <v>31</v>
      </c>
      <c r="E1093" t="s">
        <v>26</v>
      </c>
      <c r="F1093" t="s">
        <v>106</v>
      </c>
      <c r="G1093">
        <v>6</v>
      </c>
      <c r="H1093">
        <v>358.75</v>
      </c>
      <c r="I1093">
        <v>201.8</v>
      </c>
      <c r="J1093" t="s">
        <v>28</v>
      </c>
    </row>
    <row r="1094" spans="1:10">
      <c r="A1094" t="s">
        <v>1400</v>
      </c>
      <c r="B1094">
        <v>45842</v>
      </c>
      <c r="C1094" t="s">
        <v>135</v>
      </c>
      <c r="D1094" t="s">
        <v>31</v>
      </c>
      <c r="E1094" t="s">
        <v>20</v>
      </c>
      <c r="F1094" t="s">
        <v>21</v>
      </c>
      <c r="G1094">
        <v>6</v>
      </c>
      <c r="H1094">
        <v>4586.13</v>
      </c>
      <c r="I1094">
        <v>3413.64</v>
      </c>
      <c r="J1094" t="s">
        <v>38</v>
      </c>
    </row>
    <row r="1095" spans="1:10">
      <c r="A1095" t="s">
        <v>1401</v>
      </c>
      <c r="B1095">
        <v>45669</v>
      </c>
      <c r="C1095" t="s">
        <v>1069</v>
      </c>
      <c r="D1095" t="s">
        <v>31</v>
      </c>
      <c r="E1095" t="s">
        <v>20</v>
      </c>
      <c r="F1095" t="s">
        <v>14</v>
      </c>
      <c r="G1095">
        <v>4</v>
      </c>
      <c r="H1095">
        <v>5487.65</v>
      </c>
      <c r="I1095">
        <v>4782.28</v>
      </c>
      <c r="J1095" t="s">
        <v>71</v>
      </c>
    </row>
    <row r="1096" spans="1:10">
      <c r="A1096" t="s">
        <v>1402</v>
      </c>
      <c r="B1096">
        <v>45797</v>
      </c>
      <c r="C1096" t="s">
        <v>108</v>
      </c>
      <c r="D1096" t="s">
        <v>63</v>
      </c>
      <c r="E1096" t="s">
        <v>179</v>
      </c>
      <c r="F1096" t="s">
        <v>99</v>
      </c>
      <c r="G1096">
        <v>8</v>
      </c>
      <c r="H1096">
        <v>510.76</v>
      </c>
      <c r="I1096">
        <v>440.79</v>
      </c>
      <c r="J1096" t="s">
        <v>38</v>
      </c>
    </row>
    <row r="1097" spans="1:10">
      <c r="A1097" t="s">
        <v>1403</v>
      </c>
      <c r="B1097">
        <v>45688</v>
      </c>
      <c r="C1097" t="s">
        <v>1043</v>
      </c>
      <c r="D1097" t="s">
        <v>41</v>
      </c>
      <c r="E1097" t="s">
        <v>13</v>
      </c>
      <c r="F1097" t="s">
        <v>14</v>
      </c>
      <c r="G1097">
        <v>8</v>
      </c>
      <c r="H1097">
        <v>2003.17</v>
      </c>
      <c r="I1097">
        <v>1267.5899999999999</v>
      </c>
      <c r="J1097" t="s">
        <v>28</v>
      </c>
    </row>
    <row r="1098" spans="1:10">
      <c r="A1098" t="s">
        <v>1404</v>
      </c>
      <c r="B1098">
        <v>45894</v>
      </c>
      <c r="C1098" t="s">
        <v>67</v>
      </c>
      <c r="D1098" t="s">
        <v>19</v>
      </c>
      <c r="E1098" t="s">
        <v>122</v>
      </c>
      <c r="F1098" t="s">
        <v>37</v>
      </c>
      <c r="G1098">
        <v>1</v>
      </c>
      <c r="H1098">
        <v>3772.62</v>
      </c>
      <c r="I1098">
        <v>2789.41</v>
      </c>
      <c r="J1098" t="s">
        <v>28</v>
      </c>
    </row>
    <row r="1099" spans="1:10">
      <c r="A1099" t="s">
        <v>1405</v>
      </c>
      <c r="B1099">
        <v>45689</v>
      </c>
      <c r="C1099" t="s">
        <v>11</v>
      </c>
      <c r="D1099" t="s">
        <v>57</v>
      </c>
      <c r="E1099" t="s">
        <v>26</v>
      </c>
      <c r="F1099" t="s">
        <v>79</v>
      </c>
      <c r="G1099">
        <v>3</v>
      </c>
      <c r="H1099">
        <v>2694.76</v>
      </c>
      <c r="I1099">
        <v>2075.6799999999998</v>
      </c>
      <c r="J1099" t="s">
        <v>16</v>
      </c>
    </row>
    <row r="1100" spans="1:10">
      <c r="A1100" t="s">
        <v>1406</v>
      </c>
      <c r="B1100">
        <v>45663</v>
      </c>
      <c r="C1100" t="s">
        <v>11</v>
      </c>
      <c r="D1100" t="s">
        <v>41</v>
      </c>
      <c r="E1100" t="s">
        <v>32</v>
      </c>
      <c r="F1100" t="s">
        <v>101</v>
      </c>
      <c r="G1100">
        <v>2</v>
      </c>
      <c r="H1100">
        <v>468.24</v>
      </c>
      <c r="I1100">
        <v>276.39</v>
      </c>
      <c r="J1100" t="s">
        <v>38</v>
      </c>
    </row>
    <row r="1101" spans="1:10">
      <c r="A1101" t="s">
        <v>1407</v>
      </c>
      <c r="B1101">
        <v>45780</v>
      </c>
      <c r="C1101" t="s">
        <v>24</v>
      </c>
      <c r="D1101" t="s">
        <v>57</v>
      </c>
      <c r="E1101" t="s">
        <v>26</v>
      </c>
      <c r="F1101" t="s">
        <v>106</v>
      </c>
      <c r="G1101">
        <v>6</v>
      </c>
      <c r="H1101">
        <v>2880.84</v>
      </c>
      <c r="I1101">
        <v>2212.77</v>
      </c>
      <c r="J1101" t="s">
        <v>38</v>
      </c>
    </row>
    <row r="1102" spans="1:10">
      <c r="A1102" t="s">
        <v>1408</v>
      </c>
      <c r="B1102">
        <v>45899</v>
      </c>
      <c r="C1102" t="s">
        <v>117</v>
      </c>
      <c r="D1102" t="s">
        <v>12</v>
      </c>
      <c r="E1102" t="s">
        <v>32</v>
      </c>
      <c r="F1102" t="s">
        <v>1409</v>
      </c>
      <c r="G1102">
        <v>2</v>
      </c>
      <c r="H1102">
        <v>1766.74</v>
      </c>
      <c r="I1102">
        <v>1051.8499999999999</v>
      </c>
      <c r="J1102" t="s">
        <v>38</v>
      </c>
    </row>
    <row r="1103" spans="1:10">
      <c r="A1103" t="s">
        <v>1410</v>
      </c>
      <c r="B1103">
        <v>45741</v>
      </c>
      <c r="C1103" t="s">
        <v>48</v>
      </c>
      <c r="D1103" t="s">
        <v>19</v>
      </c>
      <c r="E1103" t="s">
        <v>82</v>
      </c>
      <c r="F1103" t="s">
        <v>137</v>
      </c>
      <c r="G1103">
        <v>7</v>
      </c>
      <c r="H1103">
        <v>6938.06</v>
      </c>
      <c r="I1103">
        <v>5508.65</v>
      </c>
      <c r="J1103" t="s">
        <v>22</v>
      </c>
    </row>
    <row r="1104" spans="1:10">
      <c r="A1104" t="s">
        <v>1411</v>
      </c>
      <c r="B1104">
        <v>45688</v>
      </c>
      <c r="C1104" t="s">
        <v>117</v>
      </c>
      <c r="D1104" t="s">
        <v>41</v>
      </c>
      <c r="E1104" t="s">
        <v>82</v>
      </c>
      <c r="F1104" t="s">
        <v>97</v>
      </c>
      <c r="G1104">
        <v>8</v>
      </c>
      <c r="H1104">
        <v>1184.8900000000001</v>
      </c>
      <c r="I1104">
        <v>750.62</v>
      </c>
      <c r="J1104" t="s">
        <v>16</v>
      </c>
    </row>
    <row r="1105" spans="1:10">
      <c r="A1105" t="s">
        <v>1412</v>
      </c>
      <c r="B1105">
        <v>45721</v>
      </c>
      <c r="C1105" t="s">
        <v>121</v>
      </c>
      <c r="D1105" t="s">
        <v>577</v>
      </c>
      <c r="E1105" t="s">
        <v>36</v>
      </c>
      <c r="F1105" t="s">
        <v>37</v>
      </c>
      <c r="G1105">
        <v>4</v>
      </c>
      <c r="H1105">
        <v>10948.01</v>
      </c>
      <c r="I1105">
        <v>6744.06</v>
      </c>
      <c r="J1105" t="s">
        <v>22</v>
      </c>
    </row>
    <row r="1106" spans="1:10">
      <c r="A1106" t="s">
        <v>1413</v>
      </c>
      <c r="B1106">
        <v>45707</v>
      </c>
      <c r="C1106" t="s">
        <v>135</v>
      </c>
      <c r="D1106" t="s">
        <v>63</v>
      </c>
      <c r="E1106" t="s">
        <v>20</v>
      </c>
      <c r="F1106" t="s">
        <v>196</v>
      </c>
      <c r="G1106">
        <v>3</v>
      </c>
      <c r="H1106">
        <v>3117.28</v>
      </c>
      <c r="I1106">
        <v>2346.9</v>
      </c>
      <c r="J1106" t="s">
        <v>16</v>
      </c>
    </row>
    <row r="1107" spans="1:10">
      <c r="A1107" t="s">
        <v>1414</v>
      </c>
      <c r="B1107">
        <v>45914</v>
      </c>
      <c r="C1107" t="s">
        <v>85</v>
      </c>
      <c r="D1107" t="s">
        <v>63</v>
      </c>
      <c r="E1107" t="s">
        <v>82</v>
      </c>
      <c r="F1107" t="s">
        <v>150</v>
      </c>
      <c r="G1107">
        <v>3</v>
      </c>
      <c r="H1107">
        <v>3303.33</v>
      </c>
      <c r="I1107">
        <v>2067.54</v>
      </c>
      <c r="J1107" t="s">
        <v>38</v>
      </c>
    </row>
    <row r="1108" spans="1:10">
      <c r="A1108" t="s">
        <v>1415</v>
      </c>
      <c r="B1108">
        <v>45933</v>
      </c>
      <c r="C1108" t="s">
        <v>105</v>
      </c>
      <c r="D1108" t="s">
        <v>63</v>
      </c>
      <c r="E1108" t="s">
        <v>420</v>
      </c>
      <c r="F1108" t="s">
        <v>86</v>
      </c>
      <c r="G1108">
        <v>5</v>
      </c>
      <c r="H1108">
        <v>5631.63</v>
      </c>
      <c r="I1108">
        <v>4391.1899999999996</v>
      </c>
      <c r="J1108" t="s">
        <v>71</v>
      </c>
    </row>
    <row r="1109" spans="1:10">
      <c r="A1109" t="s">
        <v>1416</v>
      </c>
      <c r="B1109">
        <v>45970</v>
      </c>
      <c r="C1109" t="s">
        <v>70</v>
      </c>
      <c r="D1109" t="s">
        <v>31</v>
      </c>
      <c r="E1109" t="s">
        <v>36</v>
      </c>
      <c r="F1109" t="s">
        <v>113</v>
      </c>
      <c r="G1109">
        <v>2</v>
      </c>
      <c r="H1109">
        <v>5093.46</v>
      </c>
      <c r="I1109">
        <v>3861.45</v>
      </c>
      <c r="J1109" t="s">
        <v>16</v>
      </c>
    </row>
    <row r="1110" spans="1:10">
      <c r="A1110" t="s">
        <v>1417</v>
      </c>
      <c r="B1110">
        <v>45687</v>
      </c>
      <c r="C1110" t="s">
        <v>135</v>
      </c>
      <c r="D1110" t="s">
        <v>41</v>
      </c>
      <c r="E1110" t="s">
        <v>20</v>
      </c>
      <c r="F1110" t="s">
        <v>196</v>
      </c>
      <c r="G1110">
        <v>5</v>
      </c>
      <c r="H1110">
        <v>2806.18</v>
      </c>
      <c r="I1110">
        <v>2363.67</v>
      </c>
      <c r="J1110" t="s">
        <v>38</v>
      </c>
    </row>
    <row r="1111" spans="1:10">
      <c r="A1111" t="s">
        <v>1418</v>
      </c>
      <c r="B1111">
        <v>45936</v>
      </c>
      <c r="C1111" t="s">
        <v>129</v>
      </c>
      <c r="D1111" t="s">
        <v>19</v>
      </c>
      <c r="E1111" t="s">
        <v>36</v>
      </c>
      <c r="F1111" t="s">
        <v>113</v>
      </c>
      <c r="G1111">
        <v>1</v>
      </c>
      <c r="H1111">
        <v>7576.76</v>
      </c>
      <c r="I1111">
        <v>5342.71</v>
      </c>
      <c r="J1111" t="s">
        <v>28</v>
      </c>
    </row>
    <row r="1112" spans="1:10">
      <c r="A1112" t="s">
        <v>1419</v>
      </c>
      <c r="B1112">
        <v>45938</v>
      </c>
      <c r="C1112" t="s">
        <v>67</v>
      </c>
      <c r="D1112" t="s">
        <v>19</v>
      </c>
      <c r="E1112" t="s">
        <v>32</v>
      </c>
      <c r="F1112" t="s">
        <v>99</v>
      </c>
      <c r="G1112">
        <v>6</v>
      </c>
      <c r="H1112">
        <v>1242.5</v>
      </c>
      <c r="I1112">
        <v>694.59</v>
      </c>
      <c r="J1112" t="s">
        <v>16</v>
      </c>
    </row>
    <row r="1113" spans="1:10">
      <c r="A1113" t="s">
        <v>1420</v>
      </c>
      <c r="B1113">
        <v>45977</v>
      </c>
      <c r="C1113" t="s">
        <v>557</v>
      </c>
      <c r="D1113" t="s">
        <v>63</v>
      </c>
      <c r="E1113" t="s">
        <v>32</v>
      </c>
      <c r="F1113" t="s">
        <v>163</v>
      </c>
      <c r="G1113">
        <v>2</v>
      </c>
      <c r="H1113">
        <v>2197.23</v>
      </c>
      <c r="I1113">
        <v>1328.93</v>
      </c>
      <c r="J1113" t="s">
        <v>22</v>
      </c>
    </row>
    <row r="1114" spans="1:10">
      <c r="A1114" t="s">
        <v>1421</v>
      </c>
      <c r="B1114">
        <v>45701</v>
      </c>
      <c r="C1114" t="s">
        <v>30</v>
      </c>
      <c r="D1114" t="s">
        <v>41</v>
      </c>
      <c r="E1114" t="s">
        <v>82</v>
      </c>
      <c r="F1114" t="s">
        <v>83</v>
      </c>
      <c r="G1114">
        <v>6</v>
      </c>
      <c r="H1114">
        <v>3051.87</v>
      </c>
      <c r="I1114">
        <v>1723.83</v>
      </c>
      <c r="J1114" t="s">
        <v>16</v>
      </c>
    </row>
    <row r="1115" spans="1:10">
      <c r="A1115" t="s">
        <v>1422</v>
      </c>
      <c r="B1115">
        <v>45849</v>
      </c>
      <c r="C1115" t="s">
        <v>18</v>
      </c>
      <c r="D1115" t="s">
        <v>31</v>
      </c>
      <c r="E1115" t="s">
        <v>32</v>
      </c>
      <c r="F1115" t="s">
        <v>163</v>
      </c>
      <c r="H1115">
        <v>1578.96</v>
      </c>
      <c r="I1115">
        <v>1377.49</v>
      </c>
      <c r="J1115" t="s">
        <v>71</v>
      </c>
    </row>
    <row r="1116" spans="1:10">
      <c r="A1116" t="s">
        <v>1423</v>
      </c>
      <c r="B1116">
        <v>45872</v>
      </c>
      <c r="C1116" t="s">
        <v>18</v>
      </c>
      <c r="D1116" t="s">
        <v>12</v>
      </c>
      <c r="E1116" t="s">
        <v>32</v>
      </c>
      <c r="F1116" t="s">
        <v>101</v>
      </c>
      <c r="G1116">
        <v>3</v>
      </c>
      <c r="H1116">
        <v>1149.81</v>
      </c>
      <c r="I1116">
        <v>709.76</v>
      </c>
      <c r="J1116" t="s">
        <v>38</v>
      </c>
    </row>
    <row r="1117" spans="1:10">
      <c r="A1117" t="s">
        <v>1424</v>
      </c>
      <c r="B1117">
        <v>45902</v>
      </c>
      <c r="C1117" t="s">
        <v>175</v>
      </c>
      <c r="D1117" t="s">
        <v>65</v>
      </c>
      <c r="E1117" t="s">
        <v>82</v>
      </c>
      <c r="F1117" t="s">
        <v>83</v>
      </c>
      <c r="G1117">
        <v>1</v>
      </c>
      <c r="H1117">
        <v>6622.09</v>
      </c>
      <c r="I1117">
        <v>4294.7</v>
      </c>
      <c r="J1117" t="s">
        <v>28</v>
      </c>
    </row>
    <row r="1118" spans="1:10">
      <c r="A1118" t="s">
        <v>1425</v>
      </c>
      <c r="B1118">
        <v>45664</v>
      </c>
      <c r="C1118" t="s">
        <v>115</v>
      </c>
      <c r="D1118" t="s">
        <v>41</v>
      </c>
      <c r="E1118" t="s">
        <v>82</v>
      </c>
      <c r="F1118" t="s">
        <v>109</v>
      </c>
      <c r="G1118">
        <v>2</v>
      </c>
      <c r="H1118">
        <v>2893.98</v>
      </c>
      <c r="I1118">
        <v>1611.47</v>
      </c>
      <c r="J1118" t="s">
        <v>16</v>
      </c>
    </row>
    <row r="1119" spans="1:10">
      <c r="A1119" t="s">
        <v>1426</v>
      </c>
      <c r="B1119">
        <v>45915</v>
      </c>
      <c r="C1119" t="s">
        <v>124</v>
      </c>
      <c r="D1119" t="s">
        <v>312</v>
      </c>
      <c r="E1119" t="s">
        <v>82</v>
      </c>
      <c r="F1119" t="s">
        <v>150</v>
      </c>
      <c r="G1119">
        <v>1</v>
      </c>
      <c r="H1119">
        <v>1151.97</v>
      </c>
      <c r="I1119">
        <v>885.08</v>
      </c>
      <c r="J1119" t="s">
        <v>71</v>
      </c>
    </row>
    <row r="1120" spans="1:10">
      <c r="A1120" t="s">
        <v>1427</v>
      </c>
      <c r="B1120">
        <v>45853</v>
      </c>
      <c r="C1120" t="s">
        <v>74</v>
      </c>
      <c r="D1120" t="s">
        <v>19</v>
      </c>
      <c r="E1120" t="s">
        <v>26</v>
      </c>
      <c r="F1120" t="s">
        <v>103</v>
      </c>
      <c r="G1120">
        <v>3</v>
      </c>
      <c r="H1120">
        <v>2335.12</v>
      </c>
      <c r="I1120">
        <v>1806.11</v>
      </c>
      <c r="J1120" t="s">
        <v>16</v>
      </c>
    </row>
    <row r="1121" spans="1:10">
      <c r="A1121" t="s">
        <v>1428</v>
      </c>
      <c r="B1121">
        <v>45962</v>
      </c>
      <c r="C1121" t="s">
        <v>40</v>
      </c>
      <c r="D1121" t="s">
        <v>63</v>
      </c>
      <c r="E1121" t="s">
        <v>32</v>
      </c>
      <c r="F1121" t="s">
        <v>163</v>
      </c>
      <c r="G1121">
        <v>8</v>
      </c>
      <c r="H1121" t="s">
        <v>1429</v>
      </c>
      <c r="I1121">
        <v>544.89</v>
      </c>
      <c r="J1121" t="s">
        <v>22</v>
      </c>
    </row>
    <row r="1122" spans="1:10">
      <c r="A1122" t="s">
        <v>1430</v>
      </c>
      <c r="B1122">
        <v>45714</v>
      </c>
      <c r="C1122" t="s">
        <v>85</v>
      </c>
      <c r="D1122" t="s">
        <v>41</v>
      </c>
      <c r="E1122" t="s">
        <v>122</v>
      </c>
      <c r="F1122" t="s">
        <v>88</v>
      </c>
      <c r="G1122">
        <v>3</v>
      </c>
      <c r="H1122">
        <v>1926.01</v>
      </c>
      <c r="I1122">
        <v>1467.64</v>
      </c>
      <c r="J1122" t="s">
        <v>38</v>
      </c>
    </row>
    <row r="1123" spans="1:10">
      <c r="A1123" t="s">
        <v>1243</v>
      </c>
      <c r="B1123">
        <v>45977</v>
      </c>
      <c r="C1123" t="s">
        <v>108</v>
      </c>
      <c r="D1123" t="s">
        <v>63</v>
      </c>
      <c r="E1123" t="s">
        <v>82</v>
      </c>
      <c r="F1123" t="s">
        <v>83</v>
      </c>
      <c r="G1123">
        <v>3</v>
      </c>
      <c r="H1123">
        <v>3399</v>
      </c>
      <c r="I1123">
        <v>2345.1799999999998</v>
      </c>
      <c r="J1123" t="s">
        <v>28</v>
      </c>
    </row>
    <row r="1124" spans="1:10">
      <c r="A1124" t="s">
        <v>1431</v>
      </c>
      <c r="B1124">
        <v>45866</v>
      </c>
      <c r="C1124" t="s">
        <v>67</v>
      </c>
      <c r="D1124" t="s">
        <v>31</v>
      </c>
      <c r="E1124" t="s">
        <v>13</v>
      </c>
      <c r="F1124" t="s">
        <v>21</v>
      </c>
      <c r="G1124">
        <v>7</v>
      </c>
      <c r="H1124">
        <v>2981.19</v>
      </c>
      <c r="I1124">
        <v>2037.55</v>
      </c>
      <c r="J1124" t="s">
        <v>22</v>
      </c>
    </row>
    <row r="1125" spans="1:10">
      <c r="A1125" t="s">
        <v>1432</v>
      </c>
      <c r="B1125">
        <v>45875</v>
      </c>
      <c r="C1125" t="s">
        <v>70</v>
      </c>
      <c r="D1125" t="s">
        <v>12</v>
      </c>
      <c r="E1125" t="s">
        <v>20</v>
      </c>
      <c r="F1125" t="s">
        <v>91</v>
      </c>
      <c r="G1125">
        <v>7</v>
      </c>
      <c r="H1125">
        <v>950.71</v>
      </c>
      <c r="I1125">
        <v>542.4</v>
      </c>
      <c r="J1125" t="s">
        <v>71</v>
      </c>
    </row>
    <row r="1126" spans="1:10">
      <c r="A1126" t="s">
        <v>1433</v>
      </c>
      <c r="B1126">
        <v>46010</v>
      </c>
      <c r="C1126" t="s">
        <v>135</v>
      </c>
      <c r="D1126" t="s">
        <v>57</v>
      </c>
      <c r="E1126" t="s">
        <v>20</v>
      </c>
      <c r="F1126" t="s">
        <v>21</v>
      </c>
      <c r="G1126">
        <v>3</v>
      </c>
      <c r="H1126">
        <v>2865.35</v>
      </c>
      <c r="I1126">
        <v>2435.46</v>
      </c>
      <c r="J1126" t="s">
        <v>71</v>
      </c>
    </row>
    <row r="1127" spans="1:10">
      <c r="A1127" t="s">
        <v>1434</v>
      </c>
      <c r="B1127">
        <v>45884</v>
      </c>
      <c r="C1127" t="s">
        <v>24</v>
      </c>
      <c r="D1127" t="s">
        <v>63</v>
      </c>
      <c r="E1127" t="s">
        <v>82</v>
      </c>
      <c r="F1127" t="s">
        <v>155</v>
      </c>
      <c r="G1127">
        <v>4</v>
      </c>
      <c r="H1127">
        <v>972.14</v>
      </c>
      <c r="I1127">
        <v>566.91</v>
      </c>
    </row>
    <row r="1128" spans="1:10">
      <c r="A1128" t="s">
        <v>1435</v>
      </c>
      <c r="B1128">
        <v>45879</v>
      </c>
      <c r="C1128" t="s">
        <v>129</v>
      </c>
      <c r="D1128" t="s">
        <v>31</v>
      </c>
      <c r="E1128" t="s">
        <v>82</v>
      </c>
      <c r="F1128" t="s">
        <v>150</v>
      </c>
      <c r="G1128">
        <v>4</v>
      </c>
      <c r="H1128" t="s">
        <v>1436</v>
      </c>
      <c r="I1128">
        <v>2753.68</v>
      </c>
      <c r="J1128" t="s">
        <v>28</v>
      </c>
    </row>
    <row r="1129" spans="1:10">
      <c r="A1129" t="s">
        <v>1437</v>
      </c>
      <c r="B1129">
        <v>45839</v>
      </c>
      <c r="C1129" t="s">
        <v>259</v>
      </c>
      <c r="D1129" t="s">
        <v>12</v>
      </c>
      <c r="E1129" t="s">
        <v>36</v>
      </c>
      <c r="F1129" t="s">
        <v>37</v>
      </c>
      <c r="G1129">
        <v>2</v>
      </c>
      <c r="H1129">
        <v>11107.41</v>
      </c>
      <c r="I1129">
        <v>8984.39</v>
      </c>
      <c r="J1129" t="s">
        <v>28</v>
      </c>
    </row>
    <row r="1130" spans="1:10">
      <c r="A1130" t="s">
        <v>1438</v>
      </c>
      <c r="B1130">
        <v>45774</v>
      </c>
      <c r="C1130" t="s">
        <v>48</v>
      </c>
      <c r="D1130" t="s">
        <v>504</v>
      </c>
      <c r="E1130" t="s">
        <v>20</v>
      </c>
      <c r="F1130" t="s">
        <v>91</v>
      </c>
      <c r="G1130">
        <v>5</v>
      </c>
      <c r="H1130">
        <v>1189.3900000000001</v>
      </c>
      <c r="I1130">
        <v>705.27</v>
      </c>
      <c r="J1130" t="s">
        <v>16</v>
      </c>
    </row>
    <row r="1131" spans="1:10">
      <c r="A1131" t="s">
        <v>1439</v>
      </c>
      <c r="B1131">
        <v>45730</v>
      </c>
      <c r="C1131" t="s">
        <v>35</v>
      </c>
      <c r="D1131" t="s">
        <v>31</v>
      </c>
      <c r="E1131" t="s">
        <v>36</v>
      </c>
      <c r="F1131" t="s">
        <v>93</v>
      </c>
      <c r="G1131">
        <v>6</v>
      </c>
      <c r="H1131">
        <v>13645.37</v>
      </c>
      <c r="I1131">
        <v>8576.64</v>
      </c>
      <c r="J1131" t="s">
        <v>22</v>
      </c>
    </row>
    <row r="1132" spans="1:10">
      <c r="A1132" t="s">
        <v>1440</v>
      </c>
      <c r="B1132">
        <v>45683</v>
      </c>
      <c r="C1132" t="s">
        <v>117</v>
      </c>
      <c r="D1132" t="s">
        <v>41</v>
      </c>
      <c r="E1132" t="s">
        <v>26</v>
      </c>
      <c r="F1132" t="s">
        <v>68</v>
      </c>
      <c r="G1132">
        <v>8</v>
      </c>
      <c r="H1132">
        <v>1884.26</v>
      </c>
      <c r="I1132">
        <v>1566.57</v>
      </c>
      <c r="J1132" t="s">
        <v>71</v>
      </c>
    </row>
    <row r="1133" spans="1:10">
      <c r="A1133" t="s">
        <v>1441</v>
      </c>
      <c r="B1133">
        <v>45864</v>
      </c>
      <c r="C1133" t="s">
        <v>1442</v>
      </c>
      <c r="D1133" t="s">
        <v>63</v>
      </c>
      <c r="E1133" t="s">
        <v>235</v>
      </c>
      <c r="F1133" t="s">
        <v>33</v>
      </c>
      <c r="G1133">
        <v>2</v>
      </c>
      <c r="H1133" t="s">
        <v>1443</v>
      </c>
      <c r="I1133">
        <v>794.84</v>
      </c>
      <c r="J1133" t="s">
        <v>28</v>
      </c>
    </row>
    <row r="1134" spans="1:10">
      <c r="A1134" t="s">
        <v>1444</v>
      </c>
      <c r="B1134">
        <v>45719</v>
      </c>
      <c r="C1134" t="s">
        <v>67</v>
      </c>
      <c r="D1134" t="s">
        <v>540</v>
      </c>
      <c r="E1134" t="s">
        <v>20</v>
      </c>
      <c r="F1134" t="s">
        <v>196</v>
      </c>
      <c r="G1134">
        <v>7</v>
      </c>
      <c r="H1134" t="s">
        <v>1445</v>
      </c>
      <c r="I1134">
        <v>2343.19</v>
      </c>
      <c r="J1134" t="s">
        <v>71</v>
      </c>
    </row>
    <row r="1135" spans="1:10">
      <c r="A1135" t="s">
        <v>1446</v>
      </c>
      <c r="B1135">
        <v>45992</v>
      </c>
      <c r="C1135" t="s">
        <v>119</v>
      </c>
      <c r="D1135" t="s">
        <v>63</v>
      </c>
      <c r="E1135" t="s">
        <v>149</v>
      </c>
      <c r="F1135" t="s">
        <v>97</v>
      </c>
      <c r="G1135">
        <v>8</v>
      </c>
      <c r="H1135">
        <v>3100.29</v>
      </c>
      <c r="I1135">
        <v>2208.2399999999998</v>
      </c>
      <c r="J1135" t="s">
        <v>28</v>
      </c>
    </row>
    <row r="1136" spans="1:10">
      <c r="A1136" t="s">
        <v>1447</v>
      </c>
      <c r="B1136">
        <v>45718</v>
      </c>
      <c r="C1136" t="s">
        <v>121</v>
      </c>
      <c r="D1136" t="s">
        <v>12</v>
      </c>
      <c r="E1136" t="s">
        <v>20</v>
      </c>
      <c r="F1136" t="s">
        <v>86</v>
      </c>
      <c r="G1136">
        <v>8</v>
      </c>
      <c r="H1136">
        <v>5529.43</v>
      </c>
      <c r="I1136">
        <v>4310.5</v>
      </c>
      <c r="J1136" t="s">
        <v>71</v>
      </c>
    </row>
    <row r="1137" spans="1:10">
      <c r="A1137" t="s">
        <v>712</v>
      </c>
      <c r="B1137">
        <v>45692</v>
      </c>
      <c r="C1137" t="s">
        <v>220</v>
      </c>
      <c r="D1137" t="s">
        <v>12</v>
      </c>
      <c r="E1137" t="s">
        <v>36</v>
      </c>
      <c r="F1137" t="s">
        <v>113</v>
      </c>
      <c r="G1137">
        <v>1</v>
      </c>
      <c r="H1137">
        <v>5383.37</v>
      </c>
      <c r="I1137">
        <v>3031.61</v>
      </c>
      <c r="J1137" t="s">
        <v>16</v>
      </c>
    </row>
    <row r="1138" spans="1:10">
      <c r="A1138" t="s">
        <v>1448</v>
      </c>
      <c r="B1138">
        <v>46002</v>
      </c>
      <c r="C1138" t="s">
        <v>48</v>
      </c>
      <c r="D1138" t="s">
        <v>19</v>
      </c>
      <c r="E1138" t="s">
        <v>32</v>
      </c>
      <c r="F1138" t="s">
        <v>33</v>
      </c>
      <c r="G1138">
        <v>6</v>
      </c>
      <c r="H1138">
        <v>2030.74</v>
      </c>
      <c r="I1138">
        <v>1652.86</v>
      </c>
      <c r="J1138" t="s">
        <v>71</v>
      </c>
    </row>
    <row r="1139" spans="1:10">
      <c r="A1139" t="s">
        <v>1449</v>
      </c>
      <c r="B1139">
        <v>45841</v>
      </c>
      <c r="C1139" t="s">
        <v>403</v>
      </c>
      <c r="D1139" t="s">
        <v>19</v>
      </c>
      <c r="E1139" t="s">
        <v>82</v>
      </c>
      <c r="F1139" t="s">
        <v>155</v>
      </c>
      <c r="G1139">
        <v>1</v>
      </c>
      <c r="H1139">
        <v>3027.72</v>
      </c>
      <c r="I1139">
        <v>1854.89</v>
      </c>
      <c r="J1139" t="s">
        <v>16</v>
      </c>
    </row>
    <row r="1140" spans="1:10">
      <c r="A1140" t="s">
        <v>1450</v>
      </c>
      <c r="B1140">
        <v>45708</v>
      </c>
      <c r="C1140" t="s">
        <v>59</v>
      </c>
      <c r="D1140" t="s">
        <v>31</v>
      </c>
      <c r="E1140" t="s">
        <v>36</v>
      </c>
      <c r="F1140" t="s">
        <v>42</v>
      </c>
      <c r="G1140">
        <v>4</v>
      </c>
      <c r="H1140">
        <v>16640.16</v>
      </c>
      <c r="I1140">
        <v>13826.77</v>
      </c>
      <c r="J1140" t="s">
        <v>28</v>
      </c>
    </row>
    <row r="1141" spans="1:10">
      <c r="A1141" t="s">
        <v>1451</v>
      </c>
      <c r="B1141">
        <v>45692</v>
      </c>
      <c r="C1141" t="s">
        <v>115</v>
      </c>
      <c r="D1141" t="s">
        <v>12</v>
      </c>
      <c r="E1141" t="s">
        <v>36</v>
      </c>
      <c r="F1141" t="s">
        <v>113</v>
      </c>
      <c r="G1141">
        <v>4</v>
      </c>
      <c r="H1141">
        <v>16364.73</v>
      </c>
      <c r="I1141">
        <v>9680.9500000000007</v>
      </c>
      <c r="J1141" t="s">
        <v>38</v>
      </c>
    </row>
    <row r="1142" spans="1:10">
      <c r="A1142" t="s">
        <v>1452</v>
      </c>
      <c r="B1142">
        <v>45807</v>
      </c>
      <c r="C1142" t="s">
        <v>162</v>
      </c>
      <c r="D1142" t="s">
        <v>41</v>
      </c>
      <c r="E1142" t="s">
        <v>20</v>
      </c>
      <c r="F1142" t="s">
        <v>191</v>
      </c>
      <c r="G1142">
        <v>7</v>
      </c>
      <c r="H1142">
        <v>823.47</v>
      </c>
      <c r="I1142">
        <v>673.08</v>
      </c>
      <c r="J1142" t="s">
        <v>71</v>
      </c>
    </row>
    <row r="1143" spans="1:10">
      <c r="A1143" t="s">
        <v>1453</v>
      </c>
      <c r="B1143">
        <v>45889</v>
      </c>
      <c r="C1143" t="s">
        <v>108</v>
      </c>
      <c r="D1143" t="s">
        <v>31</v>
      </c>
      <c r="E1143" t="s">
        <v>32</v>
      </c>
      <c r="F1143" t="s">
        <v>101</v>
      </c>
      <c r="G1143">
        <v>8</v>
      </c>
      <c r="H1143">
        <v>2209.06</v>
      </c>
      <c r="I1143">
        <v>1312.31</v>
      </c>
      <c r="J1143" t="s">
        <v>71</v>
      </c>
    </row>
    <row r="1144" spans="1:10">
      <c r="A1144" t="s">
        <v>1454</v>
      </c>
      <c r="B1144" t="s">
        <v>1455</v>
      </c>
      <c r="C1144" t="s">
        <v>30</v>
      </c>
      <c r="D1144" t="s">
        <v>63</v>
      </c>
      <c r="E1144" t="s">
        <v>82</v>
      </c>
      <c r="F1144" t="s">
        <v>83</v>
      </c>
      <c r="G1144">
        <v>6</v>
      </c>
      <c r="H1144">
        <v>5097.71</v>
      </c>
      <c r="I1144">
        <v>3486.79</v>
      </c>
      <c r="J1144" t="s">
        <v>28</v>
      </c>
    </row>
    <row r="1145" spans="1:10">
      <c r="A1145" t="s">
        <v>1456</v>
      </c>
      <c r="B1145">
        <v>45968</v>
      </c>
      <c r="C1145" t="s">
        <v>282</v>
      </c>
      <c r="D1145" t="s">
        <v>57</v>
      </c>
      <c r="E1145" t="s">
        <v>32</v>
      </c>
      <c r="F1145" t="s">
        <v>163</v>
      </c>
      <c r="G1145">
        <v>6</v>
      </c>
      <c r="H1145">
        <v>1156.44</v>
      </c>
      <c r="I1145">
        <v>845.64</v>
      </c>
      <c r="J1145" t="s">
        <v>28</v>
      </c>
    </row>
    <row r="1146" spans="1:10">
      <c r="A1146" t="s">
        <v>1457</v>
      </c>
      <c r="B1146">
        <v>45930</v>
      </c>
      <c r="C1146" t="s">
        <v>135</v>
      </c>
      <c r="D1146" t="s">
        <v>41</v>
      </c>
      <c r="E1146" t="s">
        <v>82</v>
      </c>
      <c r="F1146" t="s">
        <v>83</v>
      </c>
      <c r="G1146">
        <v>7</v>
      </c>
      <c r="H1146">
        <v>5834.18</v>
      </c>
      <c r="I1146">
        <v>3685.33</v>
      </c>
      <c r="J1146" t="s">
        <v>22</v>
      </c>
    </row>
    <row r="1147" spans="1:10">
      <c r="A1147" t="s">
        <v>1458</v>
      </c>
      <c r="B1147">
        <v>45685</v>
      </c>
      <c r="C1147" t="s">
        <v>74</v>
      </c>
      <c r="D1147" t="s">
        <v>57</v>
      </c>
      <c r="E1147" t="s">
        <v>20</v>
      </c>
      <c r="F1147" t="s">
        <v>196</v>
      </c>
      <c r="G1147">
        <v>4</v>
      </c>
      <c r="H1147">
        <v>4907.9799999999996</v>
      </c>
      <c r="I1147">
        <v>3827.1</v>
      </c>
      <c r="J1147" t="s">
        <v>71</v>
      </c>
    </row>
    <row r="1148" spans="1:10">
      <c r="A1148" t="s">
        <v>1459</v>
      </c>
      <c r="B1148">
        <v>45837</v>
      </c>
      <c r="C1148" t="s">
        <v>108</v>
      </c>
      <c r="D1148" t="s">
        <v>63</v>
      </c>
      <c r="E1148" t="s">
        <v>149</v>
      </c>
      <c r="F1148" t="s">
        <v>97</v>
      </c>
      <c r="G1148">
        <v>6</v>
      </c>
      <c r="H1148">
        <v>1479.19</v>
      </c>
      <c r="I1148">
        <v>1250.19</v>
      </c>
      <c r="J1148" t="s">
        <v>16</v>
      </c>
    </row>
    <row r="1149" spans="1:10">
      <c r="A1149" t="s">
        <v>1460</v>
      </c>
      <c r="B1149">
        <v>45908</v>
      </c>
      <c r="C1149" t="s">
        <v>18</v>
      </c>
      <c r="D1149" t="s">
        <v>41</v>
      </c>
      <c r="E1149" t="s">
        <v>26</v>
      </c>
      <c r="F1149" t="s">
        <v>79</v>
      </c>
      <c r="G1149">
        <v>5</v>
      </c>
      <c r="H1149">
        <v>3192.34</v>
      </c>
      <c r="I1149">
        <v>2647.13</v>
      </c>
      <c r="J1149" t="s">
        <v>16</v>
      </c>
    </row>
    <row r="1150" spans="1:10">
      <c r="A1150" t="s">
        <v>1461</v>
      </c>
      <c r="B1150">
        <v>45729</v>
      </c>
      <c r="C1150" t="s">
        <v>70</v>
      </c>
      <c r="D1150" t="s">
        <v>41</v>
      </c>
      <c r="E1150" t="s">
        <v>32</v>
      </c>
      <c r="F1150" t="s">
        <v>163</v>
      </c>
      <c r="G1150">
        <v>1</v>
      </c>
      <c r="H1150">
        <v>1584.39</v>
      </c>
      <c r="I1150">
        <v>1325.77</v>
      </c>
      <c r="J1150" t="s">
        <v>22</v>
      </c>
    </row>
    <row r="1151" spans="1:10">
      <c r="A1151" t="s">
        <v>1462</v>
      </c>
      <c r="B1151">
        <v>45784</v>
      </c>
      <c r="C1151" t="s">
        <v>70</v>
      </c>
      <c r="D1151" t="s">
        <v>31</v>
      </c>
      <c r="E1151" t="s">
        <v>32</v>
      </c>
      <c r="F1151" t="s">
        <v>180</v>
      </c>
      <c r="G1151">
        <v>4</v>
      </c>
      <c r="H1151" t="s">
        <v>1463</v>
      </c>
      <c r="I1151">
        <v>193.4</v>
      </c>
      <c r="J1151" t="s">
        <v>38</v>
      </c>
    </row>
    <row r="1152" spans="1:10">
      <c r="A1152" t="s">
        <v>1464</v>
      </c>
      <c r="B1152">
        <v>45779</v>
      </c>
      <c r="C1152" t="s">
        <v>11</v>
      </c>
      <c r="D1152" t="s">
        <v>63</v>
      </c>
      <c r="E1152" t="s">
        <v>36</v>
      </c>
      <c r="F1152" t="s">
        <v>93</v>
      </c>
      <c r="G1152">
        <v>6</v>
      </c>
      <c r="H1152">
        <v>8627.6</v>
      </c>
      <c r="I1152">
        <v>7452</v>
      </c>
      <c r="J1152" t="s">
        <v>71</v>
      </c>
    </row>
    <row r="1153" spans="1:10">
      <c r="A1153" t="s">
        <v>1465</v>
      </c>
      <c r="B1153">
        <v>45680</v>
      </c>
      <c r="C1153" t="s">
        <v>129</v>
      </c>
      <c r="D1153" t="s">
        <v>31</v>
      </c>
      <c r="E1153" t="s">
        <v>32</v>
      </c>
      <c r="F1153" t="s">
        <v>33</v>
      </c>
      <c r="G1153">
        <v>5</v>
      </c>
      <c r="H1153">
        <v>2266.0500000000002</v>
      </c>
      <c r="I1153">
        <v>1390.29</v>
      </c>
      <c r="J1153" t="s">
        <v>38</v>
      </c>
    </row>
    <row r="1154" spans="1:10">
      <c r="A1154" t="s">
        <v>1466</v>
      </c>
      <c r="B1154">
        <v>45798</v>
      </c>
      <c r="C1154" t="s">
        <v>231</v>
      </c>
      <c r="D1154" t="s">
        <v>41</v>
      </c>
      <c r="E1154" t="s">
        <v>78</v>
      </c>
      <c r="F1154" t="s">
        <v>103</v>
      </c>
      <c r="G1154">
        <v>0</v>
      </c>
      <c r="H1154">
        <v>2377.41</v>
      </c>
      <c r="I1154">
        <v>1504.02</v>
      </c>
      <c r="J1154" t="s">
        <v>22</v>
      </c>
    </row>
    <row r="1155" spans="1:10">
      <c r="A1155" t="s">
        <v>1467</v>
      </c>
      <c r="B1155">
        <v>45781</v>
      </c>
      <c r="C1155" t="s">
        <v>24</v>
      </c>
      <c r="D1155" t="s">
        <v>12</v>
      </c>
      <c r="E1155" t="s">
        <v>96</v>
      </c>
      <c r="F1155" t="s">
        <v>109</v>
      </c>
      <c r="G1155">
        <v>4</v>
      </c>
      <c r="H1155">
        <v>4490.55</v>
      </c>
      <c r="I1155">
        <v>2843.86</v>
      </c>
      <c r="J1155" t="s">
        <v>22</v>
      </c>
    </row>
    <row r="1156" spans="1:10">
      <c r="A1156" t="s">
        <v>1468</v>
      </c>
      <c r="B1156">
        <v>45894</v>
      </c>
      <c r="C1156" t="s">
        <v>74</v>
      </c>
      <c r="D1156" t="s">
        <v>41</v>
      </c>
      <c r="E1156" t="s">
        <v>32</v>
      </c>
      <c r="F1156" t="s">
        <v>33</v>
      </c>
      <c r="G1156">
        <v>2</v>
      </c>
      <c r="H1156">
        <v>389.86</v>
      </c>
      <c r="I1156">
        <v>298.95</v>
      </c>
      <c r="J1156" t="s">
        <v>28</v>
      </c>
    </row>
    <row r="1157" spans="1:10">
      <c r="A1157" t="s">
        <v>1469</v>
      </c>
      <c r="B1157">
        <v>46011</v>
      </c>
      <c r="C1157" t="s">
        <v>119</v>
      </c>
      <c r="D1157" t="s">
        <v>57</v>
      </c>
      <c r="E1157" t="s">
        <v>96</v>
      </c>
      <c r="F1157" t="s">
        <v>97</v>
      </c>
      <c r="G1157">
        <v>2</v>
      </c>
      <c r="H1157">
        <v>3154.49</v>
      </c>
      <c r="I1157">
        <v>2688.54</v>
      </c>
      <c r="J1157" t="s">
        <v>16</v>
      </c>
    </row>
    <row r="1158" spans="1:10">
      <c r="A1158" t="s">
        <v>1470</v>
      </c>
      <c r="B1158">
        <v>45853</v>
      </c>
      <c r="C1158" t="s">
        <v>895</v>
      </c>
      <c r="D1158" t="s">
        <v>12</v>
      </c>
      <c r="E1158" t="s">
        <v>82</v>
      </c>
      <c r="F1158" t="s">
        <v>97</v>
      </c>
      <c r="G1158">
        <v>2</v>
      </c>
      <c r="H1158">
        <v>3032.47</v>
      </c>
      <c r="I1158">
        <v>1846</v>
      </c>
      <c r="J1158" t="s">
        <v>28</v>
      </c>
    </row>
    <row r="1159" spans="1:10">
      <c r="A1159" t="s">
        <v>1471</v>
      </c>
      <c r="B1159">
        <v>45894</v>
      </c>
      <c r="C1159" t="s">
        <v>162</v>
      </c>
      <c r="D1159" t="s">
        <v>31</v>
      </c>
      <c r="E1159" t="s">
        <v>20</v>
      </c>
      <c r="F1159" t="s">
        <v>86</v>
      </c>
      <c r="G1159">
        <v>5</v>
      </c>
      <c r="H1159">
        <v>3027.64</v>
      </c>
      <c r="I1159">
        <v>2331.46</v>
      </c>
      <c r="J1159" t="s">
        <v>28</v>
      </c>
    </row>
    <row r="1160" spans="1:10">
      <c r="A1160" t="s">
        <v>1472</v>
      </c>
      <c r="B1160">
        <v>45849</v>
      </c>
      <c r="C1160" t="s">
        <v>54</v>
      </c>
      <c r="D1160" t="s">
        <v>12</v>
      </c>
      <c r="E1160" t="s">
        <v>36</v>
      </c>
      <c r="F1160" t="s">
        <v>46</v>
      </c>
      <c r="G1160">
        <v>8</v>
      </c>
      <c r="H1160">
        <v>5972.11</v>
      </c>
      <c r="I1160">
        <v>3583.57</v>
      </c>
      <c r="J1160" t="s">
        <v>71</v>
      </c>
    </row>
    <row r="1161" spans="1:10">
      <c r="A1161" t="s">
        <v>1473</v>
      </c>
      <c r="B1161">
        <v>46017</v>
      </c>
      <c r="C1161" t="s">
        <v>59</v>
      </c>
      <c r="D1161" t="s">
        <v>63</v>
      </c>
      <c r="E1161" t="s">
        <v>32</v>
      </c>
      <c r="F1161" t="s">
        <v>163</v>
      </c>
      <c r="G1161">
        <v>7</v>
      </c>
      <c r="H1161">
        <v>886.24</v>
      </c>
      <c r="I1161">
        <v>524.05999999999995</v>
      </c>
      <c r="J1161" t="s">
        <v>22</v>
      </c>
    </row>
    <row r="1162" spans="1:10">
      <c r="A1162" t="s">
        <v>1474</v>
      </c>
      <c r="B1162">
        <v>45889</v>
      </c>
      <c r="C1162" t="s">
        <v>35</v>
      </c>
      <c r="D1162" t="s">
        <v>41</v>
      </c>
      <c r="E1162" t="s">
        <v>20</v>
      </c>
      <c r="F1162" t="s">
        <v>86</v>
      </c>
      <c r="G1162">
        <v>2</v>
      </c>
      <c r="H1162">
        <v>4895.57</v>
      </c>
      <c r="I1162">
        <v>2746.54</v>
      </c>
      <c r="J1162" t="s">
        <v>16</v>
      </c>
    </row>
    <row r="1163" spans="1:10">
      <c r="A1163" t="s">
        <v>1475</v>
      </c>
      <c r="B1163">
        <v>45763</v>
      </c>
      <c r="C1163" t="s">
        <v>175</v>
      </c>
      <c r="D1163" t="s">
        <v>63</v>
      </c>
      <c r="E1163" t="s">
        <v>32</v>
      </c>
      <c r="F1163" t="s">
        <v>163</v>
      </c>
      <c r="G1163">
        <v>8</v>
      </c>
      <c r="H1163">
        <v>1804.18</v>
      </c>
      <c r="I1163">
        <v>1520.8</v>
      </c>
      <c r="J1163" t="s">
        <v>28</v>
      </c>
    </row>
    <row r="1164" spans="1:10">
      <c r="A1164" t="s">
        <v>1476</v>
      </c>
      <c r="B1164">
        <v>45816</v>
      </c>
      <c r="C1164" t="s">
        <v>40</v>
      </c>
      <c r="D1164" t="s">
        <v>57</v>
      </c>
      <c r="E1164" t="s">
        <v>26</v>
      </c>
      <c r="F1164" t="s">
        <v>131</v>
      </c>
      <c r="G1164">
        <v>6</v>
      </c>
      <c r="H1164">
        <v>1390.83</v>
      </c>
      <c r="I1164">
        <v>848.22</v>
      </c>
      <c r="J1164" t="s">
        <v>71</v>
      </c>
    </row>
    <row r="1165" spans="1:10">
      <c r="A1165" t="s">
        <v>1477</v>
      </c>
      <c r="B1165">
        <v>45794</v>
      </c>
      <c r="C1165" t="s">
        <v>135</v>
      </c>
      <c r="D1165" t="s">
        <v>127</v>
      </c>
      <c r="E1165" t="s">
        <v>36</v>
      </c>
      <c r="F1165" t="s">
        <v>37</v>
      </c>
      <c r="G1165">
        <v>1</v>
      </c>
      <c r="H1165">
        <v>12277.01</v>
      </c>
      <c r="I1165">
        <v>9949.76</v>
      </c>
      <c r="J1165" t="s">
        <v>16</v>
      </c>
    </row>
    <row r="1166" spans="1:10">
      <c r="A1166" t="s">
        <v>1478</v>
      </c>
      <c r="B1166" t="s">
        <v>1479</v>
      </c>
      <c r="C1166" t="s">
        <v>40</v>
      </c>
      <c r="D1166" t="s">
        <v>57</v>
      </c>
      <c r="E1166" t="s">
        <v>20</v>
      </c>
      <c r="F1166" t="s">
        <v>14</v>
      </c>
      <c r="G1166">
        <v>5</v>
      </c>
      <c r="H1166">
        <v>1632.41</v>
      </c>
      <c r="I1166">
        <v>1054.6400000000001</v>
      </c>
      <c r="J1166" t="s">
        <v>38</v>
      </c>
    </row>
    <row r="1167" spans="1:10">
      <c r="A1167" t="s">
        <v>1480</v>
      </c>
      <c r="B1167">
        <v>45942</v>
      </c>
      <c r="C1167" t="s">
        <v>59</v>
      </c>
      <c r="D1167" t="s">
        <v>31</v>
      </c>
      <c r="E1167" t="s">
        <v>20</v>
      </c>
      <c r="F1167" t="s">
        <v>14</v>
      </c>
      <c r="G1167">
        <v>0</v>
      </c>
      <c r="H1167">
        <v>4902.82</v>
      </c>
      <c r="I1167">
        <v>2895.63</v>
      </c>
      <c r="J1167" t="s">
        <v>71</v>
      </c>
    </row>
    <row r="1168" spans="1:10">
      <c r="A1168" t="s">
        <v>1481</v>
      </c>
      <c r="B1168">
        <v>45904</v>
      </c>
      <c r="C1168" t="s">
        <v>48</v>
      </c>
      <c r="D1168" t="s">
        <v>25</v>
      </c>
      <c r="E1168" t="s">
        <v>36</v>
      </c>
      <c r="F1168" t="s">
        <v>42</v>
      </c>
      <c r="G1168">
        <v>6</v>
      </c>
      <c r="H1168">
        <v>10382.65</v>
      </c>
      <c r="I1168">
        <v>6061.96</v>
      </c>
      <c r="J1168" t="s">
        <v>38</v>
      </c>
    </row>
    <row r="1169" spans="1:10">
      <c r="A1169" t="s">
        <v>1482</v>
      </c>
      <c r="B1169">
        <v>45811</v>
      </c>
      <c r="C1169" t="s">
        <v>51</v>
      </c>
      <c r="D1169" t="s">
        <v>41</v>
      </c>
      <c r="E1169" t="s">
        <v>26</v>
      </c>
      <c r="F1169" t="s">
        <v>106</v>
      </c>
      <c r="G1169">
        <v>5</v>
      </c>
      <c r="H1169">
        <v>2076.9499999999998</v>
      </c>
      <c r="I1169">
        <v>1531.51</v>
      </c>
      <c r="J1169" t="s">
        <v>28</v>
      </c>
    </row>
    <row r="1170" spans="1:10">
      <c r="A1170" t="s">
        <v>1483</v>
      </c>
      <c r="B1170">
        <v>45828</v>
      </c>
      <c r="C1170" t="s">
        <v>220</v>
      </c>
      <c r="D1170" t="s">
        <v>12</v>
      </c>
      <c r="E1170" t="s">
        <v>32</v>
      </c>
      <c r="F1170" t="s">
        <v>33</v>
      </c>
      <c r="G1170">
        <v>1</v>
      </c>
      <c r="H1170">
        <v>793.95</v>
      </c>
      <c r="I1170">
        <v>649.63</v>
      </c>
      <c r="J1170" t="s">
        <v>71</v>
      </c>
    </row>
    <row r="1171" spans="1:10">
      <c r="A1171" t="s">
        <v>1484</v>
      </c>
      <c r="B1171">
        <v>45941</v>
      </c>
      <c r="C1171" t="s">
        <v>67</v>
      </c>
      <c r="D1171" t="s">
        <v>57</v>
      </c>
      <c r="E1171" t="s">
        <v>36</v>
      </c>
      <c r="F1171" t="s">
        <v>42</v>
      </c>
      <c r="G1171">
        <v>3</v>
      </c>
      <c r="I1171">
        <v>1125.81</v>
      </c>
      <c r="J1171" t="s">
        <v>28</v>
      </c>
    </row>
    <row r="1172" spans="1:10">
      <c r="A1172" t="s">
        <v>1485</v>
      </c>
      <c r="B1172">
        <v>45733</v>
      </c>
      <c r="C1172" t="s">
        <v>129</v>
      </c>
      <c r="E1172" t="s">
        <v>82</v>
      </c>
      <c r="F1172" t="s">
        <v>83</v>
      </c>
      <c r="G1172">
        <v>4</v>
      </c>
      <c r="H1172">
        <v>608.37</v>
      </c>
      <c r="I1172">
        <v>524.97</v>
      </c>
      <c r="J1172" t="s">
        <v>16</v>
      </c>
    </row>
    <row r="1173" spans="1:10">
      <c r="A1173" t="s">
        <v>1486</v>
      </c>
      <c r="B1173">
        <v>45987</v>
      </c>
      <c r="C1173" t="s">
        <v>85</v>
      </c>
      <c r="D1173" t="s">
        <v>19</v>
      </c>
      <c r="E1173" t="s">
        <v>82</v>
      </c>
      <c r="F1173" t="s">
        <v>1487</v>
      </c>
      <c r="G1173">
        <v>1</v>
      </c>
      <c r="H1173">
        <v>6760.99</v>
      </c>
      <c r="I1173">
        <v>4802.5200000000004</v>
      </c>
      <c r="J1173" t="s">
        <v>16</v>
      </c>
    </row>
    <row r="1174" spans="1:10">
      <c r="A1174" t="s">
        <v>1488</v>
      </c>
      <c r="B1174">
        <v>45932</v>
      </c>
      <c r="C1174" t="s">
        <v>117</v>
      </c>
      <c r="D1174" t="s">
        <v>19</v>
      </c>
      <c r="E1174" t="s">
        <v>20</v>
      </c>
      <c r="F1174" t="s">
        <v>91</v>
      </c>
      <c r="G1174">
        <v>2</v>
      </c>
      <c r="H1174">
        <v>1192.05</v>
      </c>
      <c r="I1174">
        <v>747.16</v>
      </c>
      <c r="J1174" t="s">
        <v>38</v>
      </c>
    </row>
    <row r="1175" spans="1:10">
      <c r="A1175" t="s">
        <v>1489</v>
      </c>
      <c r="B1175">
        <v>45782</v>
      </c>
      <c r="C1175" t="s">
        <v>51</v>
      </c>
      <c r="D1175" t="s">
        <v>31</v>
      </c>
      <c r="E1175" t="s">
        <v>82</v>
      </c>
      <c r="F1175" t="s">
        <v>109</v>
      </c>
      <c r="G1175">
        <v>2</v>
      </c>
      <c r="H1175" t="s">
        <v>1490</v>
      </c>
      <c r="I1175">
        <v>1492.68</v>
      </c>
      <c r="J1175" t="s">
        <v>38</v>
      </c>
    </row>
    <row r="1176" spans="1:10">
      <c r="A1176" t="s">
        <v>1491</v>
      </c>
      <c r="B1176">
        <v>45712</v>
      </c>
      <c r="C1176" t="s">
        <v>121</v>
      </c>
      <c r="D1176" t="s">
        <v>63</v>
      </c>
      <c r="E1176" t="s">
        <v>36</v>
      </c>
      <c r="F1176" t="s">
        <v>113</v>
      </c>
      <c r="G1176">
        <v>1</v>
      </c>
      <c r="H1176">
        <v>7412.88</v>
      </c>
      <c r="I1176">
        <v>4206.8900000000003</v>
      </c>
      <c r="J1176" t="s">
        <v>16</v>
      </c>
    </row>
    <row r="1177" spans="1:10">
      <c r="A1177" t="s">
        <v>1492</v>
      </c>
      <c r="B1177">
        <v>45994</v>
      </c>
      <c r="C1177" t="s">
        <v>70</v>
      </c>
      <c r="D1177" t="s">
        <v>577</v>
      </c>
      <c r="E1177" t="s">
        <v>26</v>
      </c>
      <c r="F1177" t="s">
        <v>79</v>
      </c>
      <c r="G1177">
        <v>1</v>
      </c>
      <c r="H1177">
        <v>1320.64</v>
      </c>
      <c r="I1177">
        <v>745.46</v>
      </c>
      <c r="J1177" t="s">
        <v>38</v>
      </c>
    </row>
    <row r="1178" spans="1:10">
      <c r="A1178" t="s">
        <v>1493</v>
      </c>
      <c r="B1178">
        <v>45847</v>
      </c>
      <c r="C1178" t="s">
        <v>259</v>
      </c>
      <c r="D1178" t="s">
        <v>540</v>
      </c>
      <c r="E1178" t="s">
        <v>26</v>
      </c>
      <c r="F1178" t="s">
        <v>103</v>
      </c>
      <c r="G1178">
        <v>5</v>
      </c>
      <c r="H1178">
        <v>2595.19</v>
      </c>
      <c r="I1178">
        <v>2092.65</v>
      </c>
      <c r="J1178" t="s">
        <v>38</v>
      </c>
    </row>
    <row r="1179" spans="1:10">
      <c r="A1179" t="s">
        <v>1494</v>
      </c>
      <c r="B1179" t="s">
        <v>1495</v>
      </c>
      <c r="C1179" t="s">
        <v>808</v>
      </c>
      <c r="D1179" t="s">
        <v>12</v>
      </c>
      <c r="E1179" t="s">
        <v>20</v>
      </c>
      <c r="F1179" t="s">
        <v>86</v>
      </c>
      <c r="H1179">
        <v>4883.75</v>
      </c>
      <c r="I1179">
        <v>3186.54</v>
      </c>
      <c r="J1179" t="s">
        <v>28</v>
      </c>
    </row>
    <row r="1180" spans="1:10">
      <c r="A1180" t="s">
        <v>1496</v>
      </c>
      <c r="B1180">
        <v>45734</v>
      </c>
      <c r="C1180" t="s">
        <v>231</v>
      </c>
      <c r="D1180" t="s">
        <v>31</v>
      </c>
      <c r="E1180" t="s">
        <v>32</v>
      </c>
      <c r="F1180" t="s">
        <v>163</v>
      </c>
      <c r="G1180">
        <v>6</v>
      </c>
      <c r="H1180">
        <v>1102.75</v>
      </c>
      <c r="I1180">
        <v>930.91</v>
      </c>
      <c r="J1180" t="s">
        <v>38</v>
      </c>
    </row>
    <row r="1181" spans="1:10">
      <c r="A1181" t="s">
        <v>1497</v>
      </c>
      <c r="B1181">
        <v>45956</v>
      </c>
      <c r="C1181" t="s">
        <v>124</v>
      </c>
      <c r="D1181" t="s">
        <v>19</v>
      </c>
      <c r="E1181" t="s">
        <v>122</v>
      </c>
      <c r="F1181" t="s">
        <v>93</v>
      </c>
      <c r="G1181">
        <v>5</v>
      </c>
      <c r="H1181">
        <v>14524.51</v>
      </c>
      <c r="I1181">
        <v>11465.02</v>
      </c>
      <c r="J1181" t="s">
        <v>16</v>
      </c>
    </row>
    <row r="1182" spans="1:10">
      <c r="A1182" t="s">
        <v>1498</v>
      </c>
      <c r="B1182">
        <v>45874</v>
      </c>
      <c r="C1182" t="s">
        <v>48</v>
      </c>
      <c r="D1182" t="s">
        <v>41</v>
      </c>
      <c r="E1182" t="s">
        <v>20</v>
      </c>
      <c r="F1182" t="s">
        <v>91</v>
      </c>
      <c r="G1182">
        <v>2</v>
      </c>
      <c r="H1182">
        <v>2616.2199999999998</v>
      </c>
      <c r="I1182">
        <v>1953.38</v>
      </c>
      <c r="J1182" t="s">
        <v>28</v>
      </c>
    </row>
    <row r="1183" spans="1:10">
      <c r="A1183" t="s">
        <v>1499</v>
      </c>
      <c r="B1183">
        <v>45709</v>
      </c>
      <c r="C1183" t="s">
        <v>48</v>
      </c>
      <c r="D1183" t="s">
        <v>12</v>
      </c>
      <c r="E1183" t="s">
        <v>82</v>
      </c>
      <c r="F1183" t="s">
        <v>150</v>
      </c>
      <c r="G1183">
        <v>5</v>
      </c>
      <c r="H1183">
        <v>4652.62</v>
      </c>
      <c r="I1183">
        <v>3260.22</v>
      </c>
      <c r="J1183" t="s">
        <v>22</v>
      </c>
    </row>
    <row r="1184" spans="1:10">
      <c r="A1184" t="s">
        <v>1500</v>
      </c>
      <c r="B1184">
        <v>45967</v>
      </c>
      <c r="C1184" t="s">
        <v>40</v>
      </c>
      <c r="D1184" t="s">
        <v>41</v>
      </c>
      <c r="E1184" t="s">
        <v>26</v>
      </c>
      <c r="F1184" t="s">
        <v>131</v>
      </c>
      <c r="G1184">
        <v>6</v>
      </c>
      <c r="H1184">
        <v>1304.83</v>
      </c>
      <c r="I1184">
        <v>1125.18</v>
      </c>
      <c r="J1184" t="s">
        <v>38</v>
      </c>
    </row>
    <row r="1185" spans="1:10">
      <c r="A1185" t="s">
        <v>1501</v>
      </c>
      <c r="B1185">
        <v>45753</v>
      </c>
      <c r="C1185" t="s">
        <v>220</v>
      </c>
      <c r="D1185" t="s">
        <v>63</v>
      </c>
      <c r="E1185" t="s">
        <v>26</v>
      </c>
      <c r="F1185" t="s">
        <v>79</v>
      </c>
      <c r="G1185">
        <v>7</v>
      </c>
      <c r="H1185">
        <v>2299.73</v>
      </c>
      <c r="I1185">
        <v>1335.39</v>
      </c>
      <c r="J1185" t="s">
        <v>38</v>
      </c>
    </row>
    <row r="1186" spans="1:10">
      <c r="A1186" t="s">
        <v>1502</v>
      </c>
      <c r="B1186">
        <v>45734</v>
      </c>
      <c r="C1186" t="s">
        <v>1503</v>
      </c>
      <c r="D1186" t="s">
        <v>31</v>
      </c>
      <c r="E1186" t="s">
        <v>20</v>
      </c>
      <c r="F1186" t="s">
        <v>196</v>
      </c>
      <c r="G1186">
        <v>1</v>
      </c>
      <c r="H1186">
        <v>2797.75</v>
      </c>
      <c r="I1186">
        <v>1579.59</v>
      </c>
      <c r="J1186" t="s">
        <v>28</v>
      </c>
    </row>
    <row r="1187" spans="1:10">
      <c r="A1187" t="s">
        <v>1504</v>
      </c>
      <c r="B1187">
        <v>45860</v>
      </c>
      <c r="C1187" t="s">
        <v>135</v>
      </c>
      <c r="D1187" t="s">
        <v>41</v>
      </c>
      <c r="E1187" t="s">
        <v>20</v>
      </c>
      <c r="F1187" t="s">
        <v>14</v>
      </c>
      <c r="G1187">
        <v>5</v>
      </c>
      <c r="H1187">
        <v>4492.9399999999996</v>
      </c>
      <c r="I1187">
        <v>3590.88</v>
      </c>
      <c r="J1187" t="s">
        <v>28</v>
      </c>
    </row>
    <row r="1188" spans="1:10">
      <c r="A1188" t="s">
        <v>1505</v>
      </c>
      <c r="B1188">
        <v>46009</v>
      </c>
      <c r="C1188" t="s">
        <v>74</v>
      </c>
      <c r="D1188" t="s">
        <v>57</v>
      </c>
      <c r="E1188" t="s">
        <v>32</v>
      </c>
      <c r="F1188" t="s">
        <v>33</v>
      </c>
      <c r="G1188">
        <v>7</v>
      </c>
      <c r="H1188">
        <v>1954.54</v>
      </c>
      <c r="I1188">
        <v>1520.38</v>
      </c>
      <c r="J1188" t="s">
        <v>22</v>
      </c>
    </row>
    <row r="1189" spans="1:10">
      <c r="A1189" t="s">
        <v>1506</v>
      </c>
      <c r="B1189">
        <v>45974</v>
      </c>
      <c r="C1189" t="s">
        <v>115</v>
      </c>
      <c r="D1189" t="s">
        <v>19</v>
      </c>
      <c r="E1189" t="s">
        <v>26</v>
      </c>
      <c r="F1189" t="s">
        <v>106</v>
      </c>
      <c r="G1189">
        <v>3</v>
      </c>
      <c r="H1189">
        <v>2894.65</v>
      </c>
      <c r="I1189">
        <v>2266.44</v>
      </c>
      <c r="J1189" t="s">
        <v>22</v>
      </c>
    </row>
    <row r="1190" spans="1:10">
      <c r="A1190" t="s">
        <v>1507</v>
      </c>
      <c r="B1190">
        <v>45953</v>
      </c>
      <c r="C1190" t="s">
        <v>117</v>
      </c>
      <c r="D1190" t="s">
        <v>57</v>
      </c>
      <c r="E1190" t="s">
        <v>36</v>
      </c>
      <c r="F1190" t="s">
        <v>42</v>
      </c>
      <c r="G1190">
        <v>5</v>
      </c>
      <c r="H1190">
        <v>6562</v>
      </c>
      <c r="I1190">
        <v>3799.02</v>
      </c>
      <c r="J1190" t="s">
        <v>16</v>
      </c>
    </row>
    <row r="1191" spans="1:10">
      <c r="A1191" t="s">
        <v>1508</v>
      </c>
      <c r="B1191">
        <v>45927</v>
      </c>
      <c r="C1191" t="s">
        <v>108</v>
      </c>
      <c r="D1191" t="s">
        <v>12</v>
      </c>
      <c r="E1191" t="s">
        <v>82</v>
      </c>
      <c r="F1191" t="s">
        <v>97</v>
      </c>
      <c r="G1191">
        <v>1</v>
      </c>
      <c r="H1191">
        <v>4768.7299999999996</v>
      </c>
      <c r="I1191">
        <v>4001.96</v>
      </c>
      <c r="J1191" t="s">
        <v>38</v>
      </c>
    </row>
    <row r="1192" spans="1:10">
      <c r="A1192" t="s">
        <v>1509</v>
      </c>
      <c r="B1192">
        <v>45686</v>
      </c>
      <c r="C1192" t="s">
        <v>74</v>
      </c>
      <c r="D1192" t="s">
        <v>31</v>
      </c>
      <c r="E1192" t="s">
        <v>82</v>
      </c>
      <c r="F1192" t="s">
        <v>97</v>
      </c>
      <c r="G1192">
        <v>6</v>
      </c>
      <c r="H1192">
        <v>3023.88</v>
      </c>
      <c r="I1192">
        <v>2377.58</v>
      </c>
      <c r="J1192" t="s">
        <v>28</v>
      </c>
    </row>
    <row r="1193" spans="1:10">
      <c r="A1193" t="s">
        <v>1510</v>
      </c>
      <c r="B1193">
        <v>45973</v>
      </c>
      <c r="C1193" t="s">
        <v>24</v>
      </c>
      <c r="D1193" t="s">
        <v>57</v>
      </c>
      <c r="E1193" t="s">
        <v>32</v>
      </c>
      <c r="F1193" t="s">
        <v>180</v>
      </c>
      <c r="G1193">
        <v>4</v>
      </c>
      <c r="H1193">
        <v>409.15</v>
      </c>
      <c r="I1193">
        <v>231.91</v>
      </c>
      <c r="J1193" t="s">
        <v>28</v>
      </c>
    </row>
    <row r="1194" spans="1:10">
      <c r="A1194" t="s">
        <v>1511</v>
      </c>
      <c r="B1194">
        <v>46015</v>
      </c>
      <c r="C1194" t="s">
        <v>67</v>
      </c>
      <c r="D1194" t="s">
        <v>19</v>
      </c>
      <c r="E1194" t="s">
        <v>36</v>
      </c>
      <c r="F1194" t="s">
        <v>93</v>
      </c>
      <c r="G1194">
        <v>2</v>
      </c>
      <c r="H1194">
        <v>15101.52</v>
      </c>
      <c r="I1194">
        <v>11919.24</v>
      </c>
      <c r="J1194" t="s">
        <v>22</v>
      </c>
    </row>
    <row r="1195" spans="1:10">
      <c r="A1195" t="s">
        <v>1512</v>
      </c>
      <c r="B1195">
        <v>45898</v>
      </c>
      <c r="C1195" t="s">
        <v>30</v>
      </c>
      <c r="D1195" t="s">
        <v>31</v>
      </c>
      <c r="E1195" t="s">
        <v>20</v>
      </c>
      <c r="F1195" t="s">
        <v>21</v>
      </c>
      <c r="G1195">
        <v>4</v>
      </c>
      <c r="H1195">
        <v>2523.13</v>
      </c>
      <c r="I1195">
        <v>2176.33</v>
      </c>
      <c r="J1195" t="s">
        <v>28</v>
      </c>
    </row>
    <row r="1196" spans="1:10">
      <c r="A1196" t="s">
        <v>1513</v>
      </c>
      <c r="B1196">
        <v>45733</v>
      </c>
      <c r="C1196" t="s">
        <v>18</v>
      </c>
      <c r="D1196" t="s">
        <v>12</v>
      </c>
      <c r="E1196" t="s">
        <v>26</v>
      </c>
      <c r="F1196" t="s">
        <v>106</v>
      </c>
      <c r="G1196">
        <v>8</v>
      </c>
      <c r="H1196">
        <v>1621.11</v>
      </c>
      <c r="I1196">
        <v>953.91</v>
      </c>
      <c r="J1196" t="s">
        <v>71</v>
      </c>
    </row>
    <row r="1197" spans="1:10">
      <c r="A1197" t="s">
        <v>1514</v>
      </c>
      <c r="B1197">
        <v>45705</v>
      </c>
      <c r="C1197" t="s">
        <v>35</v>
      </c>
      <c r="D1197" t="s">
        <v>12</v>
      </c>
      <c r="E1197" t="s">
        <v>32</v>
      </c>
      <c r="F1197" t="s">
        <v>101</v>
      </c>
      <c r="G1197">
        <v>4</v>
      </c>
      <c r="H1197" t="s">
        <v>1515</v>
      </c>
      <c r="I1197">
        <v>214.84</v>
      </c>
      <c r="J1197" t="s">
        <v>38</v>
      </c>
    </row>
    <row r="1198" spans="1:10">
      <c r="A1198" t="s">
        <v>1516</v>
      </c>
      <c r="B1198">
        <v>45738</v>
      </c>
      <c r="C1198" t="s">
        <v>74</v>
      </c>
      <c r="D1198" t="s">
        <v>31</v>
      </c>
      <c r="E1198" t="s">
        <v>36</v>
      </c>
      <c r="F1198" t="s">
        <v>37</v>
      </c>
      <c r="G1198">
        <v>4</v>
      </c>
      <c r="H1198">
        <v>9729.86</v>
      </c>
      <c r="I1198">
        <v>8464.8700000000008</v>
      </c>
      <c r="J1198" t="s">
        <v>71</v>
      </c>
    </row>
    <row r="1199" spans="1:10">
      <c r="A1199" t="s">
        <v>1517</v>
      </c>
      <c r="B1199">
        <v>45946</v>
      </c>
      <c r="C1199" t="s">
        <v>67</v>
      </c>
      <c r="D1199" t="s">
        <v>31</v>
      </c>
      <c r="E1199" t="s">
        <v>82</v>
      </c>
      <c r="F1199" t="s">
        <v>150</v>
      </c>
      <c r="G1199">
        <v>8</v>
      </c>
      <c r="H1199">
        <v>701.49</v>
      </c>
      <c r="I1199">
        <v>458.64</v>
      </c>
      <c r="J1199" t="s">
        <v>22</v>
      </c>
    </row>
    <row r="1200" spans="1:10">
      <c r="A1200" t="s">
        <v>1518</v>
      </c>
      <c r="B1200">
        <v>45861</v>
      </c>
      <c r="C1200" t="s">
        <v>119</v>
      </c>
      <c r="D1200" t="s">
        <v>41</v>
      </c>
      <c r="E1200" t="s">
        <v>26</v>
      </c>
      <c r="F1200" t="s">
        <v>1519</v>
      </c>
      <c r="G1200">
        <v>1</v>
      </c>
      <c r="H1200">
        <v>1667.71</v>
      </c>
      <c r="I1200">
        <v>1170.26</v>
      </c>
      <c r="J1200" t="s">
        <v>16</v>
      </c>
    </row>
    <row r="1201" spans="1:10">
      <c r="A1201" t="s">
        <v>1520</v>
      </c>
      <c r="B1201">
        <v>45722</v>
      </c>
      <c r="C1201" t="s">
        <v>488</v>
      </c>
      <c r="D1201" t="s">
        <v>12</v>
      </c>
      <c r="E1201" t="s">
        <v>26</v>
      </c>
      <c r="F1201" t="s">
        <v>131</v>
      </c>
      <c r="G1201">
        <v>3</v>
      </c>
      <c r="H1201">
        <v>1061.45</v>
      </c>
      <c r="I1201">
        <v>832.98</v>
      </c>
      <c r="J1201" t="s">
        <v>71</v>
      </c>
    </row>
    <row r="1202" spans="1:10">
      <c r="A1202" t="s">
        <v>1521</v>
      </c>
      <c r="B1202">
        <v>45865</v>
      </c>
      <c r="C1202" t="s">
        <v>557</v>
      </c>
      <c r="D1202" t="s">
        <v>63</v>
      </c>
      <c r="E1202" t="s">
        <v>36</v>
      </c>
      <c r="F1202" t="s">
        <v>88</v>
      </c>
      <c r="G1202">
        <v>8</v>
      </c>
      <c r="H1202">
        <v>10561.54</v>
      </c>
      <c r="I1202">
        <v>9260.11</v>
      </c>
      <c r="J1202" t="s">
        <v>71</v>
      </c>
    </row>
    <row r="1203" spans="1:10">
      <c r="A1203" t="s">
        <v>1522</v>
      </c>
      <c r="B1203">
        <v>45978</v>
      </c>
      <c r="C1203" t="s">
        <v>231</v>
      </c>
      <c r="D1203" t="s">
        <v>31</v>
      </c>
      <c r="E1203" t="s">
        <v>20</v>
      </c>
      <c r="F1203" t="s">
        <v>21</v>
      </c>
      <c r="G1203">
        <v>0</v>
      </c>
      <c r="H1203">
        <v>4500.84</v>
      </c>
      <c r="I1203">
        <v>3800.49</v>
      </c>
      <c r="J1203" t="s">
        <v>38</v>
      </c>
    </row>
    <row r="1204" spans="1:10">
      <c r="A1204" t="s">
        <v>1523</v>
      </c>
      <c r="B1204">
        <v>45683</v>
      </c>
      <c r="C1204" t="s">
        <v>70</v>
      </c>
      <c r="D1204" t="s">
        <v>57</v>
      </c>
      <c r="E1204" t="s">
        <v>20</v>
      </c>
      <c r="F1204" t="s">
        <v>14</v>
      </c>
      <c r="G1204">
        <v>5</v>
      </c>
      <c r="H1204">
        <v>5699.62</v>
      </c>
      <c r="I1204">
        <v>4760.17</v>
      </c>
      <c r="J1204" t="s">
        <v>28</v>
      </c>
    </row>
    <row r="1205" spans="1:10">
      <c r="A1205" t="s">
        <v>1524</v>
      </c>
      <c r="B1205">
        <v>46019</v>
      </c>
      <c r="C1205" t="s">
        <v>59</v>
      </c>
      <c r="D1205" t="s">
        <v>41</v>
      </c>
      <c r="E1205" t="s">
        <v>32</v>
      </c>
      <c r="F1205" t="s">
        <v>99</v>
      </c>
      <c r="G1205">
        <v>7</v>
      </c>
      <c r="H1205">
        <v>1490.09</v>
      </c>
      <c r="I1205">
        <v>874.56</v>
      </c>
      <c r="J1205" t="s">
        <v>71</v>
      </c>
    </row>
    <row r="1206" spans="1:10">
      <c r="A1206" t="s">
        <v>1525</v>
      </c>
      <c r="B1206">
        <v>45707</v>
      </c>
      <c r="C1206" t="s">
        <v>40</v>
      </c>
      <c r="D1206" t="s">
        <v>41</v>
      </c>
      <c r="E1206" t="s">
        <v>26</v>
      </c>
      <c r="F1206" t="s">
        <v>106</v>
      </c>
      <c r="G1206">
        <v>7</v>
      </c>
      <c r="H1206">
        <v>1371.71</v>
      </c>
      <c r="I1206">
        <v>916.21</v>
      </c>
      <c r="J1206" t="s">
        <v>22</v>
      </c>
    </row>
    <row r="1207" spans="1:10">
      <c r="A1207" t="s">
        <v>1526</v>
      </c>
      <c r="B1207">
        <v>45984</v>
      </c>
      <c r="C1207" t="s">
        <v>30</v>
      </c>
      <c r="D1207" t="s">
        <v>41</v>
      </c>
      <c r="E1207" t="s">
        <v>32</v>
      </c>
      <c r="F1207" t="s">
        <v>163</v>
      </c>
      <c r="G1207">
        <v>3</v>
      </c>
      <c r="H1207">
        <v>684.97</v>
      </c>
      <c r="I1207">
        <v>542.73</v>
      </c>
      <c r="J1207" t="s">
        <v>22</v>
      </c>
    </row>
    <row r="1208" spans="1:10">
      <c r="A1208" t="s">
        <v>1527</v>
      </c>
      <c r="B1208">
        <v>45697</v>
      </c>
      <c r="C1208" t="s">
        <v>135</v>
      </c>
      <c r="D1208" t="s">
        <v>19</v>
      </c>
      <c r="E1208" t="s">
        <v>26</v>
      </c>
      <c r="F1208" t="s">
        <v>131</v>
      </c>
      <c r="G1208">
        <v>1</v>
      </c>
      <c r="H1208">
        <v>3050.57</v>
      </c>
      <c r="I1208">
        <v>2662.4</v>
      </c>
      <c r="J1208" t="s">
        <v>71</v>
      </c>
    </row>
    <row r="1209" spans="1:10">
      <c r="A1209" t="s">
        <v>1528</v>
      </c>
      <c r="B1209">
        <v>45668</v>
      </c>
      <c r="C1209" t="s">
        <v>11</v>
      </c>
      <c r="D1209" t="s">
        <v>41</v>
      </c>
      <c r="E1209" t="s">
        <v>32</v>
      </c>
      <c r="F1209" t="s">
        <v>99</v>
      </c>
      <c r="G1209">
        <v>1</v>
      </c>
      <c r="H1209">
        <v>1290.42</v>
      </c>
      <c r="I1209">
        <v>766.08</v>
      </c>
      <c r="J1209" t="s">
        <v>71</v>
      </c>
    </row>
    <row r="1210" spans="1:10">
      <c r="A1210" t="s">
        <v>1529</v>
      </c>
      <c r="B1210">
        <v>45800</v>
      </c>
      <c r="C1210" t="s">
        <v>35</v>
      </c>
      <c r="D1210" t="s">
        <v>12</v>
      </c>
      <c r="E1210" t="s">
        <v>32</v>
      </c>
      <c r="F1210" t="s">
        <v>99</v>
      </c>
      <c r="G1210">
        <v>6</v>
      </c>
      <c r="H1210">
        <v>1245.8</v>
      </c>
      <c r="I1210">
        <v>885.83</v>
      </c>
      <c r="J1210" t="s">
        <v>38</v>
      </c>
    </row>
    <row r="1211" spans="1:10">
      <c r="A1211" t="s">
        <v>1530</v>
      </c>
      <c r="B1211">
        <v>45828</v>
      </c>
      <c r="C1211" t="s">
        <v>231</v>
      </c>
      <c r="D1211" t="s">
        <v>63</v>
      </c>
      <c r="E1211" t="s">
        <v>36</v>
      </c>
      <c r="F1211" t="s">
        <v>46</v>
      </c>
      <c r="G1211">
        <v>7</v>
      </c>
      <c r="H1211">
        <v>14618.22</v>
      </c>
      <c r="I1211">
        <v>12208.28</v>
      </c>
      <c r="J1211" t="s">
        <v>71</v>
      </c>
    </row>
    <row r="1212" spans="1:10">
      <c r="A1212" t="s">
        <v>1531</v>
      </c>
      <c r="B1212">
        <v>45953</v>
      </c>
      <c r="C1212" t="s">
        <v>67</v>
      </c>
      <c r="D1212" t="s">
        <v>31</v>
      </c>
      <c r="E1212" t="s">
        <v>32</v>
      </c>
      <c r="F1212" t="s">
        <v>99</v>
      </c>
      <c r="G1212">
        <v>4</v>
      </c>
      <c r="H1212">
        <v>1817.11</v>
      </c>
      <c r="I1212">
        <v>1140.44</v>
      </c>
      <c r="J1212" t="s">
        <v>16</v>
      </c>
    </row>
    <row r="1213" spans="1:10">
      <c r="A1213" t="s">
        <v>1095</v>
      </c>
      <c r="B1213">
        <v>45828</v>
      </c>
      <c r="C1213" t="s">
        <v>117</v>
      </c>
      <c r="D1213" t="s">
        <v>12</v>
      </c>
      <c r="E1213" t="s">
        <v>20</v>
      </c>
      <c r="F1213" t="s">
        <v>91</v>
      </c>
      <c r="G1213">
        <v>8</v>
      </c>
      <c r="H1213">
        <v>3356.33</v>
      </c>
      <c r="I1213">
        <v>2010.95</v>
      </c>
      <c r="J1213" t="s">
        <v>38</v>
      </c>
    </row>
    <row r="1214" spans="1:10">
      <c r="A1214" t="s">
        <v>1532</v>
      </c>
      <c r="B1214">
        <v>45718</v>
      </c>
      <c r="C1214" t="s">
        <v>67</v>
      </c>
      <c r="D1214" t="s">
        <v>57</v>
      </c>
      <c r="E1214" t="s">
        <v>36</v>
      </c>
      <c r="F1214" t="s">
        <v>646</v>
      </c>
      <c r="I1214">
        <v>7410.38</v>
      </c>
      <c r="J1214" t="s">
        <v>38</v>
      </c>
    </row>
    <row r="1215" spans="1:10">
      <c r="A1215" t="s">
        <v>1533</v>
      </c>
      <c r="B1215">
        <v>45793</v>
      </c>
      <c r="C1215" t="s">
        <v>59</v>
      </c>
      <c r="D1215" t="s">
        <v>593</v>
      </c>
      <c r="E1215" t="s">
        <v>36</v>
      </c>
      <c r="F1215" t="s">
        <v>93</v>
      </c>
      <c r="G1215">
        <v>8</v>
      </c>
      <c r="H1215">
        <v>5777.76</v>
      </c>
      <c r="I1215">
        <v>4505.93</v>
      </c>
      <c r="J1215" t="s">
        <v>38</v>
      </c>
    </row>
    <row r="1216" spans="1:10">
      <c r="A1216" t="s">
        <v>1534</v>
      </c>
      <c r="B1216">
        <v>45962</v>
      </c>
      <c r="C1216" t="s">
        <v>1535</v>
      </c>
      <c r="D1216" t="s">
        <v>41</v>
      </c>
      <c r="E1216" t="s">
        <v>32</v>
      </c>
      <c r="F1216" t="s">
        <v>52</v>
      </c>
      <c r="G1216">
        <v>2</v>
      </c>
      <c r="H1216">
        <v>912.04</v>
      </c>
      <c r="I1216">
        <v>614.99</v>
      </c>
      <c r="J1216" t="s">
        <v>22</v>
      </c>
    </row>
    <row r="1217" spans="1:10">
      <c r="A1217" t="s">
        <v>1536</v>
      </c>
      <c r="B1217">
        <v>45756</v>
      </c>
      <c r="C1217" t="s">
        <v>85</v>
      </c>
      <c r="D1217" t="s">
        <v>41</v>
      </c>
      <c r="E1217" t="s">
        <v>26</v>
      </c>
      <c r="F1217" t="s">
        <v>1537</v>
      </c>
      <c r="G1217">
        <v>1</v>
      </c>
      <c r="H1217">
        <v>2490.06</v>
      </c>
      <c r="I1217">
        <v>1663.85</v>
      </c>
      <c r="J1217" t="s">
        <v>71</v>
      </c>
    </row>
    <row r="1218" spans="1:10">
      <c r="A1218" t="s">
        <v>1538</v>
      </c>
      <c r="B1218">
        <v>45998</v>
      </c>
      <c r="C1218" t="s">
        <v>124</v>
      </c>
      <c r="D1218" t="s">
        <v>41</v>
      </c>
      <c r="E1218" t="s">
        <v>32</v>
      </c>
      <c r="F1218" t="s">
        <v>163</v>
      </c>
      <c r="G1218">
        <v>7</v>
      </c>
      <c r="H1218">
        <v>2230.5</v>
      </c>
      <c r="I1218">
        <v>1349.56</v>
      </c>
      <c r="J1218" t="s">
        <v>71</v>
      </c>
    </row>
    <row r="1219" spans="1:10">
      <c r="A1219" t="s">
        <v>1539</v>
      </c>
      <c r="B1219">
        <v>45787</v>
      </c>
      <c r="C1219" t="s">
        <v>117</v>
      </c>
      <c r="D1219" t="s">
        <v>63</v>
      </c>
      <c r="E1219" t="s">
        <v>36</v>
      </c>
      <c r="F1219" t="s">
        <v>88</v>
      </c>
      <c r="G1219">
        <v>6</v>
      </c>
      <c r="H1219">
        <v>2882.26</v>
      </c>
      <c r="I1219">
        <v>2320.0500000000002</v>
      </c>
      <c r="J1219" t="s">
        <v>38</v>
      </c>
    </row>
    <row r="1220" spans="1:10">
      <c r="A1220" t="s">
        <v>1540</v>
      </c>
      <c r="B1220">
        <v>45720</v>
      </c>
      <c r="C1220" t="s">
        <v>70</v>
      </c>
      <c r="D1220" t="s">
        <v>12</v>
      </c>
      <c r="E1220" t="s">
        <v>149</v>
      </c>
      <c r="F1220" t="s">
        <v>109</v>
      </c>
      <c r="G1220">
        <v>8</v>
      </c>
      <c r="H1220">
        <v>1280.04</v>
      </c>
      <c r="I1220">
        <v>900.29</v>
      </c>
      <c r="J1220" t="s">
        <v>38</v>
      </c>
    </row>
    <row r="1221" spans="1:10">
      <c r="A1221" t="s">
        <v>1541</v>
      </c>
      <c r="B1221">
        <v>45667</v>
      </c>
      <c r="C1221" t="s">
        <v>135</v>
      </c>
      <c r="D1221" t="s">
        <v>19</v>
      </c>
      <c r="E1221" t="s">
        <v>182</v>
      </c>
      <c r="F1221" t="s">
        <v>27</v>
      </c>
      <c r="G1221">
        <v>5</v>
      </c>
      <c r="H1221">
        <v>3069.08</v>
      </c>
      <c r="I1221">
        <v>2345.7199999999998</v>
      </c>
      <c r="J1221" t="s">
        <v>71</v>
      </c>
    </row>
    <row r="1222" spans="1:10">
      <c r="A1222" t="s">
        <v>1542</v>
      </c>
      <c r="B1222">
        <v>45675</v>
      </c>
      <c r="C1222" t="s">
        <v>105</v>
      </c>
      <c r="D1222" t="s">
        <v>57</v>
      </c>
      <c r="E1222" t="s">
        <v>20</v>
      </c>
      <c r="F1222" t="s">
        <v>191</v>
      </c>
      <c r="G1222">
        <v>6</v>
      </c>
      <c r="H1222">
        <v>3970.24</v>
      </c>
      <c r="I1222">
        <v>3069.87</v>
      </c>
      <c r="J1222" t="s">
        <v>71</v>
      </c>
    </row>
    <row r="1223" spans="1:10">
      <c r="A1223" t="s">
        <v>1543</v>
      </c>
      <c r="B1223">
        <v>45993</v>
      </c>
      <c r="C1223" t="s">
        <v>231</v>
      </c>
      <c r="D1223" t="s">
        <v>31</v>
      </c>
      <c r="E1223" t="s">
        <v>82</v>
      </c>
      <c r="F1223" t="s">
        <v>109</v>
      </c>
      <c r="G1223">
        <v>8</v>
      </c>
      <c r="H1223">
        <v>6672.34</v>
      </c>
      <c r="I1223">
        <v>4469.82</v>
      </c>
      <c r="J1223" t="s">
        <v>16</v>
      </c>
    </row>
    <row r="1224" spans="1:10">
      <c r="A1224" t="s">
        <v>1544</v>
      </c>
      <c r="B1224">
        <v>45712</v>
      </c>
      <c r="C1224" t="s">
        <v>54</v>
      </c>
      <c r="D1224" t="s">
        <v>31</v>
      </c>
      <c r="E1224" t="s">
        <v>20</v>
      </c>
      <c r="F1224" t="s">
        <v>191</v>
      </c>
      <c r="G1224">
        <v>3</v>
      </c>
      <c r="H1224">
        <v>2175.62</v>
      </c>
      <c r="I1224">
        <v>1877.8</v>
      </c>
      <c r="J1224" t="s">
        <v>22</v>
      </c>
    </row>
    <row r="1225" spans="1:10">
      <c r="A1225" t="s">
        <v>1545</v>
      </c>
      <c r="B1225">
        <v>45976</v>
      </c>
      <c r="C1225" t="s">
        <v>18</v>
      </c>
      <c r="D1225" t="s">
        <v>19</v>
      </c>
      <c r="E1225" t="s">
        <v>82</v>
      </c>
      <c r="F1225" t="s">
        <v>137</v>
      </c>
      <c r="G1225">
        <v>4</v>
      </c>
      <c r="H1225">
        <v>3461.92</v>
      </c>
      <c r="I1225">
        <v>2580.02</v>
      </c>
      <c r="J1225" t="s">
        <v>28</v>
      </c>
    </row>
    <row r="1226" spans="1:10">
      <c r="A1226" t="s">
        <v>1546</v>
      </c>
      <c r="B1226" t="s">
        <v>1547</v>
      </c>
      <c r="C1226" t="s">
        <v>56</v>
      </c>
      <c r="D1226" t="s">
        <v>31</v>
      </c>
      <c r="E1226" t="s">
        <v>32</v>
      </c>
      <c r="F1226" t="s">
        <v>52</v>
      </c>
      <c r="G1226">
        <v>6</v>
      </c>
      <c r="H1226">
        <v>208.78</v>
      </c>
      <c r="I1226">
        <v>120.87</v>
      </c>
      <c r="J1226" t="s">
        <v>38</v>
      </c>
    </row>
    <row r="1227" spans="1:10">
      <c r="A1227" t="s">
        <v>1548</v>
      </c>
      <c r="B1227">
        <v>45955</v>
      </c>
      <c r="C1227" t="s">
        <v>124</v>
      </c>
      <c r="D1227" t="s">
        <v>12</v>
      </c>
      <c r="E1227" t="s">
        <v>36</v>
      </c>
      <c r="F1227" t="s">
        <v>42</v>
      </c>
      <c r="G1227">
        <v>2</v>
      </c>
      <c r="H1227">
        <v>9053.73</v>
      </c>
      <c r="I1227">
        <v>6754.04</v>
      </c>
      <c r="J1227" t="s">
        <v>71</v>
      </c>
    </row>
    <row r="1228" spans="1:10">
      <c r="A1228" t="s">
        <v>1549</v>
      </c>
      <c r="B1228">
        <v>45741</v>
      </c>
      <c r="C1228" t="s">
        <v>121</v>
      </c>
      <c r="D1228" t="s">
        <v>12</v>
      </c>
      <c r="E1228" t="s">
        <v>179</v>
      </c>
      <c r="F1228" t="s">
        <v>960</v>
      </c>
      <c r="G1228">
        <v>4</v>
      </c>
      <c r="H1228">
        <v>2171.36</v>
      </c>
      <c r="I1228">
        <v>1658.13</v>
      </c>
      <c r="J1228" t="s">
        <v>71</v>
      </c>
    </row>
    <row r="1229" spans="1:10">
      <c r="A1229" t="s">
        <v>1550</v>
      </c>
      <c r="B1229">
        <v>45853</v>
      </c>
      <c r="C1229" t="s">
        <v>135</v>
      </c>
      <c r="D1229" t="s">
        <v>49</v>
      </c>
      <c r="E1229" t="s">
        <v>36</v>
      </c>
      <c r="F1229" t="s">
        <v>42</v>
      </c>
      <c r="G1229">
        <v>4</v>
      </c>
      <c r="H1229">
        <v>8036.4</v>
      </c>
      <c r="I1229">
        <v>5939.35</v>
      </c>
      <c r="J1229" t="s">
        <v>28</v>
      </c>
    </row>
    <row r="1230" spans="1:10">
      <c r="A1230" t="s">
        <v>1551</v>
      </c>
      <c r="B1230">
        <v>45831</v>
      </c>
      <c r="C1230" t="s">
        <v>789</v>
      </c>
      <c r="D1230" t="s">
        <v>31</v>
      </c>
      <c r="E1230" t="s">
        <v>82</v>
      </c>
      <c r="F1230" t="s">
        <v>150</v>
      </c>
      <c r="G1230">
        <v>1</v>
      </c>
      <c r="H1230">
        <v>3396.91</v>
      </c>
      <c r="I1230">
        <v>2236.1999999999998</v>
      </c>
      <c r="J1230" t="s">
        <v>71</v>
      </c>
    </row>
    <row r="1231" spans="1:10">
      <c r="A1231" t="s">
        <v>1552</v>
      </c>
      <c r="B1231">
        <v>45738</v>
      </c>
      <c r="C1231" t="s">
        <v>115</v>
      </c>
      <c r="D1231" t="s">
        <v>41</v>
      </c>
      <c r="E1231" t="s">
        <v>82</v>
      </c>
      <c r="F1231" t="s">
        <v>83</v>
      </c>
      <c r="G1231">
        <v>1</v>
      </c>
      <c r="H1231">
        <v>6205.54</v>
      </c>
      <c r="I1231">
        <v>3578.35</v>
      </c>
      <c r="J1231" t="s">
        <v>16</v>
      </c>
    </row>
    <row r="1232" spans="1:10">
      <c r="A1232" t="s">
        <v>1553</v>
      </c>
      <c r="B1232">
        <v>45933</v>
      </c>
      <c r="C1232" t="s">
        <v>30</v>
      </c>
      <c r="D1232" t="s">
        <v>19</v>
      </c>
      <c r="E1232" t="s">
        <v>36</v>
      </c>
      <c r="F1232" t="s">
        <v>61</v>
      </c>
      <c r="G1232">
        <v>7</v>
      </c>
      <c r="H1232">
        <v>4146.7700000000004</v>
      </c>
      <c r="I1232">
        <v>3215.67</v>
      </c>
      <c r="J1232" t="s">
        <v>38</v>
      </c>
    </row>
    <row r="1233" spans="1:10">
      <c r="A1233" t="s">
        <v>1554</v>
      </c>
      <c r="B1233">
        <v>45765</v>
      </c>
      <c r="C1233" t="s">
        <v>119</v>
      </c>
      <c r="D1233" t="s">
        <v>57</v>
      </c>
      <c r="E1233" t="s">
        <v>26</v>
      </c>
      <c r="F1233" t="s">
        <v>131</v>
      </c>
      <c r="G1233">
        <v>7</v>
      </c>
      <c r="H1233">
        <v>2521.7800000000002</v>
      </c>
      <c r="I1233">
        <v>1392.32</v>
      </c>
      <c r="J1233" t="s">
        <v>71</v>
      </c>
    </row>
    <row r="1234" spans="1:10">
      <c r="A1234" t="s">
        <v>1555</v>
      </c>
      <c r="B1234">
        <v>45736</v>
      </c>
      <c r="C1234" t="s">
        <v>220</v>
      </c>
      <c r="D1234" t="s">
        <v>19</v>
      </c>
      <c r="E1234" t="s">
        <v>82</v>
      </c>
      <c r="F1234" t="s">
        <v>97</v>
      </c>
      <c r="G1234">
        <v>3</v>
      </c>
      <c r="H1234">
        <v>2098.13</v>
      </c>
      <c r="I1234">
        <v>1475</v>
      </c>
      <c r="J1234" t="s">
        <v>28</v>
      </c>
    </row>
    <row r="1235" spans="1:10">
      <c r="A1235" t="s">
        <v>1556</v>
      </c>
      <c r="B1235">
        <v>45920</v>
      </c>
      <c r="C1235" t="s">
        <v>139</v>
      </c>
      <c r="D1235" t="s">
        <v>12</v>
      </c>
      <c r="E1235" t="s">
        <v>32</v>
      </c>
      <c r="F1235" t="s">
        <v>52</v>
      </c>
      <c r="G1235">
        <v>7</v>
      </c>
      <c r="H1235" t="s">
        <v>1557</v>
      </c>
      <c r="I1235">
        <v>711.68</v>
      </c>
      <c r="J1235" t="s">
        <v>28</v>
      </c>
    </row>
    <row r="1236" spans="1:10">
      <c r="A1236" t="s">
        <v>1558</v>
      </c>
      <c r="B1236">
        <v>46009</v>
      </c>
      <c r="C1236" t="s">
        <v>74</v>
      </c>
      <c r="D1236" t="s">
        <v>63</v>
      </c>
      <c r="E1236" t="s">
        <v>20</v>
      </c>
      <c r="F1236" t="s">
        <v>1559</v>
      </c>
      <c r="G1236">
        <v>3</v>
      </c>
      <c r="H1236">
        <v>5618.67</v>
      </c>
      <c r="I1236">
        <v>4067.93</v>
      </c>
      <c r="J1236" t="s">
        <v>38</v>
      </c>
    </row>
    <row r="1237" spans="1:10">
      <c r="A1237" t="s">
        <v>1560</v>
      </c>
      <c r="B1237">
        <v>45861</v>
      </c>
      <c r="C1237" t="s">
        <v>30</v>
      </c>
      <c r="D1237" t="s">
        <v>12</v>
      </c>
      <c r="E1237" t="s">
        <v>36</v>
      </c>
      <c r="F1237" t="s">
        <v>46</v>
      </c>
      <c r="G1237">
        <v>8</v>
      </c>
      <c r="H1237">
        <v>6075.99</v>
      </c>
      <c r="I1237">
        <v>4537.13</v>
      </c>
      <c r="J1237" t="s">
        <v>71</v>
      </c>
    </row>
    <row r="1238" spans="1:10">
      <c r="A1238" t="s">
        <v>1561</v>
      </c>
      <c r="B1238">
        <v>45850</v>
      </c>
      <c r="C1238" t="s">
        <v>115</v>
      </c>
      <c r="D1238" t="s">
        <v>57</v>
      </c>
      <c r="E1238" t="s">
        <v>149</v>
      </c>
      <c r="F1238" t="s">
        <v>150</v>
      </c>
      <c r="G1238">
        <v>5</v>
      </c>
      <c r="H1238">
        <v>6552.05</v>
      </c>
      <c r="I1238">
        <v>4626.84</v>
      </c>
      <c r="J1238" t="s">
        <v>22</v>
      </c>
    </row>
    <row r="1239" spans="1:10">
      <c r="A1239" t="s">
        <v>1562</v>
      </c>
      <c r="B1239">
        <v>45945</v>
      </c>
      <c r="C1239" t="s">
        <v>48</v>
      </c>
      <c r="D1239" t="s">
        <v>19</v>
      </c>
      <c r="E1239" t="s">
        <v>20</v>
      </c>
      <c r="F1239" t="s">
        <v>86</v>
      </c>
      <c r="G1239">
        <v>5</v>
      </c>
      <c r="H1239">
        <v>4608.58</v>
      </c>
      <c r="I1239">
        <v>3186.29</v>
      </c>
      <c r="J1239" t="s">
        <v>38</v>
      </c>
    </row>
    <row r="1240" spans="1:10">
      <c r="A1240" t="s">
        <v>1563</v>
      </c>
      <c r="B1240">
        <v>45853</v>
      </c>
      <c r="C1240" t="s">
        <v>74</v>
      </c>
      <c r="D1240" t="s">
        <v>41</v>
      </c>
      <c r="E1240" t="s">
        <v>32</v>
      </c>
      <c r="F1240" t="s">
        <v>163</v>
      </c>
      <c r="G1240">
        <v>7</v>
      </c>
      <c r="H1240">
        <v>2473.35</v>
      </c>
      <c r="I1240">
        <v>2007.1</v>
      </c>
      <c r="J1240" t="s">
        <v>71</v>
      </c>
    </row>
    <row r="1241" spans="1:10">
      <c r="A1241" t="s">
        <v>1564</v>
      </c>
      <c r="B1241">
        <v>45667</v>
      </c>
      <c r="C1241" t="s">
        <v>259</v>
      </c>
      <c r="D1241" t="s">
        <v>41</v>
      </c>
      <c r="E1241" t="s">
        <v>36</v>
      </c>
      <c r="F1241" t="s">
        <v>37</v>
      </c>
      <c r="G1241">
        <v>8</v>
      </c>
      <c r="H1241">
        <v>13850.41</v>
      </c>
      <c r="I1241">
        <v>7812.05</v>
      </c>
      <c r="J1241" t="s">
        <v>16</v>
      </c>
    </row>
    <row r="1242" spans="1:10">
      <c r="A1242" t="s">
        <v>1565</v>
      </c>
      <c r="B1242">
        <v>46007</v>
      </c>
      <c r="C1242" t="s">
        <v>48</v>
      </c>
      <c r="D1242" t="s">
        <v>31</v>
      </c>
      <c r="E1242" t="s">
        <v>32</v>
      </c>
      <c r="F1242" t="s">
        <v>101</v>
      </c>
      <c r="G1242">
        <v>1</v>
      </c>
      <c r="H1242">
        <v>305.67</v>
      </c>
      <c r="I1242">
        <v>231.28</v>
      </c>
      <c r="J1242" t="s">
        <v>28</v>
      </c>
    </row>
    <row r="1243" spans="1:10">
      <c r="A1243" t="s">
        <v>64</v>
      </c>
      <c r="B1243">
        <v>45969</v>
      </c>
      <c r="C1243" t="s">
        <v>54</v>
      </c>
      <c r="D1243" t="s">
        <v>65</v>
      </c>
      <c r="E1243" t="s">
        <v>20</v>
      </c>
      <c r="F1243" t="s">
        <v>21</v>
      </c>
      <c r="G1243">
        <v>5</v>
      </c>
      <c r="H1243">
        <v>4420.07</v>
      </c>
      <c r="I1243">
        <v>3465.74</v>
      </c>
      <c r="J1243" t="s">
        <v>22</v>
      </c>
    </row>
    <row r="1244" spans="1:10">
      <c r="A1244" t="s">
        <v>1566</v>
      </c>
      <c r="B1244" t="s">
        <v>1567</v>
      </c>
      <c r="C1244" t="s">
        <v>162</v>
      </c>
      <c r="D1244" t="s">
        <v>499</v>
      </c>
      <c r="E1244" t="s">
        <v>36</v>
      </c>
      <c r="F1244" t="s">
        <v>93</v>
      </c>
      <c r="G1244">
        <v>1</v>
      </c>
      <c r="H1244">
        <v>5049.87</v>
      </c>
      <c r="I1244">
        <v>3858.6</v>
      </c>
      <c r="J1244" t="s">
        <v>16</v>
      </c>
    </row>
    <row r="1245" spans="1:10">
      <c r="A1245" t="s">
        <v>1568</v>
      </c>
      <c r="B1245">
        <v>45823</v>
      </c>
      <c r="C1245" t="s">
        <v>24</v>
      </c>
      <c r="D1245" t="s">
        <v>12</v>
      </c>
      <c r="E1245" t="s">
        <v>36</v>
      </c>
      <c r="F1245" t="s">
        <v>88</v>
      </c>
      <c r="G1245">
        <v>6</v>
      </c>
      <c r="H1245" t="s">
        <v>1569</v>
      </c>
      <c r="I1245">
        <v>13334.33</v>
      </c>
      <c r="J1245" t="s">
        <v>28</v>
      </c>
    </row>
    <row r="1246" spans="1:10">
      <c r="A1246" t="s">
        <v>1570</v>
      </c>
      <c r="B1246">
        <v>45856</v>
      </c>
      <c r="C1246" t="s">
        <v>24</v>
      </c>
      <c r="D1246" t="s">
        <v>31</v>
      </c>
      <c r="E1246" t="s">
        <v>32</v>
      </c>
      <c r="F1246" t="s">
        <v>52</v>
      </c>
      <c r="G1246">
        <v>6</v>
      </c>
      <c r="H1246">
        <v>513.73</v>
      </c>
      <c r="I1246">
        <v>404.58</v>
      </c>
      <c r="J1246" t="s">
        <v>22</v>
      </c>
    </row>
    <row r="1247" spans="1:10">
      <c r="A1247" t="s">
        <v>1571</v>
      </c>
      <c r="B1247">
        <v>45973</v>
      </c>
      <c r="C1247" t="s">
        <v>74</v>
      </c>
      <c r="D1247" t="s">
        <v>540</v>
      </c>
      <c r="E1247" t="s">
        <v>32</v>
      </c>
      <c r="F1247" t="s">
        <v>101</v>
      </c>
      <c r="G1247">
        <v>5</v>
      </c>
      <c r="H1247" t="s">
        <v>1572</v>
      </c>
      <c r="I1247">
        <v>1077.49</v>
      </c>
      <c r="J1247" t="s">
        <v>38</v>
      </c>
    </row>
    <row r="1248" spans="1:10">
      <c r="A1248" t="s">
        <v>1573</v>
      </c>
      <c r="B1248">
        <v>45681</v>
      </c>
      <c r="C1248" t="s">
        <v>74</v>
      </c>
      <c r="D1248" t="s">
        <v>12</v>
      </c>
      <c r="E1248" t="s">
        <v>122</v>
      </c>
      <c r="F1248" t="s">
        <v>113</v>
      </c>
      <c r="G1248">
        <v>3</v>
      </c>
      <c r="H1248">
        <v>15211.57</v>
      </c>
      <c r="I1248">
        <v>10117.66</v>
      </c>
      <c r="J1248" t="s">
        <v>38</v>
      </c>
    </row>
    <row r="1249" spans="1:10">
      <c r="A1249" t="s">
        <v>1574</v>
      </c>
      <c r="B1249">
        <v>45744</v>
      </c>
      <c r="C1249" t="s">
        <v>105</v>
      </c>
      <c r="D1249" t="s">
        <v>19</v>
      </c>
      <c r="E1249" t="s">
        <v>20</v>
      </c>
      <c r="F1249" t="s">
        <v>21</v>
      </c>
      <c r="G1249">
        <v>2</v>
      </c>
      <c r="H1249">
        <v>3307.66</v>
      </c>
      <c r="I1249">
        <v>1943.68</v>
      </c>
      <c r="J1249" t="s">
        <v>38</v>
      </c>
    </row>
    <row r="1250" spans="1:10">
      <c r="A1250" t="s">
        <v>1575</v>
      </c>
      <c r="B1250">
        <v>45930</v>
      </c>
      <c r="C1250" t="s">
        <v>56</v>
      </c>
      <c r="D1250" t="s">
        <v>19</v>
      </c>
      <c r="E1250" t="s">
        <v>82</v>
      </c>
      <c r="F1250" t="s">
        <v>97</v>
      </c>
      <c r="G1250">
        <v>8</v>
      </c>
      <c r="H1250">
        <v>5077.68</v>
      </c>
      <c r="I1250">
        <v>3295.06</v>
      </c>
      <c r="J1250" t="s">
        <v>16</v>
      </c>
    </row>
    <row r="1251" spans="1:10">
      <c r="A1251" t="s">
        <v>1576</v>
      </c>
      <c r="B1251">
        <v>45811</v>
      </c>
      <c r="C1251" t="s">
        <v>30</v>
      </c>
      <c r="D1251" t="s">
        <v>511</v>
      </c>
      <c r="E1251" t="s">
        <v>32</v>
      </c>
      <c r="F1251" t="s">
        <v>101</v>
      </c>
      <c r="G1251">
        <v>-2</v>
      </c>
      <c r="H1251">
        <v>1185.19</v>
      </c>
      <c r="I1251">
        <v>723.11</v>
      </c>
      <c r="J1251" t="s">
        <v>22</v>
      </c>
    </row>
    <row r="1252" spans="1:10">
      <c r="A1252" t="s">
        <v>1577</v>
      </c>
      <c r="B1252">
        <v>45900</v>
      </c>
      <c r="C1252" t="s">
        <v>54</v>
      </c>
      <c r="D1252" t="s">
        <v>57</v>
      </c>
      <c r="E1252" t="s">
        <v>20</v>
      </c>
      <c r="F1252" t="s">
        <v>86</v>
      </c>
      <c r="G1252">
        <v>2</v>
      </c>
      <c r="H1252">
        <v>3601.83</v>
      </c>
      <c r="I1252">
        <v>2240.08</v>
      </c>
      <c r="J1252" t="s">
        <v>22</v>
      </c>
    </row>
    <row r="1253" spans="1:10">
      <c r="A1253" t="s">
        <v>1578</v>
      </c>
      <c r="B1253">
        <v>45680</v>
      </c>
      <c r="C1253" t="s">
        <v>135</v>
      </c>
      <c r="D1253" t="s">
        <v>19</v>
      </c>
      <c r="E1253" t="s">
        <v>96</v>
      </c>
      <c r="F1253" t="s">
        <v>137</v>
      </c>
      <c r="G1253">
        <v>2</v>
      </c>
      <c r="H1253">
        <v>6244.04</v>
      </c>
      <c r="I1253">
        <v>4281.3</v>
      </c>
      <c r="J1253" t="s">
        <v>38</v>
      </c>
    </row>
    <row r="1254" spans="1:10">
      <c r="A1254" t="s">
        <v>1579</v>
      </c>
      <c r="B1254">
        <v>45970</v>
      </c>
      <c r="C1254" t="s">
        <v>70</v>
      </c>
      <c r="D1254" t="s">
        <v>12</v>
      </c>
      <c r="E1254" t="s">
        <v>179</v>
      </c>
      <c r="F1254" t="s">
        <v>52</v>
      </c>
      <c r="G1254">
        <v>7</v>
      </c>
      <c r="H1254">
        <v>610.41999999999996</v>
      </c>
      <c r="I1254">
        <v>434.85</v>
      </c>
      <c r="J1254" t="s">
        <v>71</v>
      </c>
    </row>
    <row r="1255" spans="1:10">
      <c r="A1255" t="s">
        <v>1580</v>
      </c>
      <c r="B1255">
        <v>45817</v>
      </c>
      <c r="C1255" t="s">
        <v>1581</v>
      </c>
      <c r="D1255" t="s">
        <v>41</v>
      </c>
      <c r="E1255" t="s">
        <v>82</v>
      </c>
      <c r="F1255" t="s">
        <v>97</v>
      </c>
      <c r="G1255">
        <v>1</v>
      </c>
      <c r="H1255">
        <v>6363.66</v>
      </c>
      <c r="I1255">
        <v>4623.59</v>
      </c>
      <c r="J1255" t="s">
        <v>16</v>
      </c>
    </row>
    <row r="1256" spans="1:10">
      <c r="A1256" t="s">
        <v>1582</v>
      </c>
      <c r="B1256">
        <v>46007</v>
      </c>
      <c r="C1256" t="s">
        <v>105</v>
      </c>
      <c r="D1256" t="s">
        <v>31</v>
      </c>
      <c r="E1256" t="s">
        <v>20</v>
      </c>
      <c r="F1256" t="s">
        <v>191</v>
      </c>
      <c r="G1256">
        <v>7</v>
      </c>
      <c r="H1256">
        <v>3110.24</v>
      </c>
      <c r="I1256">
        <v>1859.61</v>
      </c>
      <c r="J1256" t="s">
        <v>28</v>
      </c>
    </row>
    <row r="1257" spans="1:10">
      <c r="A1257" t="s">
        <v>1583</v>
      </c>
      <c r="B1257">
        <v>45951</v>
      </c>
      <c r="C1257" t="s">
        <v>162</v>
      </c>
      <c r="D1257" t="s">
        <v>63</v>
      </c>
      <c r="E1257" t="s">
        <v>82</v>
      </c>
      <c r="F1257" t="s">
        <v>83</v>
      </c>
      <c r="G1257">
        <v>6</v>
      </c>
      <c r="H1257">
        <v>3178.71</v>
      </c>
      <c r="I1257">
        <v>2755.92</v>
      </c>
      <c r="J1257" t="s">
        <v>22</v>
      </c>
    </row>
    <row r="1258" spans="1:10">
      <c r="A1258" t="s">
        <v>1584</v>
      </c>
      <c r="B1258">
        <v>45811</v>
      </c>
      <c r="C1258" t="s">
        <v>40</v>
      </c>
      <c r="D1258" t="s">
        <v>12</v>
      </c>
      <c r="E1258" t="s">
        <v>20</v>
      </c>
      <c r="F1258" t="s">
        <v>21</v>
      </c>
      <c r="G1258">
        <v>8</v>
      </c>
      <c r="H1258">
        <v>1182.97</v>
      </c>
      <c r="I1258">
        <v>910.59</v>
      </c>
      <c r="J1258" t="s">
        <v>22</v>
      </c>
    </row>
    <row r="1259" spans="1:10">
      <c r="A1259" t="s">
        <v>1585</v>
      </c>
      <c r="B1259">
        <v>45670</v>
      </c>
      <c r="C1259" t="s">
        <v>124</v>
      </c>
      <c r="D1259" t="s">
        <v>19</v>
      </c>
      <c r="E1259" t="s">
        <v>13</v>
      </c>
      <c r="F1259" t="s">
        <v>86</v>
      </c>
      <c r="G1259">
        <v>4</v>
      </c>
      <c r="H1259">
        <v>2691.56</v>
      </c>
      <c r="I1259">
        <v>1727.82</v>
      </c>
      <c r="J1259" t="s">
        <v>16</v>
      </c>
    </row>
    <row r="1260" spans="1:10">
      <c r="A1260" t="s">
        <v>1586</v>
      </c>
      <c r="B1260">
        <v>45987</v>
      </c>
      <c r="C1260" t="s">
        <v>51</v>
      </c>
      <c r="D1260" t="s">
        <v>63</v>
      </c>
      <c r="E1260" t="s">
        <v>20</v>
      </c>
      <c r="F1260" t="s">
        <v>196</v>
      </c>
      <c r="G1260">
        <v>2</v>
      </c>
      <c r="H1260">
        <v>5519.35</v>
      </c>
      <c r="I1260">
        <v>4338.66</v>
      </c>
      <c r="J1260" t="s">
        <v>16</v>
      </c>
    </row>
    <row r="1261" spans="1:10">
      <c r="A1261" t="s">
        <v>1587</v>
      </c>
      <c r="B1261">
        <v>45842</v>
      </c>
      <c r="C1261" t="s">
        <v>105</v>
      </c>
      <c r="D1261" t="s">
        <v>19</v>
      </c>
      <c r="E1261" t="s">
        <v>26</v>
      </c>
      <c r="F1261" t="s">
        <v>350</v>
      </c>
      <c r="G1261">
        <v>5</v>
      </c>
      <c r="H1261">
        <v>1368.46</v>
      </c>
      <c r="I1261">
        <v>938.6</v>
      </c>
      <c r="J1261" t="s">
        <v>22</v>
      </c>
    </row>
    <row r="1262" spans="1:10">
      <c r="A1262" t="s">
        <v>1588</v>
      </c>
      <c r="B1262">
        <v>45898</v>
      </c>
      <c r="C1262" t="s">
        <v>162</v>
      </c>
      <c r="D1262" t="s">
        <v>31</v>
      </c>
      <c r="E1262" t="s">
        <v>82</v>
      </c>
      <c r="F1262" t="s">
        <v>150</v>
      </c>
      <c r="G1262">
        <v>5</v>
      </c>
      <c r="H1262">
        <v>3383.06</v>
      </c>
      <c r="I1262">
        <v>2271.6799999999998</v>
      </c>
      <c r="J1262" t="s">
        <v>16</v>
      </c>
    </row>
    <row r="1263" spans="1:10">
      <c r="A1263" t="s">
        <v>1589</v>
      </c>
      <c r="B1263">
        <v>45920</v>
      </c>
      <c r="C1263" t="s">
        <v>105</v>
      </c>
      <c r="D1263" t="s">
        <v>57</v>
      </c>
      <c r="E1263" t="s">
        <v>36</v>
      </c>
      <c r="F1263" t="s">
        <v>93</v>
      </c>
      <c r="G1263">
        <v>2</v>
      </c>
      <c r="H1263">
        <v>14847.18</v>
      </c>
      <c r="I1263">
        <v>9746.94</v>
      </c>
      <c r="J1263" t="s">
        <v>71</v>
      </c>
    </row>
    <row r="1264" spans="1:10">
      <c r="A1264" t="s">
        <v>1590</v>
      </c>
      <c r="B1264">
        <v>45889</v>
      </c>
      <c r="C1264" t="s">
        <v>18</v>
      </c>
      <c r="D1264" t="s">
        <v>31</v>
      </c>
      <c r="E1264" t="s">
        <v>36</v>
      </c>
      <c r="F1264" t="s">
        <v>88</v>
      </c>
      <c r="G1264">
        <v>2</v>
      </c>
      <c r="H1264">
        <v>11435.46</v>
      </c>
      <c r="I1264">
        <v>8838.74</v>
      </c>
      <c r="J1264" t="s">
        <v>38</v>
      </c>
    </row>
    <row r="1265" spans="1:10">
      <c r="A1265" t="s">
        <v>1591</v>
      </c>
      <c r="B1265">
        <v>45749</v>
      </c>
      <c r="C1265" t="s">
        <v>124</v>
      </c>
      <c r="D1265" t="s">
        <v>63</v>
      </c>
      <c r="E1265" t="s">
        <v>82</v>
      </c>
      <c r="F1265" t="s">
        <v>83</v>
      </c>
      <c r="G1265">
        <v>6</v>
      </c>
      <c r="H1265">
        <v>5102.41</v>
      </c>
      <c r="I1265">
        <v>3691.12</v>
      </c>
      <c r="J1265" t="s">
        <v>28</v>
      </c>
    </row>
    <row r="1266" spans="1:10">
      <c r="A1266" t="s">
        <v>1592</v>
      </c>
      <c r="B1266">
        <v>45973</v>
      </c>
      <c r="C1266" t="s">
        <v>220</v>
      </c>
      <c r="D1266" t="s">
        <v>19</v>
      </c>
      <c r="E1266" t="s">
        <v>1593</v>
      </c>
      <c r="F1266" t="s">
        <v>21</v>
      </c>
      <c r="G1266">
        <v>8</v>
      </c>
      <c r="H1266">
        <v>3927.5</v>
      </c>
      <c r="I1266">
        <v>2731</v>
      </c>
      <c r="J1266" t="s">
        <v>71</v>
      </c>
    </row>
    <row r="1267" spans="1:10">
      <c r="A1267" t="s">
        <v>1594</v>
      </c>
      <c r="B1267">
        <v>45672</v>
      </c>
      <c r="C1267" t="s">
        <v>850</v>
      </c>
      <c r="D1267" t="s">
        <v>12</v>
      </c>
      <c r="E1267" t="s">
        <v>26</v>
      </c>
      <c r="F1267" t="s">
        <v>103</v>
      </c>
      <c r="G1267">
        <v>6</v>
      </c>
      <c r="H1267">
        <v>3275.18</v>
      </c>
      <c r="I1267">
        <v>2708.34</v>
      </c>
      <c r="J1267" t="s">
        <v>22</v>
      </c>
    </row>
    <row r="1268" spans="1:10">
      <c r="A1268" t="s">
        <v>1595</v>
      </c>
      <c r="B1268">
        <v>45698</v>
      </c>
      <c r="C1268" t="s">
        <v>40</v>
      </c>
      <c r="D1268" t="s">
        <v>57</v>
      </c>
      <c r="E1268" t="s">
        <v>26</v>
      </c>
      <c r="F1268" t="s">
        <v>103</v>
      </c>
      <c r="G1268">
        <v>4</v>
      </c>
      <c r="H1268">
        <v>500.46</v>
      </c>
      <c r="I1268">
        <v>369.25</v>
      </c>
      <c r="J1268" t="s">
        <v>28</v>
      </c>
    </row>
    <row r="1269" spans="1:10">
      <c r="A1269" t="s">
        <v>1596</v>
      </c>
      <c r="B1269">
        <v>45689</v>
      </c>
      <c r="C1269" t="s">
        <v>220</v>
      </c>
      <c r="D1269" t="s">
        <v>31</v>
      </c>
      <c r="E1269" t="s">
        <v>32</v>
      </c>
      <c r="F1269" t="s">
        <v>163</v>
      </c>
      <c r="G1269">
        <v>3</v>
      </c>
      <c r="H1269" t="s">
        <v>1597</v>
      </c>
      <c r="I1269">
        <v>1023.96</v>
      </c>
      <c r="J1269" t="s">
        <v>28</v>
      </c>
    </row>
    <row r="1270" spans="1:10">
      <c r="A1270" t="s">
        <v>1598</v>
      </c>
      <c r="B1270">
        <v>45875</v>
      </c>
      <c r="C1270" t="s">
        <v>30</v>
      </c>
      <c r="D1270" t="s">
        <v>57</v>
      </c>
      <c r="E1270" t="s">
        <v>36</v>
      </c>
      <c r="F1270" t="s">
        <v>37</v>
      </c>
      <c r="G1270">
        <v>4</v>
      </c>
      <c r="H1270" t="s">
        <v>1599</v>
      </c>
      <c r="I1270">
        <v>3384.54</v>
      </c>
      <c r="J1270" t="s">
        <v>38</v>
      </c>
    </row>
    <row r="1271" spans="1:10">
      <c r="A1271" t="s">
        <v>1600</v>
      </c>
      <c r="B1271">
        <v>45697</v>
      </c>
      <c r="C1271" t="s">
        <v>59</v>
      </c>
      <c r="D1271" t="s">
        <v>41</v>
      </c>
      <c r="E1271" t="s">
        <v>82</v>
      </c>
      <c r="F1271" t="s">
        <v>97</v>
      </c>
      <c r="G1271">
        <v>8</v>
      </c>
      <c r="H1271">
        <v>3550.95</v>
      </c>
      <c r="I1271">
        <v>2717.87</v>
      </c>
      <c r="J1271" t="s">
        <v>28</v>
      </c>
    </row>
    <row r="1272" spans="1:10">
      <c r="A1272" t="s">
        <v>1601</v>
      </c>
      <c r="B1272">
        <v>45967</v>
      </c>
      <c r="C1272" t="s">
        <v>70</v>
      </c>
      <c r="D1272" t="s">
        <v>31</v>
      </c>
      <c r="E1272" t="s">
        <v>20</v>
      </c>
      <c r="F1272" t="s">
        <v>21</v>
      </c>
      <c r="G1272">
        <v>8</v>
      </c>
      <c r="H1272">
        <v>3257.52</v>
      </c>
      <c r="I1272">
        <v>2821.17</v>
      </c>
      <c r="J1272" t="s">
        <v>28</v>
      </c>
    </row>
    <row r="1273" spans="1:10">
      <c r="A1273" t="s">
        <v>1602</v>
      </c>
      <c r="B1273">
        <v>45919</v>
      </c>
      <c r="C1273" t="s">
        <v>133</v>
      </c>
      <c r="D1273" t="s">
        <v>31</v>
      </c>
      <c r="E1273" t="s">
        <v>36</v>
      </c>
      <c r="F1273" t="s">
        <v>37</v>
      </c>
      <c r="G1273">
        <v>6</v>
      </c>
      <c r="I1273">
        <v>7833.11</v>
      </c>
      <c r="J1273" t="s">
        <v>22</v>
      </c>
    </row>
    <row r="1274" spans="1:10">
      <c r="A1274" t="s">
        <v>1603</v>
      </c>
      <c r="B1274">
        <v>45884</v>
      </c>
      <c r="C1274" t="s">
        <v>54</v>
      </c>
      <c r="D1274" t="s">
        <v>41</v>
      </c>
      <c r="E1274" t="s">
        <v>26</v>
      </c>
      <c r="F1274" t="s">
        <v>106</v>
      </c>
      <c r="G1274">
        <v>8</v>
      </c>
      <c r="H1274">
        <v>2445.79</v>
      </c>
      <c r="I1274">
        <v>1757.76</v>
      </c>
      <c r="J1274" t="s">
        <v>71</v>
      </c>
    </row>
    <row r="1275" spans="1:10">
      <c r="A1275" t="s">
        <v>1604</v>
      </c>
      <c r="B1275">
        <v>45956</v>
      </c>
      <c r="C1275" t="s">
        <v>56</v>
      </c>
      <c r="D1275" t="s">
        <v>41</v>
      </c>
      <c r="E1275" t="s">
        <v>82</v>
      </c>
      <c r="F1275" t="s">
        <v>109</v>
      </c>
      <c r="G1275">
        <v>1</v>
      </c>
      <c r="H1275">
        <v>3871.7</v>
      </c>
      <c r="I1275">
        <v>2858.71</v>
      </c>
      <c r="J1275" t="s">
        <v>28</v>
      </c>
    </row>
    <row r="1276" spans="1:10">
      <c r="A1276" t="s">
        <v>1605</v>
      </c>
      <c r="B1276">
        <v>45831</v>
      </c>
      <c r="C1276" t="s">
        <v>40</v>
      </c>
      <c r="D1276" t="s">
        <v>12</v>
      </c>
      <c r="E1276" t="s">
        <v>122</v>
      </c>
      <c r="F1276" t="s">
        <v>113</v>
      </c>
      <c r="G1276">
        <v>2</v>
      </c>
      <c r="H1276">
        <v>4359.7</v>
      </c>
      <c r="I1276">
        <v>3089.02</v>
      </c>
      <c r="J1276" t="s">
        <v>38</v>
      </c>
    </row>
    <row r="1277" spans="1:10">
      <c r="A1277" t="s">
        <v>1606</v>
      </c>
      <c r="B1277">
        <v>45964</v>
      </c>
      <c r="C1277" t="s">
        <v>35</v>
      </c>
      <c r="D1277" t="s">
        <v>12</v>
      </c>
      <c r="E1277" t="s">
        <v>20</v>
      </c>
      <c r="F1277" t="s">
        <v>91</v>
      </c>
      <c r="G1277">
        <v>8</v>
      </c>
      <c r="H1277" t="s">
        <v>1607</v>
      </c>
      <c r="I1277">
        <v>3006.5</v>
      </c>
      <c r="J1277" t="s">
        <v>22</v>
      </c>
    </row>
    <row r="1278" spans="1:10">
      <c r="A1278" t="s">
        <v>1608</v>
      </c>
      <c r="B1278">
        <v>45900</v>
      </c>
      <c r="C1278" t="s">
        <v>175</v>
      </c>
      <c r="D1278" t="s">
        <v>57</v>
      </c>
      <c r="E1278" t="s">
        <v>32</v>
      </c>
      <c r="F1278" t="s">
        <v>52</v>
      </c>
      <c r="G1278">
        <v>2</v>
      </c>
      <c r="H1278">
        <v>1812.63</v>
      </c>
      <c r="I1278">
        <v>1297.43</v>
      </c>
      <c r="J1278" t="s">
        <v>71</v>
      </c>
    </row>
    <row r="1279" spans="1:10">
      <c r="A1279" t="s">
        <v>1609</v>
      </c>
      <c r="B1279">
        <v>45779</v>
      </c>
      <c r="C1279" t="s">
        <v>59</v>
      </c>
      <c r="D1279" t="s">
        <v>57</v>
      </c>
      <c r="E1279" t="s">
        <v>36</v>
      </c>
      <c r="F1279" t="s">
        <v>113</v>
      </c>
      <c r="G1279">
        <v>5</v>
      </c>
      <c r="H1279">
        <v>1568.45</v>
      </c>
      <c r="I1279">
        <v>939.32</v>
      </c>
      <c r="J1279" t="s">
        <v>22</v>
      </c>
    </row>
    <row r="1280" spans="1:10">
      <c r="A1280" t="s">
        <v>1610</v>
      </c>
      <c r="B1280">
        <v>45674</v>
      </c>
      <c r="C1280" t="s">
        <v>74</v>
      </c>
      <c r="D1280" t="s">
        <v>31</v>
      </c>
      <c r="E1280" t="s">
        <v>36</v>
      </c>
      <c r="F1280" t="s">
        <v>113</v>
      </c>
      <c r="G1280">
        <v>3</v>
      </c>
      <c r="H1280">
        <v>3528.12</v>
      </c>
      <c r="I1280">
        <v>3049.6</v>
      </c>
      <c r="J1280" t="s">
        <v>22</v>
      </c>
    </row>
    <row r="1281" spans="1:10">
      <c r="A1281" t="s">
        <v>1611</v>
      </c>
      <c r="B1281">
        <v>45785</v>
      </c>
      <c r="C1281" t="s">
        <v>48</v>
      </c>
      <c r="D1281" t="s">
        <v>19</v>
      </c>
      <c r="E1281" t="s">
        <v>26</v>
      </c>
      <c r="F1281" t="s">
        <v>79</v>
      </c>
      <c r="G1281">
        <v>4</v>
      </c>
      <c r="H1281" t="s">
        <v>1612</v>
      </c>
      <c r="I1281">
        <v>702.84</v>
      </c>
      <c r="J1281" t="s">
        <v>38</v>
      </c>
    </row>
  </sheetData>
  <autoFilter ref="B1:B1281" xr:uid="{CE47B781-512C-4098-A04E-976EE7BD8A5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6727-F587-4317-A3A6-186C7D3486DB}">
  <sheetPr>
    <tabColor rgb="FF92D050"/>
  </sheetPr>
  <dimension ref="A1:O1256"/>
  <sheetViews>
    <sheetView tabSelected="1" zoomScaleNormal="100" workbookViewId="0">
      <pane ySplit="1" topLeftCell="A2" activePane="bottomLeft" state="frozen"/>
      <selection pane="bottomLeft" activeCell="B6" sqref="B6"/>
    </sheetView>
  </sheetViews>
  <sheetFormatPr defaultRowHeight="14.4"/>
  <cols>
    <col min="1" max="1" width="15.44140625" customWidth="1"/>
    <col min="2" max="2" width="12.33203125" style="1" bestFit="1" customWidth="1"/>
    <col min="3" max="3" width="17" customWidth="1"/>
    <col min="5" max="5" width="14.21875" bestFit="1" customWidth="1"/>
    <col min="6" max="6" width="17.44140625" bestFit="1" customWidth="1"/>
    <col min="7" max="7" width="12.77734375" bestFit="1" customWidth="1"/>
    <col min="8" max="8" width="18.5546875" style="32" bestFit="1" customWidth="1"/>
    <col min="9" max="9" width="10.44140625" style="30" bestFit="1" customWidth="1"/>
    <col min="10" max="10" width="11.5546875" style="33" bestFit="1" customWidth="1"/>
    <col min="11" max="11" width="10.44140625" style="30" bestFit="1" customWidth="1"/>
    <col min="12" max="12" width="18.6640625" bestFit="1" customWidth="1"/>
    <col min="13" max="13" width="24.5546875" style="31" bestFit="1" customWidth="1"/>
  </cols>
  <sheetData>
    <row r="1" spans="1:13">
      <c r="A1" t="s">
        <v>0</v>
      </c>
      <c r="B1" s="1" t="s">
        <v>1677</v>
      </c>
      <c r="C1" t="s">
        <v>1648</v>
      </c>
      <c r="D1" t="s">
        <v>3</v>
      </c>
      <c r="E1" t="s">
        <v>4</v>
      </c>
      <c r="F1" t="s">
        <v>5</v>
      </c>
      <c r="G1" t="s">
        <v>6</v>
      </c>
      <c r="H1" s="32" t="s">
        <v>1613</v>
      </c>
      <c r="I1" s="30" t="s">
        <v>7</v>
      </c>
      <c r="J1" s="33" t="s">
        <v>1618</v>
      </c>
      <c r="K1" s="30" t="s">
        <v>8</v>
      </c>
      <c r="L1" t="s">
        <v>9</v>
      </c>
      <c r="M1" s="16" t="s">
        <v>1678</v>
      </c>
    </row>
    <row r="2" spans="1:13">
      <c r="A2" t="s">
        <v>300</v>
      </c>
      <c r="B2" s="1">
        <v>45658</v>
      </c>
      <c r="C2" t="s">
        <v>48</v>
      </c>
      <c r="D2" t="s">
        <v>19</v>
      </c>
      <c r="E2" t="s">
        <v>32</v>
      </c>
      <c r="F2" t="s">
        <v>1615</v>
      </c>
      <c r="G2">
        <v>5</v>
      </c>
      <c r="H2" s="32" t="str">
        <f t="shared" ref="H2:H65" si="0">IF(G2="","Blank",IF(G2&lt;0,"Negative Quantity",IF(G2=0,"Zero Quantity",IF(G2&gt;0,"OK",""))))</f>
        <v>OK</v>
      </c>
      <c r="I2" s="30">
        <v>342.34</v>
      </c>
      <c r="J2" s="33" t="str">
        <f t="shared" ref="J2:J65" si="1">IF(I2="","Missing Sales",IF(I2&lt;0,"Negative Sales","OK"))</f>
        <v>OK</v>
      </c>
      <c r="K2" s="30">
        <v>248.8</v>
      </c>
      <c r="L2" t="s">
        <v>28</v>
      </c>
      <c r="M2" s="31" t="str">
        <f t="shared" ref="M2:M65" si="2">IF(OR(I2="",K2=""),"Missing Data",IF(I2&lt;K2,"Sales &lt; Cost","OK"))</f>
        <v>OK</v>
      </c>
    </row>
    <row r="3" spans="1:13">
      <c r="A3" t="s">
        <v>341</v>
      </c>
      <c r="B3" s="1">
        <v>45658</v>
      </c>
      <c r="C3" t="s">
        <v>124</v>
      </c>
      <c r="D3" t="s">
        <v>1617</v>
      </c>
      <c r="E3" t="s">
        <v>36</v>
      </c>
      <c r="F3" t="s">
        <v>1614</v>
      </c>
      <c r="G3">
        <v>7</v>
      </c>
      <c r="H3" s="32" t="str">
        <f t="shared" si="0"/>
        <v>OK</v>
      </c>
      <c r="I3" s="30">
        <v>15418</v>
      </c>
      <c r="J3" s="33" t="str">
        <f t="shared" si="1"/>
        <v>OK</v>
      </c>
      <c r="K3" s="30">
        <v>12179.93</v>
      </c>
      <c r="L3" t="s">
        <v>16</v>
      </c>
      <c r="M3" s="31" t="str">
        <f t="shared" si="2"/>
        <v>OK</v>
      </c>
    </row>
    <row r="4" spans="1:13">
      <c r="A4" t="s">
        <v>346</v>
      </c>
      <c r="B4" s="1">
        <v>45658</v>
      </c>
      <c r="C4" t="s">
        <v>124</v>
      </c>
      <c r="D4" t="s">
        <v>63</v>
      </c>
      <c r="E4" t="s">
        <v>32</v>
      </c>
      <c r="F4" t="s">
        <v>33</v>
      </c>
      <c r="G4">
        <v>1</v>
      </c>
      <c r="H4" s="32" t="str">
        <f t="shared" si="0"/>
        <v>OK</v>
      </c>
      <c r="I4" s="30">
        <v>2460.8000000000002</v>
      </c>
      <c r="J4" s="33" t="str">
        <f t="shared" si="1"/>
        <v>OK</v>
      </c>
      <c r="K4" s="30">
        <v>1837.24</v>
      </c>
      <c r="L4" t="s">
        <v>38</v>
      </c>
      <c r="M4" s="31" t="str">
        <f t="shared" si="2"/>
        <v>OK</v>
      </c>
    </row>
    <row r="5" spans="1:13">
      <c r="A5" t="s">
        <v>781</v>
      </c>
      <c r="B5" s="1">
        <v>45658</v>
      </c>
      <c r="C5" t="s">
        <v>259</v>
      </c>
      <c r="D5" t="s">
        <v>12</v>
      </c>
      <c r="E5" t="s">
        <v>82</v>
      </c>
      <c r="F5" t="s">
        <v>97</v>
      </c>
      <c r="G5">
        <v>2</v>
      </c>
      <c r="H5" s="32" t="str">
        <f t="shared" si="0"/>
        <v>OK</v>
      </c>
      <c r="I5" s="30">
        <v>5625.77</v>
      </c>
      <c r="J5" s="33" t="str">
        <f t="shared" si="1"/>
        <v>OK</v>
      </c>
      <c r="K5" s="30">
        <v>4882.3</v>
      </c>
      <c r="L5" t="s">
        <v>22</v>
      </c>
      <c r="M5" s="31" t="str">
        <f t="shared" si="2"/>
        <v>OK</v>
      </c>
    </row>
    <row r="6" spans="1:13">
      <c r="A6" t="s">
        <v>1341</v>
      </c>
      <c r="B6" s="1">
        <v>45658</v>
      </c>
      <c r="C6" t="s">
        <v>56</v>
      </c>
      <c r="D6" t="s">
        <v>19</v>
      </c>
      <c r="E6" t="s">
        <v>32</v>
      </c>
      <c r="F6" t="s">
        <v>1615</v>
      </c>
      <c r="G6">
        <v>5</v>
      </c>
      <c r="H6" s="32" t="str">
        <f t="shared" si="0"/>
        <v>OK</v>
      </c>
      <c r="I6" s="30">
        <v>859.9</v>
      </c>
      <c r="J6" s="33" t="str">
        <f t="shared" si="1"/>
        <v>OK</v>
      </c>
      <c r="K6" s="30">
        <v>594.92999999999995</v>
      </c>
      <c r="L6" t="s">
        <v>38</v>
      </c>
      <c r="M6" s="31" t="str">
        <f t="shared" si="2"/>
        <v>OK</v>
      </c>
    </row>
    <row r="7" spans="1:13">
      <c r="A7" t="s">
        <v>1368</v>
      </c>
      <c r="B7" s="1">
        <v>45658</v>
      </c>
      <c r="C7" t="s">
        <v>30</v>
      </c>
      <c r="D7" t="s">
        <v>12</v>
      </c>
      <c r="E7" t="s">
        <v>82</v>
      </c>
      <c r="F7" t="s">
        <v>83</v>
      </c>
      <c r="G7">
        <v>6</v>
      </c>
      <c r="H7" s="32" t="str">
        <f t="shared" si="0"/>
        <v>OK</v>
      </c>
      <c r="I7" s="30">
        <v>6458.11</v>
      </c>
      <c r="J7" s="33" t="str">
        <f t="shared" si="1"/>
        <v>OK</v>
      </c>
      <c r="K7" s="30">
        <v>3981.32</v>
      </c>
      <c r="L7" t="s">
        <v>71</v>
      </c>
      <c r="M7" s="31" t="str">
        <f t="shared" si="2"/>
        <v>OK</v>
      </c>
    </row>
    <row r="8" spans="1:13">
      <c r="A8" t="s">
        <v>199</v>
      </c>
      <c r="B8" s="1">
        <v>45659</v>
      </c>
      <c r="C8" t="s">
        <v>74</v>
      </c>
      <c r="D8" t="s">
        <v>12</v>
      </c>
      <c r="E8" t="s">
        <v>20</v>
      </c>
      <c r="F8" t="s">
        <v>91</v>
      </c>
      <c r="G8">
        <v>8</v>
      </c>
      <c r="H8" s="32" t="str">
        <f t="shared" si="0"/>
        <v>OK</v>
      </c>
      <c r="I8" s="30">
        <v>523.54</v>
      </c>
      <c r="J8" s="33" t="str">
        <f t="shared" si="1"/>
        <v>OK</v>
      </c>
      <c r="K8" s="30">
        <v>289.60000000000002</v>
      </c>
      <c r="L8" t="s">
        <v>71</v>
      </c>
      <c r="M8" s="31" t="str">
        <f t="shared" si="2"/>
        <v>OK</v>
      </c>
    </row>
    <row r="9" spans="1:13">
      <c r="A9" t="s">
        <v>633</v>
      </c>
      <c r="B9" s="1">
        <v>45659</v>
      </c>
      <c r="C9" t="s">
        <v>35</v>
      </c>
      <c r="D9" t="s">
        <v>63</v>
      </c>
      <c r="E9" t="s">
        <v>26</v>
      </c>
      <c r="F9" t="s">
        <v>27</v>
      </c>
      <c r="G9">
        <v>6</v>
      </c>
      <c r="H9" s="32" t="str">
        <f t="shared" si="0"/>
        <v>OK</v>
      </c>
      <c r="I9" s="30">
        <v>2756.14</v>
      </c>
      <c r="J9" s="33" t="str">
        <f t="shared" si="1"/>
        <v>OK</v>
      </c>
      <c r="K9" s="30">
        <v>2095.35</v>
      </c>
      <c r="L9" t="s">
        <v>22</v>
      </c>
      <c r="M9" s="31" t="str">
        <f t="shared" si="2"/>
        <v>OK</v>
      </c>
    </row>
    <row r="10" spans="1:13">
      <c r="A10" t="s">
        <v>769</v>
      </c>
      <c r="B10" s="1">
        <v>45659</v>
      </c>
      <c r="C10" t="s">
        <v>231</v>
      </c>
      <c r="D10" t="s">
        <v>12</v>
      </c>
      <c r="E10" t="s">
        <v>32</v>
      </c>
      <c r="F10" t="s">
        <v>52</v>
      </c>
      <c r="G10">
        <v>4</v>
      </c>
      <c r="H10" s="32" t="str">
        <f t="shared" si="0"/>
        <v>OK</v>
      </c>
      <c r="I10" s="30">
        <v>1794.41</v>
      </c>
      <c r="J10" s="33" t="str">
        <f t="shared" si="1"/>
        <v>OK</v>
      </c>
      <c r="K10" s="30">
        <v>1263.19</v>
      </c>
      <c r="L10" t="s">
        <v>71</v>
      </c>
      <c r="M10" s="31" t="str">
        <f t="shared" si="2"/>
        <v>OK</v>
      </c>
    </row>
    <row r="11" spans="1:13">
      <c r="A11" t="s">
        <v>797</v>
      </c>
      <c r="B11" s="1">
        <v>45659</v>
      </c>
      <c r="C11" t="s">
        <v>54</v>
      </c>
      <c r="D11" t="s">
        <v>19</v>
      </c>
      <c r="E11" t="s">
        <v>82</v>
      </c>
      <c r="F11" t="s">
        <v>83</v>
      </c>
      <c r="G11">
        <v>7</v>
      </c>
      <c r="H11" s="32" t="str">
        <f t="shared" si="0"/>
        <v>OK</v>
      </c>
      <c r="I11" s="30">
        <v>4630.38</v>
      </c>
      <c r="J11" s="33" t="str">
        <f t="shared" si="1"/>
        <v>OK</v>
      </c>
      <c r="K11" s="30">
        <v>3987.75</v>
      </c>
      <c r="L11" t="s">
        <v>16</v>
      </c>
      <c r="M11" s="31" t="str">
        <f t="shared" si="2"/>
        <v>OK</v>
      </c>
    </row>
    <row r="12" spans="1:13">
      <c r="A12" t="s">
        <v>607</v>
      </c>
      <c r="B12" s="1">
        <v>45660</v>
      </c>
      <c r="C12" t="s">
        <v>124</v>
      </c>
      <c r="D12" t="s">
        <v>19</v>
      </c>
      <c r="E12" t="s">
        <v>32</v>
      </c>
      <c r="F12" t="s">
        <v>52</v>
      </c>
      <c r="G12">
        <v>6</v>
      </c>
      <c r="H12" s="32" t="str">
        <f t="shared" si="0"/>
        <v>OK</v>
      </c>
      <c r="I12" s="30">
        <v>766.2</v>
      </c>
      <c r="J12" s="33" t="str">
        <f t="shared" si="1"/>
        <v>OK</v>
      </c>
      <c r="K12" s="30">
        <v>477.42</v>
      </c>
      <c r="L12" t="s">
        <v>28</v>
      </c>
      <c r="M12" s="31" t="str">
        <f t="shared" si="2"/>
        <v>OK</v>
      </c>
    </row>
    <row r="13" spans="1:13">
      <c r="A13" t="s">
        <v>1116</v>
      </c>
      <c r="B13" s="1">
        <v>45660</v>
      </c>
      <c r="C13" t="s">
        <v>70</v>
      </c>
      <c r="D13" t="s">
        <v>19</v>
      </c>
      <c r="E13" t="s">
        <v>82</v>
      </c>
      <c r="F13" t="s">
        <v>155</v>
      </c>
      <c r="G13">
        <v>8</v>
      </c>
      <c r="H13" s="32" t="str">
        <f t="shared" si="0"/>
        <v>OK</v>
      </c>
      <c r="I13" s="30">
        <v>2637.27</v>
      </c>
      <c r="J13" s="33" t="str">
        <f t="shared" si="1"/>
        <v>OK</v>
      </c>
      <c r="K13" s="30">
        <v>1655.97</v>
      </c>
      <c r="L13" t="s">
        <v>38</v>
      </c>
      <c r="M13" s="31" t="str">
        <f t="shared" si="2"/>
        <v>OK</v>
      </c>
    </row>
    <row r="14" spans="1:13">
      <c r="A14" t="s">
        <v>197</v>
      </c>
      <c r="B14" s="1">
        <v>45661</v>
      </c>
      <c r="C14" t="s">
        <v>56</v>
      </c>
      <c r="D14" t="s">
        <v>31</v>
      </c>
      <c r="E14" t="s">
        <v>36</v>
      </c>
      <c r="F14" t="s">
        <v>113</v>
      </c>
      <c r="G14">
        <v>7</v>
      </c>
      <c r="H14" s="32" t="str">
        <f t="shared" si="0"/>
        <v>OK</v>
      </c>
      <c r="I14" s="30">
        <v>12092.74</v>
      </c>
      <c r="J14" s="33" t="str">
        <f t="shared" si="1"/>
        <v>OK</v>
      </c>
      <c r="K14" s="30">
        <v>9395.61</v>
      </c>
      <c r="L14" t="s">
        <v>22</v>
      </c>
      <c r="M14" s="31" t="str">
        <f t="shared" si="2"/>
        <v>OK</v>
      </c>
    </row>
    <row r="15" spans="1:13">
      <c r="A15" t="s">
        <v>374</v>
      </c>
      <c r="B15" s="1">
        <v>45661</v>
      </c>
      <c r="C15" t="s">
        <v>24</v>
      </c>
      <c r="D15" t="s">
        <v>63</v>
      </c>
      <c r="E15" t="s">
        <v>32</v>
      </c>
      <c r="F15" t="s">
        <v>180</v>
      </c>
      <c r="G15">
        <v>7</v>
      </c>
      <c r="H15" s="32" t="str">
        <f t="shared" si="0"/>
        <v>OK</v>
      </c>
      <c r="I15" s="30">
        <v>227.26</v>
      </c>
      <c r="J15" s="33" t="str">
        <f t="shared" si="1"/>
        <v>OK</v>
      </c>
      <c r="K15" s="30">
        <v>164.7</v>
      </c>
      <c r="L15" t="s">
        <v>22</v>
      </c>
      <c r="M15" s="31" t="str">
        <f t="shared" si="2"/>
        <v>OK</v>
      </c>
    </row>
    <row r="16" spans="1:13">
      <c r="A16" t="s">
        <v>384</v>
      </c>
      <c r="B16" s="1">
        <v>45661</v>
      </c>
      <c r="C16" t="s">
        <v>40</v>
      </c>
      <c r="D16" t="s">
        <v>63</v>
      </c>
      <c r="E16" t="s">
        <v>36</v>
      </c>
      <c r="F16" t="s">
        <v>113</v>
      </c>
      <c r="G16">
        <v>2</v>
      </c>
      <c r="H16" s="32" t="str">
        <f t="shared" si="0"/>
        <v>OK</v>
      </c>
      <c r="I16" s="30">
        <v>13826.93</v>
      </c>
      <c r="J16" s="33" t="str">
        <f t="shared" si="1"/>
        <v>OK</v>
      </c>
      <c r="K16" s="30">
        <v>10276.870000000001</v>
      </c>
      <c r="L16" t="s">
        <v>16</v>
      </c>
      <c r="M16" s="31" t="str">
        <f t="shared" si="2"/>
        <v>OK</v>
      </c>
    </row>
    <row r="17" spans="1:13">
      <c r="A17" t="s">
        <v>626</v>
      </c>
      <c r="B17" s="1">
        <v>45661</v>
      </c>
      <c r="C17" t="s">
        <v>135</v>
      </c>
      <c r="D17" t="s">
        <v>12</v>
      </c>
      <c r="E17" t="s">
        <v>32</v>
      </c>
      <c r="F17" t="s">
        <v>1615</v>
      </c>
      <c r="G17">
        <v>1</v>
      </c>
      <c r="H17" s="32" t="str">
        <f t="shared" si="0"/>
        <v>OK</v>
      </c>
      <c r="I17" s="30">
        <v>2150.42</v>
      </c>
      <c r="J17" s="33" t="str">
        <f t="shared" si="1"/>
        <v>OK</v>
      </c>
      <c r="K17" s="30">
        <v>1446.15</v>
      </c>
      <c r="L17" t="s">
        <v>22</v>
      </c>
      <c r="M17" s="31" t="str">
        <f t="shared" si="2"/>
        <v>OK</v>
      </c>
    </row>
    <row r="18" spans="1:13">
      <c r="A18" t="s">
        <v>126</v>
      </c>
      <c r="B18" s="1">
        <v>45662</v>
      </c>
      <c r="C18" t="s">
        <v>56</v>
      </c>
      <c r="D18" t="s">
        <v>12</v>
      </c>
      <c r="E18" t="s">
        <v>32</v>
      </c>
      <c r="F18" t="s">
        <v>52</v>
      </c>
      <c r="G18">
        <v>0</v>
      </c>
      <c r="H18" s="32" t="str">
        <f t="shared" si="0"/>
        <v>Zero Quantity</v>
      </c>
      <c r="I18" s="30">
        <v>1536.48</v>
      </c>
      <c r="J18" s="33" t="str">
        <f t="shared" si="1"/>
        <v>OK</v>
      </c>
      <c r="K18" s="30">
        <v>1195.3</v>
      </c>
      <c r="L18" t="s">
        <v>38</v>
      </c>
      <c r="M18" s="31" t="str">
        <f t="shared" si="2"/>
        <v>OK</v>
      </c>
    </row>
    <row r="19" spans="1:13">
      <c r="A19" t="s">
        <v>368</v>
      </c>
      <c r="B19" s="1">
        <v>45662</v>
      </c>
      <c r="C19" t="s">
        <v>48</v>
      </c>
      <c r="D19" t="s">
        <v>12</v>
      </c>
      <c r="E19" t="s">
        <v>32</v>
      </c>
      <c r="F19" t="s">
        <v>1616</v>
      </c>
      <c r="G19">
        <v>4</v>
      </c>
      <c r="H19" s="32" t="str">
        <f t="shared" si="0"/>
        <v>OK</v>
      </c>
      <c r="I19" s="30">
        <v>407.45</v>
      </c>
      <c r="J19" s="33" t="str">
        <f t="shared" si="1"/>
        <v>OK</v>
      </c>
      <c r="K19" s="30">
        <v>226.08</v>
      </c>
      <c r="L19" t="s">
        <v>71</v>
      </c>
      <c r="M19" s="31" t="str">
        <f t="shared" si="2"/>
        <v>OK</v>
      </c>
    </row>
    <row r="20" spans="1:13">
      <c r="A20" t="s">
        <v>649</v>
      </c>
      <c r="B20" s="1">
        <v>45662</v>
      </c>
      <c r="C20" t="s">
        <v>259</v>
      </c>
      <c r="D20" t="s">
        <v>19</v>
      </c>
      <c r="E20" t="s">
        <v>82</v>
      </c>
      <c r="F20" t="s">
        <v>97</v>
      </c>
      <c r="G20">
        <v>5</v>
      </c>
      <c r="H20" s="32" t="str">
        <f t="shared" si="0"/>
        <v>OK</v>
      </c>
      <c r="I20" s="30">
        <v>2038.5</v>
      </c>
      <c r="J20" s="33" t="str">
        <f t="shared" si="1"/>
        <v>OK</v>
      </c>
      <c r="K20" s="30">
        <v>1183.74</v>
      </c>
      <c r="L20" t="s">
        <v>22</v>
      </c>
      <c r="M20" s="31" t="str">
        <f t="shared" si="2"/>
        <v>OK</v>
      </c>
    </row>
    <row r="21" spans="1:13">
      <c r="A21" t="s">
        <v>698</v>
      </c>
      <c r="B21" s="1">
        <v>45662</v>
      </c>
      <c r="C21" t="s">
        <v>108</v>
      </c>
      <c r="D21" t="s">
        <v>12</v>
      </c>
      <c r="E21" t="s">
        <v>82</v>
      </c>
      <c r="F21" t="s">
        <v>137</v>
      </c>
      <c r="G21">
        <v>5</v>
      </c>
      <c r="H21" s="32" t="str">
        <f t="shared" si="0"/>
        <v>OK</v>
      </c>
      <c r="I21" s="30">
        <v>2260.1799999999998</v>
      </c>
      <c r="J21" s="33" t="str">
        <f t="shared" si="1"/>
        <v>OK</v>
      </c>
      <c r="K21" s="30">
        <v>1501.64</v>
      </c>
      <c r="L21" t="s">
        <v>28</v>
      </c>
      <c r="M21" s="31" t="str">
        <f t="shared" si="2"/>
        <v>OK</v>
      </c>
    </row>
    <row r="22" spans="1:13">
      <c r="A22" t="s">
        <v>857</v>
      </c>
      <c r="B22" s="1">
        <v>45662</v>
      </c>
      <c r="C22" t="s">
        <v>124</v>
      </c>
      <c r="D22" t="s">
        <v>63</v>
      </c>
      <c r="E22" t="s">
        <v>20</v>
      </c>
      <c r="F22" t="s">
        <v>91</v>
      </c>
      <c r="G22">
        <v>2</v>
      </c>
      <c r="H22" s="32" t="str">
        <f t="shared" si="0"/>
        <v>OK</v>
      </c>
      <c r="I22" s="30">
        <v>3044.81</v>
      </c>
      <c r="J22" s="33" t="str">
        <f t="shared" si="1"/>
        <v>OK</v>
      </c>
      <c r="K22" s="30">
        <v>2615.38</v>
      </c>
      <c r="L22" t="s">
        <v>28</v>
      </c>
      <c r="M22" s="31" t="str">
        <f t="shared" si="2"/>
        <v>OK</v>
      </c>
    </row>
    <row r="23" spans="1:13">
      <c r="A23" t="s">
        <v>913</v>
      </c>
      <c r="B23" s="1">
        <v>45662</v>
      </c>
      <c r="C23" t="s">
        <v>175</v>
      </c>
      <c r="D23" t="s">
        <v>63</v>
      </c>
      <c r="E23" t="s">
        <v>32</v>
      </c>
      <c r="F23" t="s">
        <v>101</v>
      </c>
      <c r="G23">
        <v>7</v>
      </c>
      <c r="H23" s="32" t="str">
        <f t="shared" si="0"/>
        <v>OK</v>
      </c>
      <c r="I23" s="30">
        <v>2035.32</v>
      </c>
      <c r="J23" s="33" t="str">
        <f t="shared" si="1"/>
        <v>OK</v>
      </c>
      <c r="K23" s="30">
        <v>1520.41</v>
      </c>
      <c r="L23" t="s">
        <v>16</v>
      </c>
      <c r="M23" s="31" t="str">
        <f t="shared" si="2"/>
        <v>OK</v>
      </c>
    </row>
    <row r="24" spans="1:13">
      <c r="A24" t="s">
        <v>934</v>
      </c>
      <c r="B24" s="1">
        <v>45662</v>
      </c>
      <c r="C24" t="s">
        <v>108</v>
      </c>
      <c r="D24" t="s">
        <v>19</v>
      </c>
      <c r="E24" t="s">
        <v>26</v>
      </c>
      <c r="F24" t="s">
        <v>350</v>
      </c>
      <c r="G24">
        <v>5</v>
      </c>
      <c r="H24" s="32" t="str">
        <f t="shared" si="0"/>
        <v>OK</v>
      </c>
      <c r="I24" s="30">
        <v>3175.68</v>
      </c>
      <c r="J24" s="33" t="str">
        <f t="shared" si="1"/>
        <v>OK</v>
      </c>
      <c r="K24" s="30">
        <v>2386.31</v>
      </c>
      <c r="L24" t="s">
        <v>71</v>
      </c>
      <c r="M24" s="31" t="str">
        <f t="shared" si="2"/>
        <v>OK</v>
      </c>
    </row>
    <row r="25" spans="1:13">
      <c r="A25" t="s">
        <v>114</v>
      </c>
      <c r="B25" s="1">
        <v>45663</v>
      </c>
      <c r="C25" t="s">
        <v>115</v>
      </c>
      <c r="D25" t="s">
        <v>12</v>
      </c>
      <c r="E25" t="s">
        <v>20</v>
      </c>
      <c r="F25" t="s">
        <v>91</v>
      </c>
      <c r="G25">
        <v>3</v>
      </c>
      <c r="H25" s="32" t="str">
        <f t="shared" si="0"/>
        <v>OK</v>
      </c>
      <c r="I25" s="30">
        <v>3230.27</v>
      </c>
      <c r="J25" s="33" t="str">
        <f t="shared" si="1"/>
        <v>OK</v>
      </c>
      <c r="K25" s="30">
        <v>2146.23</v>
      </c>
      <c r="L25" t="s">
        <v>38</v>
      </c>
      <c r="M25" s="31" t="str">
        <f t="shared" si="2"/>
        <v>OK</v>
      </c>
    </row>
    <row r="26" spans="1:13">
      <c r="A26" t="s">
        <v>733</v>
      </c>
      <c r="B26" s="1">
        <v>45663</v>
      </c>
      <c r="C26" t="s">
        <v>48</v>
      </c>
      <c r="D26" t="s">
        <v>31</v>
      </c>
      <c r="E26" t="s">
        <v>82</v>
      </c>
      <c r="F26" t="s">
        <v>150</v>
      </c>
      <c r="G26">
        <v>3</v>
      </c>
      <c r="H26" s="32" t="str">
        <f t="shared" si="0"/>
        <v>OK</v>
      </c>
      <c r="I26" s="30">
        <v>3736.75</v>
      </c>
      <c r="J26" s="33" t="str">
        <f t="shared" si="1"/>
        <v>OK</v>
      </c>
      <c r="K26" s="30">
        <v>2633.91</v>
      </c>
      <c r="L26" t="s">
        <v>28</v>
      </c>
      <c r="M26" s="31" t="str">
        <f t="shared" si="2"/>
        <v>OK</v>
      </c>
    </row>
    <row r="27" spans="1:13">
      <c r="A27" t="s">
        <v>1077</v>
      </c>
      <c r="B27" s="1">
        <v>45663</v>
      </c>
      <c r="C27" t="s">
        <v>117</v>
      </c>
      <c r="D27" t="s">
        <v>57</v>
      </c>
      <c r="E27" t="s">
        <v>32</v>
      </c>
      <c r="F27" t="s">
        <v>33</v>
      </c>
      <c r="G27">
        <v>4</v>
      </c>
      <c r="H27" s="32" t="str">
        <f t="shared" si="0"/>
        <v>OK</v>
      </c>
      <c r="I27" s="30">
        <v>2156.31</v>
      </c>
      <c r="J27" s="33" t="str">
        <f t="shared" si="1"/>
        <v>OK</v>
      </c>
      <c r="K27" s="30">
        <v>1848.28</v>
      </c>
      <c r="L27" t="s">
        <v>38</v>
      </c>
      <c r="M27" s="31" t="str">
        <f t="shared" si="2"/>
        <v>OK</v>
      </c>
    </row>
    <row r="28" spans="1:13">
      <c r="A28" t="s">
        <v>1157</v>
      </c>
      <c r="B28" s="1">
        <v>45663</v>
      </c>
      <c r="C28" t="s">
        <v>220</v>
      </c>
      <c r="D28" t="s">
        <v>57</v>
      </c>
      <c r="E28" t="s">
        <v>82</v>
      </c>
      <c r="F28" t="s">
        <v>109</v>
      </c>
      <c r="G28">
        <v>7</v>
      </c>
      <c r="H28" s="32" t="str">
        <f t="shared" si="0"/>
        <v>OK</v>
      </c>
      <c r="I28" s="30">
        <v>5895.69</v>
      </c>
      <c r="J28" s="33" t="str">
        <f t="shared" si="1"/>
        <v>OK</v>
      </c>
      <c r="K28" s="30">
        <v>4565.43</v>
      </c>
      <c r="L28" t="s">
        <v>28</v>
      </c>
      <c r="M28" s="31" t="str">
        <f t="shared" si="2"/>
        <v>OK</v>
      </c>
    </row>
    <row r="29" spans="1:13">
      <c r="A29" t="s">
        <v>1406</v>
      </c>
      <c r="B29" s="1">
        <v>45663</v>
      </c>
      <c r="C29" t="s">
        <v>11</v>
      </c>
      <c r="D29" t="s">
        <v>12</v>
      </c>
      <c r="E29" t="s">
        <v>32</v>
      </c>
      <c r="F29" t="s">
        <v>101</v>
      </c>
      <c r="G29">
        <v>2</v>
      </c>
      <c r="H29" s="32" t="str">
        <f t="shared" si="0"/>
        <v>OK</v>
      </c>
      <c r="I29" s="30">
        <v>468.24</v>
      </c>
      <c r="J29" s="33" t="str">
        <f t="shared" si="1"/>
        <v>OK</v>
      </c>
      <c r="K29" s="30">
        <v>276.39</v>
      </c>
      <c r="L29" t="s">
        <v>38</v>
      </c>
      <c r="M29" s="31" t="str">
        <f t="shared" si="2"/>
        <v>OK</v>
      </c>
    </row>
    <row r="30" spans="1:13">
      <c r="A30" t="s">
        <v>314</v>
      </c>
      <c r="B30" s="1">
        <v>45664</v>
      </c>
      <c r="C30" t="s">
        <v>1617</v>
      </c>
      <c r="D30" t="s">
        <v>12</v>
      </c>
      <c r="E30" t="s">
        <v>20</v>
      </c>
      <c r="F30" t="s">
        <v>191</v>
      </c>
      <c r="G30">
        <v>1</v>
      </c>
      <c r="H30" s="32" t="str">
        <f t="shared" si="0"/>
        <v>OK</v>
      </c>
      <c r="I30" s="30">
        <v>1057.3599999999999</v>
      </c>
      <c r="J30" s="33" t="str">
        <f t="shared" si="1"/>
        <v>OK</v>
      </c>
      <c r="K30" s="30">
        <v>753.24</v>
      </c>
      <c r="L30" t="s">
        <v>16</v>
      </c>
      <c r="M30" s="31" t="str">
        <f t="shared" si="2"/>
        <v>OK</v>
      </c>
    </row>
    <row r="31" spans="1:13">
      <c r="A31" t="s">
        <v>908</v>
      </c>
      <c r="B31" s="1">
        <v>45664</v>
      </c>
      <c r="C31" t="s">
        <v>40</v>
      </c>
      <c r="D31" t="s">
        <v>12</v>
      </c>
      <c r="E31" t="s">
        <v>32</v>
      </c>
      <c r="F31" t="s">
        <v>180</v>
      </c>
      <c r="G31">
        <v>3</v>
      </c>
      <c r="H31" s="32" t="str">
        <f t="shared" si="0"/>
        <v>OK</v>
      </c>
      <c r="I31" s="30">
        <v>1708.34</v>
      </c>
      <c r="J31" s="33" t="str">
        <f t="shared" si="1"/>
        <v>OK</v>
      </c>
      <c r="K31" s="30">
        <v>1199</v>
      </c>
      <c r="L31" t="s">
        <v>28</v>
      </c>
      <c r="M31" s="31" t="str">
        <f t="shared" si="2"/>
        <v>OK</v>
      </c>
    </row>
    <row r="32" spans="1:13">
      <c r="A32" t="s">
        <v>1300</v>
      </c>
      <c r="B32" s="1">
        <v>45664</v>
      </c>
      <c r="C32" t="s">
        <v>48</v>
      </c>
      <c r="D32" t="s">
        <v>57</v>
      </c>
      <c r="E32" t="s">
        <v>26</v>
      </c>
      <c r="F32" t="s">
        <v>79</v>
      </c>
      <c r="G32">
        <v>4</v>
      </c>
      <c r="H32" s="32" t="str">
        <f t="shared" si="0"/>
        <v>OK</v>
      </c>
      <c r="I32" s="30">
        <v>419.13</v>
      </c>
      <c r="J32" s="33" t="str">
        <f t="shared" si="1"/>
        <v>OK</v>
      </c>
      <c r="K32" s="30">
        <v>345.3</v>
      </c>
      <c r="L32" t="s">
        <v>28</v>
      </c>
      <c r="M32" s="31" t="str">
        <f t="shared" si="2"/>
        <v>OK</v>
      </c>
    </row>
    <row r="33" spans="1:13">
      <c r="A33" t="s">
        <v>1425</v>
      </c>
      <c r="B33" s="1">
        <v>45664</v>
      </c>
      <c r="C33" t="s">
        <v>115</v>
      </c>
      <c r="D33" t="s">
        <v>12</v>
      </c>
      <c r="E33" t="s">
        <v>82</v>
      </c>
      <c r="F33" t="s">
        <v>109</v>
      </c>
      <c r="G33">
        <v>2</v>
      </c>
      <c r="H33" s="32" t="str">
        <f t="shared" si="0"/>
        <v>OK</v>
      </c>
      <c r="I33" s="30">
        <v>2893.98</v>
      </c>
      <c r="J33" s="33" t="str">
        <f t="shared" si="1"/>
        <v>OK</v>
      </c>
      <c r="K33" s="30">
        <v>1611.47</v>
      </c>
      <c r="L33" t="s">
        <v>16</v>
      </c>
      <c r="M33" s="31" t="str">
        <f t="shared" si="2"/>
        <v>OK</v>
      </c>
    </row>
    <row r="34" spans="1:13">
      <c r="A34" t="s">
        <v>47</v>
      </c>
      <c r="B34" s="1">
        <v>45665</v>
      </c>
      <c r="C34" t="s">
        <v>48</v>
      </c>
      <c r="D34" t="s">
        <v>57</v>
      </c>
      <c r="E34" t="s">
        <v>26</v>
      </c>
      <c r="F34" t="s">
        <v>27</v>
      </c>
      <c r="G34">
        <v>2</v>
      </c>
      <c r="H34" s="32" t="str">
        <f t="shared" si="0"/>
        <v>OK</v>
      </c>
      <c r="I34" s="30">
        <v>921.38</v>
      </c>
      <c r="J34" s="33" t="str">
        <f t="shared" si="1"/>
        <v>OK</v>
      </c>
      <c r="K34" s="30">
        <v>613.28</v>
      </c>
      <c r="L34" t="s">
        <v>22</v>
      </c>
      <c r="M34" s="31" t="str">
        <f t="shared" si="2"/>
        <v>OK</v>
      </c>
    </row>
    <row r="35" spans="1:13">
      <c r="A35" t="s">
        <v>237</v>
      </c>
      <c r="B35" s="1">
        <v>45665</v>
      </c>
      <c r="C35" t="s">
        <v>30</v>
      </c>
      <c r="D35" t="s">
        <v>19</v>
      </c>
      <c r="E35" t="s">
        <v>20</v>
      </c>
      <c r="F35" t="s">
        <v>21</v>
      </c>
      <c r="G35">
        <v>3</v>
      </c>
      <c r="H35" s="32" t="str">
        <f t="shared" si="0"/>
        <v>OK</v>
      </c>
      <c r="I35" s="30">
        <v>2008.71</v>
      </c>
      <c r="J35" s="33" t="str">
        <f t="shared" si="1"/>
        <v>OK</v>
      </c>
      <c r="K35" s="30">
        <v>1750.63</v>
      </c>
      <c r="L35" t="s">
        <v>38</v>
      </c>
      <c r="M35" s="31" t="str">
        <f t="shared" si="2"/>
        <v>OK</v>
      </c>
    </row>
    <row r="36" spans="1:13">
      <c r="A36" t="s">
        <v>308</v>
      </c>
      <c r="B36" s="1">
        <v>45665</v>
      </c>
      <c r="C36" t="s">
        <v>115</v>
      </c>
      <c r="D36" t="s">
        <v>12</v>
      </c>
      <c r="E36" t="s">
        <v>36</v>
      </c>
      <c r="F36" t="s">
        <v>46</v>
      </c>
      <c r="G36">
        <v>6</v>
      </c>
      <c r="H36" s="32" t="str">
        <f t="shared" si="0"/>
        <v>OK</v>
      </c>
      <c r="I36" s="30">
        <v>14408.74</v>
      </c>
      <c r="J36" s="33" t="str">
        <f t="shared" si="1"/>
        <v>OK</v>
      </c>
      <c r="K36" s="30">
        <v>9056.14</v>
      </c>
      <c r="L36" t="s">
        <v>22</v>
      </c>
      <c r="M36" s="31" t="str">
        <f t="shared" si="2"/>
        <v>OK</v>
      </c>
    </row>
    <row r="37" spans="1:13">
      <c r="A37" t="s">
        <v>664</v>
      </c>
      <c r="B37" s="1">
        <v>45665</v>
      </c>
      <c r="C37" t="s">
        <v>54</v>
      </c>
      <c r="D37" t="s">
        <v>19</v>
      </c>
      <c r="E37" t="s">
        <v>26</v>
      </c>
      <c r="F37" t="s">
        <v>350</v>
      </c>
      <c r="G37">
        <v>2</v>
      </c>
      <c r="H37" s="32" t="str">
        <f t="shared" si="0"/>
        <v>OK</v>
      </c>
      <c r="I37" s="30">
        <v>2212.42</v>
      </c>
      <c r="J37" s="33" t="str">
        <f t="shared" si="1"/>
        <v>OK</v>
      </c>
      <c r="K37" s="30">
        <v>1881.32</v>
      </c>
      <c r="L37" t="s">
        <v>71</v>
      </c>
      <c r="M37" s="31" t="str">
        <f t="shared" si="2"/>
        <v>OK</v>
      </c>
    </row>
    <row r="38" spans="1:13">
      <c r="A38" t="s">
        <v>669</v>
      </c>
      <c r="B38" s="1">
        <v>45665</v>
      </c>
      <c r="C38" t="s">
        <v>133</v>
      </c>
      <c r="D38" t="s">
        <v>31</v>
      </c>
      <c r="E38" t="s">
        <v>20</v>
      </c>
      <c r="F38" t="s">
        <v>196</v>
      </c>
      <c r="G38">
        <v>2</v>
      </c>
      <c r="H38" s="32" t="str">
        <f t="shared" si="0"/>
        <v>OK</v>
      </c>
      <c r="I38" s="30">
        <v>5555.48</v>
      </c>
      <c r="J38" s="33" t="str">
        <f t="shared" si="1"/>
        <v>OK</v>
      </c>
      <c r="K38" s="30">
        <v>4063.09</v>
      </c>
      <c r="L38" t="s">
        <v>38</v>
      </c>
      <c r="M38" s="31" t="str">
        <f t="shared" si="2"/>
        <v>OK</v>
      </c>
    </row>
    <row r="39" spans="1:13">
      <c r="A39" t="s">
        <v>1369</v>
      </c>
      <c r="B39" s="1">
        <v>45665</v>
      </c>
      <c r="C39" t="s">
        <v>56</v>
      </c>
      <c r="D39" t="s">
        <v>63</v>
      </c>
      <c r="E39" t="s">
        <v>32</v>
      </c>
      <c r="F39" t="s">
        <v>101</v>
      </c>
      <c r="G39">
        <v>7</v>
      </c>
      <c r="H39" s="32" t="str">
        <f t="shared" si="0"/>
        <v>OK</v>
      </c>
      <c r="I39" s="30">
        <v>1893.21</v>
      </c>
      <c r="J39" s="33" t="str">
        <f t="shared" si="1"/>
        <v>OK</v>
      </c>
      <c r="K39" s="30">
        <v>1195.3599999999999</v>
      </c>
      <c r="L39" t="s">
        <v>22</v>
      </c>
      <c r="M39" s="31" t="str">
        <f t="shared" si="2"/>
        <v>OK</v>
      </c>
    </row>
    <row r="40" spans="1:13">
      <c r="A40" t="s">
        <v>500</v>
      </c>
      <c r="B40" s="1">
        <v>45667</v>
      </c>
      <c r="C40" t="s">
        <v>129</v>
      </c>
      <c r="D40" t="s">
        <v>63</v>
      </c>
      <c r="E40" t="s">
        <v>82</v>
      </c>
      <c r="F40" t="s">
        <v>109</v>
      </c>
      <c r="G40">
        <v>3</v>
      </c>
      <c r="H40" s="32" t="str">
        <f t="shared" si="0"/>
        <v>OK</v>
      </c>
      <c r="I40" s="30">
        <v>4207.17</v>
      </c>
      <c r="J40" s="33" t="str">
        <f t="shared" si="1"/>
        <v>OK</v>
      </c>
      <c r="K40" s="30">
        <v>2609.6</v>
      </c>
      <c r="L40" t="s">
        <v>28</v>
      </c>
      <c r="M40" s="31" t="str">
        <f t="shared" si="2"/>
        <v>OK</v>
      </c>
    </row>
    <row r="41" spans="1:13">
      <c r="A41" t="s">
        <v>1103</v>
      </c>
      <c r="B41" s="1">
        <v>45667</v>
      </c>
      <c r="C41" t="s">
        <v>70</v>
      </c>
      <c r="D41" t="s">
        <v>31</v>
      </c>
      <c r="E41" t="s">
        <v>36</v>
      </c>
      <c r="F41" t="s">
        <v>37</v>
      </c>
      <c r="G41">
        <v>5</v>
      </c>
      <c r="H41" s="32" t="str">
        <f t="shared" si="0"/>
        <v>OK</v>
      </c>
      <c r="I41" s="30">
        <v>4587.7</v>
      </c>
      <c r="J41" s="33" t="str">
        <f t="shared" si="1"/>
        <v>OK</v>
      </c>
      <c r="K41" s="30">
        <v>2749.6</v>
      </c>
      <c r="L41" t="s">
        <v>38</v>
      </c>
      <c r="M41" s="31" t="str">
        <f t="shared" si="2"/>
        <v>OK</v>
      </c>
    </row>
    <row r="42" spans="1:13">
      <c r="A42" t="s">
        <v>1312</v>
      </c>
      <c r="B42" s="1">
        <v>45667</v>
      </c>
      <c r="C42" t="s">
        <v>133</v>
      </c>
      <c r="D42" t="s">
        <v>31</v>
      </c>
      <c r="E42" t="s">
        <v>82</v>
      </c>
      <c r="F42" t="s">
        <v>155</v>
      </c>
      <c r="G42">
        <v>5</v>
      </c>
      <c r="H42" s="32" t="str">
        <f t="shared" si="0"/>
        <v>OK</v>
      </c>
      <c r="I42" s="30">
        <v>6651.88</v>
      </c>
      <c r="J42" s="33" t="str">
        <f t="shared" si="1"/>
        <v>OK</v>
      </c>
      <c r="K42" s="30">
        <v>4133.9799999999996</v>
      </c>
      <c r="L42" t="s">
        <v>38</v>
      </c>
      <c r="M42" s="31" t="str">
        <f t="shared" si="2"/>
        <v>OK</v>
      </c>
    </row>
    <row r="43" spans="1:13">
      <c r="A43" t="s">
        <v>1541</v>
      </c>
      <c r="B43" s="1">
        <v>45667</v>
      </c>
      <c r="C43" t="s">
        <v>135</v>
      </c>
      <c r="D43" t="s">
        <v>19</v>
      </c>
      <c r="E43" t="s">
        <v>26</v>
      </c>
      <c r="F43" t="s">
        <v>27</v>
      </c>
      <c r="G43">
        <v>5</v>
      </c>
      <c r="H43" s="32" t="str">
        <f t="shared" si="0"/>
        <v>OK</v>
      </c>
      <c r="I43" s="30">
        <v>3069.08</v>
      </c>
      <c r="J43" s="33" t="str">
        <f t="shared" si="1"/>
        <v>OK</v>
      </c>
      <c r="K43" s="30">
        <v>2345.7199999999998</v>
      </c>
      <c r="L43" t="s">
        <v>71</v>
      </c>
      <c r="M43" s="31" t="str">
        <f t="shared" si="2"/>
        <v>OK</v>
      </c>
    </row>
    <row r="44" spans="1:13">
      <c r="A44" t="s">
        <v>1564</v>
      </c>
      <c r="B44" s="1">
        <v>45667</v>
      </c>
      <c r="C44" t="s">
        <v>259</v>
      </c>
      <c r="D44" t="s">
        <v>12</v>
      </c>
      <c r="E44" t="s">
        <v>36</v>
      </c>
      <c r="F44" t="s">
        <v>37</v>
      </c>
      <c r="G44">
        <v>8</v>
      </c>
      <c r="H44" s="32" t="str">
        <f t="shared" si="0"/>
        <v>OK</v>
      </c>
      <c r="I44" s="30">
        <v>13850.41</v>
      </c>
      <c r="J44" s="33" t="str">
        <f t="shared" si="1"/>
        <v>OK</v>
      </c>
      <c r="K44" s="30">
        <v>7812.05</v>
      </c>
      <c r="L44" t="s">
        <v>16</v>
      </c>
      <c r="M44" s="31" t="str">
        <f t="shared" si="2"/>
        <v>OK</v>
      </c>
    </row>
    <row r="45" spans="1:13">
      <c r="A45" t="s">
        <v>599</v>
      </c>
      <c r="B45" s="1">
        <v>45668</v>
      </c>
      <c r="C45" t="s">
        <v>56</v>
      </c>
      <c r="D45" t="s">
        <v>31</v>
      </c>
      <c r="E45" t="s">
        <v>32</v>
      </c>
      <c r="F45" t="s">
        <v>101</v>
      </c>
      <c r="G45">
        <v>8</v>
      </c>
      <c r="H45" s="32" t="str">
        <f t="shared" si="0"/>
        <v>OK</v>
      </c>
      <c r="I45" s="30">
        <v>1552.38</v>
      </c>
      <c r="J45" s="33" t="str">
        <f t="shared" si="1"/>
        <v>OK</v>
      </c>
      <c r="K45" s="30">
        <v>1358.8</v>
      </c>
      <c r="L45" t="s">
        <v>28</v>
      </c>
      <c r="M45" s="31" t="str">
        <f t="shared" si="2"/>
        <v>OK</v>
      </c>
    </row>
    <row r="46" spans="1:13">
      <c r="A46" t="s">
        <v>715</v>
      </c>
      <c r="B46" s="1">
        <v>45668</v>
      </c>
      <c r="C46" t="s">
        <v>56</v>
      </c>
      <c r="D46" t="s">
        <v>12</v>
      </c>
      <c r="E46" t="s">
        <v>36</v>
      </c>
      <c r="F46" t="s">
        <v>46</v>
      </c>
      <c r="G46">
        <v>2</v>
      </c>
      <c r="H46" s="32" t="str">
        <f t="shared" si="0"/>
        <v>OK</v>
      </c>
      <c r="I46" s="30">
        <v>6181.31</v>
      </c>
      <c r="J46" s="33" t="str">
        <f t="shared" si="1"/>
        <v>OK</v>
      </c>
      <c r="K46" s="30">
        <v>4904.9399999999996</v>
      </c>
      <c r="L46" t="s">
        <v>71</v>
      </c>
      <c r="M46" s="31" t="str">
        <f t="shared" si="2"/>
        <v>OK</v>
      </c>
    </row>
    <row r="47" spans="1:13">
      <c r="A47" t="s">
        <v>1528</v>
      </c>
      <c r="B47" s="1">
        <v>45668</v>
      </c>
      <c r="C47" t="s">
        <v>11</v>
      </c>
      <c r="D47" t="s">
        <v>12</v>
      </c>
      <c r="E47" t="s">
        <v>32</v>
      </c>
      <c r="F47" t="s">
        <v>1615</v>
      </c>
      <c r="G47">
        <v>1</v>
      </c>
      <c r="H47" s="32" t="str">
        <f t="shared" si="0"/>
        <v>OK</v>
      </c>
      <c r="I47" s="30">
        <v>1290.42</v>
      </c>
      <c r="J47" s="33" t="str">
        <f t="shared" si="1"/>
        <v>OK</v>
      </c>
      <c r="K47" s="30">
        <v>766.08</v>
      </c>
      <c r="L47" t="s">
        <v>71</v>
      </c>
      <c r="M47" s="31" t="str">
        <f t="shared" si="2"/>
        <v>OK</v>
      </c>
    </row>
    <row r="48" spans="1:13">
      <c r="A48" t="s">
        <v>993</v>
      </c>
      <c r="B48" s="1">
        <v>45669</v>
      </c>
      <c r="C48" t="s">
        <v>70</v>
      </c>
      <c r="D48" t="s">
        <v>63</v>
      </c>
      <c r="E48" t="s">
        <v>26</v>
      </c>
      <c r="F48" t="s">
        <v>106</v>
      </c>
      <c r="G48">
        <v>2</v>
      </c>
      <c r="H48" s="32" t="str">
        <f t="shared" si="0"/>
        <v>OK</v>
      </c>
      <c r="I48" s="30">
        <v>3322.01</v>
      </c>
      <c r="J48" s="33" t="str">
        <f t="shared" si="1"/>
        <v>OK</v>
      </c>
      <c r="K48" s="30">
        <v>2381.21</v>
      </c>
      <c r="L48" t="s">
        <v>71</v>
      </c>
      <c r="M48" s="31" t="str">
        <f t="shared" si="2"/>
        <v>OK</v>
      </c>
    </row>
    <row r="49" spans="1:13">
      <c r="A49" t="s">
        <v>1235</v>
      </c>
      <c r="B49" s="1">
        <v>45669</v>
      </c>
      <c r="C49" t="s">
        <v>56</v>
      </c>
      <c r="D49" t="s">
        <v>31</v>
      </c>
      <c r="E49" t="s">
        <v>26</v>
      </c>
      <c r="F49" t="s">
        <v>27</v>
      </c>
      <c r="G49">
        <v>2</v>
      </c>
      <c r="H49" s="32" t="str">
        <f t="shared" si="0"/>
        <v>OK</v>
      </c>
      <c r="I49" s="30">
        <v>892.69</v>
      </c>
      <c r="J49" s="33" t="str">
        <f t="shared" si="1"/>
        <v>OK</v>
      </c>
      <c r="K49" s="30">
        <v>681.28</v>
      </c>
      <c r="L49" t="s">
        <v>71</v>
      </c>
      <c r="M49" s="31" t="str">
        <f t="shared" si="2"/>
        <v>OK</v>
      </c>
    </row>
    <row r="50" spans="1:13">
      <c r="A50" t="s">
        <v>1401</v>
      </c>
      <c r="B50" s="1">
        <v>45669</v>
      </c>
      <c r="C50" t="s">
        <v>119</v>
      </c>
      <c r="D50" t="s">
        <v>31</v>
      </c>
      <c r="E50" t="s">
        <v>20</v>
      </c>
      <c r="F50" t="s">
        <v>14</v>
      </c>
      <c r="G50">
        <v>4</v>
      </c>
      <c r="H50" s="32" t="str">
        <f t="shared" si="0"/>
        <v>OK</v>
      </c>
      <c r="I50" s="30">
        <v>5487.65</v>
      </c>
      <c r="J50" s="33" t="str">
        <f t="shared" si="1"/>
        <v>OK</v>
      </c>
      <c r="K50" s="30">
        <v>4782.28</v>
      </c>
      <c r="L50" t="s">
        <v>71</v>
      </c>
      <c r="M50" s="31" t="str">
        <f t="shared" si="2"/>
        <v>OK</v>
      </c>
    </row>
    <row r="51" spans="1:13">
      <c r="A51" t="s">
        <v>617</v>
      </c>
      <c r="B51" s="1">
        <v>45670</v>
      </c>
      <c r="C51" t="s">
        <v>35</v>
      </c>
      <c r="D51" t="s">
        <v>12</v>
      </c>
      <c r="E51" t="s">
        <v>20</v>
      </c>
      <c r="F51" t="s">
        <v>91</v>
      </c>
      <c r="G51">
        <v>5</v>
      </c>
      <c r="H51" s="32" t="str">
        <f t="shared" si="0"/>
        <v>OK</v>
      </c>
      <c r="I51" s="30">
        <v>3585.74</v>
      </c>
      <c r="J51" s="33" t="str">
        <f t="shared" si="1"/>
        <v>OK</v>
      </c>
      <c r="K51" s="30">
        <v>2118.63</v>
      </c>
      <c r="L51" t="s">
        <v>38</v>
      </c>
      <c r="M51" s="31" t="str">
        <f t="shared" si="2"/>
        <v>OK</v>
      </c>
    </row>
    <row r="52" spans="1:13">
      <c r="A52" t="s">
        <v>887</v>
      </c>
      <c r="B52" s="1">
        <v>45670</v>
      </c>
      <c r="C52" t="s">
        <v>175</v>
      </c>
      <c r="D52" t="s">
        <v>31</v>
      </c>
      <c r="E52" t="s">
        <v>20</v>
      </c>
      <c r="F52" t="s">
        <v>21</v>
      </c>
      <c r="G52">
        <v>8</v>
      </c>
      <c r="H52" s="32" t="str">
        <f t="shared" si="0"/>
        <v>OK</v>
      </c>
      <c r="I52" s="30">
        <v>1075.02</v>
      </c>
      <c r="J52" s="33" t="str">
        <f t="shared" si="1"/>
        <v>OK</v>
      </c>
      <c r="K52" s="30">
        <v>738.83</v>
      </c>
      <c r="L52" t="s">
        <v>16</v>
      </c>
      <c r="M52" s="31" t="str">
        <f t="shared" si="2"/>
        <v>OK</v>
      </c>
    </row>
    <row r="53" spans="1:13">
      <c r="A53" t="s">
        <v>949</v>
      </c>
      <c r="B53" s="1">
        <v>45670</v>
      </c>
      <c r="C53" t="s">
        <v>18</v>
      </c>
      <c r="D53" t="s">
        <v>19</v>
      </c>
      <c r="E53" t="s">
        <v>36</v>
      </c>
      <c r="F53" t="s">
        <v>113</v>
      </c>
      <c r="G53">
        <v>4</v>
      </c>
      <c r="H53" s="32" t="str">
        <f t="shared" si="0"/>
        <v>OK</v>
      </c>
      <c r="I53" s="30">
        <v>17625.43</v>
      </c>
      <c r="J53" s="33" t="str">
        <f t="shared" si="1"/>
        <v>OK</v>
      </c>
      <c r="K53" s="30">
        <v>12159.09</v>
      </c>
      <c r="L53" t="s">
        <v>16</v>
      </c>
      <c r="M53" s="31" t="str">
        <f t="shared" si="2"/>
        <v>OK</v>
      </c>
    </row>
    <row r="54" spans="1:13">
      <c r="A54" t="s">
        <v>985</v>
      </c>
      <c r="B54" s="1">
        <v>45670</v>
      </c>
      <c r="C54" t="s">
        <v>74</v>
      </c>
      <c r="D54" t="s">
        <v>63</v>
      </c>
      <c r="E54" t="s">
        <v>20</v>
      </c>
      <c r="F54" t="s">
        <v>191</v>
      </c>
      <c r="G54">
        <v>6</v>
      </c>
      <c r="H54" s="32" t="str">
        <f t="shared" si="0"/>
        <v>OK</v>
      </c>
      <c r="I54" s="30">
        <v>2601.06</v>
      </c>
      <c r="J54" s="33" t="str">
        <f t="shared" si="1"/>
        <v>OK</v>
      </c>
      <c r="K54" s="30">
        <v>1508.71</v>
      </c>
      <c r="L54" t="s">
        <v>16</v>
      </c>
      <c r="M54" s="31" t="str">
        <f t="shared" si="2"/>
        <v>OK</v>
      </c>
    </row>
    <row r="55" spans="1:13">
      <c r="A55" t="s">
        <v>1585</v>
      </c>
      <c r="B55" s="1">
        <v>45670</v>
      </c>
      <c r="C55" t="s">
        <v>124</v>
      </c>
      <c r="D55" t="s">
        <v>19</v>
      </c>
      <c r="E55" t="s">
        <v>20</v>
      </c>
      <c r="F55" t="s">
        <v>86</v>
      </c>
      <c r="G55">
        <v>4</v>
      </c>
      <c r="H55" s="32" t="str">
        <f t="shared" si="0"/>
        <v>OK</v>
      </c>
      <c r="I55" s="30">
        <v>2691.56</v>
      </c>
      <c r="J55" s="33" t="str">
        <f t="shared" si="1"/>
        <v>OK</v>
      </c>
      <c r="K55" s="30">
        <v>1727.82</v>
      </c>
      <c r="L55" t="s">
        <v>16</v>
      </c>
      <c r="M55" s="31" t="str">
        <f t="shared" si="2"/>
        <v>OK</v>
      </c>
    </row>
    <row r="56" spans="1:13">
      <c r="A56" t="s">
        <v>608</v>
      </c>
      <c r="B56" s="1">
        <v>45671</v>
      </c>
      <c r="C56" t="s">
        <v>105</v>
      </c>
      <c r="D56" t="s">
        <v>19</v>
      </c>
      <c r="E56" t="s">
        <v>82</v>
      </c>
      <c r="F56" t="s">
        <v>137</v>
      </c>
      <c r="G56">
        <v>2</v>
      </c>
      <c r="H56" s="32" t="str">
        <f t="shared" si="0"/>
        <v>OK</v>
      </c>
      <c r="I56" s="30">
        <v>1910.9</v>
      </c>
      <c r="J56" s="33" t="str">
        <f t="shared" si="1"/>
        <v>OK</v>
      </c>
      <c r="K56" s="30">
        <v>1476.21</v>
      </c>
      <c r="L56" t="s">
        <v>1617</v>
      </c>
      <c r="M56" s="31" t="str">
        <f t="shared" si="2"/>
        <v>OK</v>
      </c>
    </row>
    <row r="57" spans="1:13">
      <c r="A57" t="s">
        <v>650</v>
      </c>
      <c r="B57" s="1">
        <v>45671</v>
      </c>
      <c r="C57" t="s">
        <v>67</v>
      </c>
      <c r="D57" t="s">
        <v>57</v>
      </c>
      <c r="E57" t="s">
        <v>32</v>
      </c>
      <c r="F57" t="s">
        <v>101</v>
      </c>
      <c r="G57">
        <v>7</v>
      </c>
      <c r="H57" s="32" t="str">
        <f t="shared" si="0"/>
        <v>OK</v>
      </c>
      <c r="I57" s="30">
        <v>322.49</v>
      </c>
      <c r="J57" s="33" t="str">
        <f t="shared" si="1"/>
        <v>OK</v>
      </c>
      <c r="K57" s="30">
        <v>230.79</v>
      </c>
      <c r="L57" t="s">
        <v>71</v>
      </c>
      <c r="M57" s="31" t="str">
        <f t="shared" si="2"/>
        <v>OK</v>
      </c>
    </row>
    <row r="58" spans="1:13">
      <c r="A58" t="s">
        <v>783</v>
      </c>
      <c r="B58" s="1">
        <v>45671</v>
      </c>
      <c r="C58" t="s">
        <v>67</v>
      </c>
      <c r="D58" t="s">
        <v>63</v>
      </c>
      <c r="E58" t="s">
        <v>82</v>
      </c>
      <c r="F58" t="s">
        <v>150</v>
      </c>
      <c r="G58">
        <v>7</v>
      </c>
      <c r="H58" s="32" t="str">
        <f t="shared" si="0"/>
        <v>OK</v>
      </c>
      <c r="I58" s="30">
        <v>3858.29</v>
      </c>
      <c r="J58" s="33" t="str">
        <f t="shared" si="1"/>
        <v>OK</v>
      </c>
      <c r="K58" s="30">
        <v>3390.22</v>
      </c>
      <c r="L58" t="s">
        <v>16</v>
      </c>
      <c r="M58" s="31" t="str">
        <f t="shared" si="2"/>
        <v>OK</v>
      </c>
    </row>
    <row r="59" spans="1:13">
      <c r="A59" t="s">
        <v>966</v>
      </c>
      <c r="B59" s="1">
        <v>45671</v>
      </c>
      <c r="C59" t="s">
        <v>18</v>
      </c>
      <c r="D59" t="s">
        <v>57</v>
      </c>
      <c r="E59" t="s">
        <v>20</v>
      </c>
      <c r="F59" t="s">
        <v>191</v>
      </c>
      <c r="G59">
        <v>6</v>
      </c>
      <c r="H59" s="32" t="str">
        <f t="shared" si="0"/>
        <v>OK</v>
      </c>
      <c r="I59" s="30">
        <v>3547.12</v>
      </c>
      <c r="J59" s="33" t="str">
        <f t="shared" si="1"/>
        <v>OK</v>
      </c>
      <c r="K59" s="30">
        <v>2382.7399999999998</v>
      </c>
      <c r="L59" t="s">
        <v>38</v>
      </c>
      <c r="M59" s="31" t="str">
        <f t="shared" si="2"/>
        <v>OK</v>
      </c>
    </row>
    <row r="60" spans="1:13">
      <c r="A60" t="s">
        <v>899</v>
      </c>
      <c r="B60" s="1">
        <v>45672</v>
      </c>
      <c r="C60" t="s">
        <v>51</v>
      </c>
      <c r="D60" t="s">
        <v>63</v>
      </c>
      <c r="E60" t="s">
        <v>36</v>
      </c>
      <c r="F60" t="s">
        <v>46</v>
      </c>
      <c r="G60">
        <v>8</v>
      </c>
      <c r="H60" s="32" t="str">
        <f t="shared" si="0"/>
        <v>OK</v>
      </c>
      <c r="I60" s="30">
        <v>16346.3</v>
      </c>
      <c r="J60" s="33" t="str">
        <f t="shared" si="1"/>
        <v>OK</v>
      </c>
      <c r="K60" s="30">
        <v>9262.64</v>
      </c>
      <c r="L60" t="s">
        <v>28</v>
      </c>
      <c r="M60" s="31" t="str">
        <f t="shared" si="2"/>
        <v>OK</v>
      </c>
    </row>
    <row r="61" spans="1:13">
      <c r="A61" t="s">
        <v>1594</v>
      </c>
      <c r="B61" s="1">
        <v>45672</v>
      </c>
      <c r="C61" t="s">
        <v>133</v>
      </c>
      <c r="D61" t="s">
        <v>12</v>
      </c>
      <c r="E61" t="s">
        <v>26</v>
      </c>
      <c r="F61" t="s">
        <v>103</v>
      </c>
      <c r="G61">
        <v>6</v>
      </c>
      <c r="H61" s="32" t="str">
        <f t="shared" si="0"/>
        <v>OK</v>
      </c>
      <c r="I61" s="30">
        <v>3275.18</v>
      </c>
      <c r="J61" s="33" t="str">
        <f t="shared" si="1"/>
        <v>OK</v>
      </c>
      <c r="K61" s="30">
        <v>2708.34</v>
      </c>
      <c r="L61" t="s">
        <v>22</v>
      </c>
      <c r="M61" s="31" t="str">
        <f t="shared" si="2"/>
        <v>OK</v>
      </c>
    </row>
    <row r="62" spans="1:13">
      <c r="A62" t="s">
        <v>365</v>
      </c>
      <c r="B62" s="1">
        <v>45673</v>
      </c>
      <c r="C62" t="s">
        <v>11</v>
      </c>
      <c r="D62" t="s">
        <v>12</v>
      </c>
      <c r="E62" t="s">
        <v>26</v>
      </c>
      <c r="F62" t="s">
        <v>106</v>
      </c>
      <c r="G62">
        <v>5</v>
      </c>
      <c r="H62" s="32" t="str">
        <f t="shared" si="0"/>
        <v>OK</v>
      </c>
      <c r="I62" s="30">
        <v>983.14</v>
      </c>
      <c r="J62" s="33" t="str">
        <f t="shared" si="1"/>
        <v>OK</v>
      </c>
      <c r="K62" s="30">
        <v>651.61</v>
      </c>
      <c r="L62" t="s">
        <v>28</v>
      </c>
      <c r="M62" s="31" t="str">
        <f t="shared" si="2"/>
        <v>OK</v>
      </c>
    </row>
    <row r="63" spans="1:13">
      <c r="A63" t="s">
        <v>438</v>
      </c>
      <c r="B63" s="1">
        <v>45673</v>
      </c>
      <c r="C63" t="s">
        <v>133</v>
      </c>
      <c r="D63" t="s">
        <v>12</v>
      </c>
      <c r="E63" t="s">
        <v>36</v>
      </c>
      <c r="F63" t="s">
        <v>42</v>
      </c>
      <c r="G63">
        <v>4</v>
      </c>
      <c r="H63" s="32" t="str">
        <f t="shared" si="0"/>
        <v>OK</v>
      </c>
      <c r="I63" s="30">
        <v>7269.18</v>
      </c>
      <c r="J63" s="33" t="str">
        <f t="shared" si="1"/>
        <v>OK</v>
      </c>
      <c r="K63" s="30">
        <v>5423.06</v>
      </c>
      <c r="L63" t="s">
        <v>71</v>
      </c>
      <c r="M63" s="31" t="str">
        <f t="shared" si="2"/>
        <v>OK</v>
      </c>
    </row>
    <row r="64" spans="1:13">
      <c r="A64" t="s">
        <v>898</v>
      </c>
      <c r="B64" s="1">
        <v>45673</v>
      </c>
      <c r="C64" t="s">
        <v>124</v>
      </c>
      <c r="D64" t="s">
        <v>12</v>
      </c>
      <c r="E64" t="s">
        <v>36</v>
      </c>
      <c r="F64" t="s">
        <v>1614</v>
      </c>
      <c r="G64">
        <v>2</v>
      </c>
      <c r="H64" s="32" t="str">
        <f t="shared" si="0"/>
        <v>OK</v>
      </c>
      <c r="I64" s="30">
        <v>3335.07</v>
      </c>
      <c r="J64" s="33" t="str">
        <f t="shared" si="1"/>
        <v>OK</v>
      </c>
      <c r="K64" s="30">
        <v>2318.9899999999998</v>
      </c>
      <c r="L64" t="s">
        <v>38</v>
      </c>
      <c r="M64" s="31" t="str">
        <f t="shared" si="2"/>
        <v>OK</v>
      </c>
    </row>
    <row r="65" spans="1:13">
      <c r="A65" t="s">
        <v>959</v>
      </c>
      <c r="B65" s="1">
        <v>45673</v>
      </c>
      <c r="C65" t="s">
        <v>67</v>
      </c>
      <c r="D65" t="s">
        <v>31</v>
      </c>
      <c r="E65" t="s">
        <v>32</v>
      </c>
      <c r="F65" t="s">
        <v>180</v>
      </c>
      <c r="G65">
        <v>2</v>
      </c>
      <c r="H65" s="32" t="str">
        <f t="shared" si="0"/>
        <v>OK</v>
      </c>
      <c r="I65" s="30">
        <v>702.87</v>
      </c>
      <c r="J65" s="33" t="str">
        <f t="shared" si="1"/>
        <v>OK</v>
      </c>
      <c r="K65" s="30">
        <v>503.79</v>
      </c>
      <c r="L65" t="s">
        <v>16</v>
      </c>
      <c r="M65" s="31" t="str">
        <f t="shared" si="2"/>
        <v>OK</v>
      </c>
    </row>
    <row r="66" spans="1:13">
      <c r="A66" t="s">
        <v>1197</v>
      </c>
      <c r="B66" s="1">
        <v>45673</v>
      </c>
      <c r="C66" t="s">
        <v>162</v>
      </c>
      <c r="D66" t="s">
        <v>57</v>
      </c>
      <c r="E66" t="s">
        <v>36</v>
      </c>
      <c r="F66" t="s">
        <v>113</v>
      </c>
      <c r="G66">
        <v>4</v>
      </c>
      <c r="H66" s="32" t="str">
        <f t="shared" ref="H66:H129" si="3">IF(G66="","Blank",IF(G66&lt;0,"Negative Quantity",IF(G66=0,"Zero Quantity",IF(G66&gt;0,"OK",""))))</f>
        <v>OK</v>
      </c>
      <c r="I66" s="30">
        <v>5894.74</v>
      </c>
      <c r="J66" s="33" t="str">
        <f t="shared" ref="J66:J129" si="4">IF(I66="","Missing Sales",IF(I66&lt;0,"Negative Sales","OK"))</f>
        <v>OK</v>
      </c>
      <c r="K66" s="30">
        <v>3776.77</v>
      </c>
      <c r="L66" t="s">
        <v>38</v>
      </c>
      <c r="M66" s="31" t="str">
        <f t="shared" ref="M66:M129" si="5">IF(OR(I66="",K66=""),"Missing Data",IF(I66&lt;K66,"Sales &lt; Cost","OK"))</f>
        <v>OK</v>
      </c>
    </row>
    <row r="67" spans="1:13">
      <c r="A67" t="s">
        <v>440</v>
      </c>
      <c r="B67" s="1">
        <v>45674</v>
      </c>
      <c r="C67" t="s">
        <v>85</v>
      </c>
      <c r="D67" t="s">
        <v>31</v>
      </c>
      <c r="E67" t="s">
        <v>82</v>
      </c>
      <c r="F67" t="s">
        <v>150</v>
      </c>
      <c r="G67">
        <v>7</v>
      </c>
      <c r="H67" s="32" t="str">
        <f t="shared" si="3"/>
        <v>OK</v>
      </c>
      <c r="I67" s="30">
        <v>6208.83</v>
      </c>
      <c r="J67" s="33" t="str">
        <f t="shared" si="4"/>
        <v>OK</v>
      </c>
      <c r="K67" s="30">
        <v>3658.95</v>
      </c>
      <c r="L67" t="s">
        <v>28</v>
      </c>
      <c r="M67" s="31" t="str">
        <f t="shared" si="5"/>
        <v>OK</v>
      </c>
    </row>
    <row r="68" spans="1:13">
      <c r="A68" t="s">
        <v>509</v>
      </c>
      <c r="B68" s="1">
        <v>45674</v>
      </c>
      <c r="C68" t="s">
        <v>11</v>
      </c>
      <c r="D68" t="s">
        <v>57</v>
      </c>
      <c r="E68" t="s">
        <v>26</v>
      </c>
      <c r="F68" t="s">
        <v>103</v>
      </c>
      <c r="G68">
        <v>1</v>
      </c>
      <c r="H68" s="32" t="str">
        <f t="shared" si="3"/>
        <v>OK</v>
      </c>
      <c r="I68" s="30">
        <v>1161.96</v>
      </c>
      <c r="J68" s="33" t="str">
        <f t="shared" si="4"/>
        <v>OK</v>
      </c>
      <c r="K68" s="30">
        <v>681.68</v>
      </c>
      <c r="L68" t="s">
        <v>28</v>
      </c>
      <c r="M68" s="31" t="str">
        <f t="shared" si="5"/>
        <v>OK</v>
      </c>
    </row>
    <row r="69" spans="1:13">
      <c r="A69" t="s">
        <v>670</v>
      </c>
      <c r="B69" s="1">
        <v>45674</v>
      </c>
      <c r="C69" t="s">
        <v>133</v>
      </c>
      <c r="D69" t="s">
        <v>12</v>
      </c>
      <c r="E69" t="s">
        <v>26</v>
      </c>
      <c r="F69" t="s">
        <v>79</v>
      </c>
      <c r="G69">
        <v>5</v>
      </c>
      <c r="H69" s="32" t="str">
        <f t="shared" si="3"/>
        <v>OK</v>
      </c>
      <c r="I69" s="30">
        <v>1634.18</v>
      </c>
      <c r="J69" s="33" t="str">
        <f t="shared" si="4"/>
        <v>OK</v>
      </c>
      <c r="K69" s="30">
        <v>1044.29</v>
      </c>
      <c r="L69" t="s">
        <v>38</v>
      </c>
      <c r="M69" s="31" t="str">
        <f t="shared" si="5"/>
        <v>OK</v>
      </c>
    </row>
    <row r="70" spans="1:13">
      <c r="A70" t="s">
        <v>1610</v>
      </c>
      <c r="B70" s="1">
        <v>45674</v>
      </c>
      <c r="C70" t="s">
        <v>74</v>
      </c>
      <c r="D70" t="s">
        <v>31</v>
      </c>
      <c r="E70" t="s">
        <v>36</v>
      </c>
      <c r="F70" t="s">
        <v>113</v>
      </c>
      <c r="G70">
        <v>3</v>
      </c>
      <c r="H70" s="32" t="str">
        <f t="shared" si="3"/>
        <v>OK</v>
      </c>
      <c r="I70" s="30">
        <v>3528.12</v>
      </c>
      <c r="J70" s="33" t="str">
        <f t="shared" si="4"/>
        <v>OK</v>
      </c>
      <c r="K70" s="30">
        <v>3049.6</v>
      </c>
      <c r="L70" t="s">
        <v>22</v>
      </c>
      <c r="M70" s="31" t="str">
        <f t="shared" si="5"/>
        <v>OK</v>
      </c>
    </row>
    <row r="71" spans="1:13">
      <c r="A71" t="s">
        <v>1542</v>
      </c>
      <c r="B71" s="1">
        <v>45675</v>
      </c>
      <c r="C71" t="s">
        <v>105</v>
      </c>
      <c r="D71" t="s">
        <v>57</v>
      </c>
      <c r="E71" t="s">
        <v>20</v>
      </c>
      <c r="F71" t="s">
        <v>191</v>
      </c>
      <c r="G71">
        <v>6</v>
      </c>
      <c r="H71" s="32" t="str">
        <f t="shared" si="3"/>
        <v>OK</v>
      </c>
      <c r="I71" s="30">
        <v>3970.24</v>
      </c>
      <c r="J71" s="33" t="str">
        <f t="shared" si="4"/>
        <v>OK</v>
      </c>
      <c r="K71" s="30">
        <v>3069.87</v>
      </c>
      <c r="L71" t="s">
        <v>71</v>
      </c>
      <c r="M71" s="31" t="str">
        <f t="shared" si="5"/>
        <v>OK</v>
      </c>
    </row>
    <row r="72" spans="1:13">
      <c r="A72" t="s">
        <v>62</v>
      </c>
      <c r="B72" s="1">
        <v>45676</v>
      </c>
      <c r="C72" t="s">
        <v>24</v>
      </c>
      <c r="D72" t="s">
        <v>63</v>
      </c>
      <c r="E72" t="s">
        <v>32</v>
      </c>
      <c r="F72" t="s">
        <v>33</v>
      </c>
      <c r="G72">
        <v>4</v>
      </c>
      <c r="H72" s="32" t="str">
        <f t="shared" si="3"/>
        <v>OK</v>
      </c>
      <c r="I72" s="30">
        <v>989.28</v>
      </c>
      <c r="J72" s="33" t="str">
        <f t="shared" si="4"/>
        <v>OK</v>
      </c>
      <c r="K72" s="30">
        <v>776.99</v>
      </c>
      <c r="L72" t="s">
        <v>38</v>
      </c>
      <c r="M72" s="31" t="str">
        <f t="shared" si="5"/>
        <v>OK</v>
      </c>
    </row>
    <row r="73" spans="1:13">
      <c r="A73" t="s">
        <v>538</v>
      </c>
      <c r="B73" s="1">
        <v>45676</v>
      </c>
      <c r="C73" t="s">
        <v>119</v>
      </c>
      <c r="D73" t="s">
        <v>31</v>
      </c>
      <c r="E73" t="s">
        <v>32</v>
      </c>
      <c r="F73" t="s">
        <v>101</v>
      </c>
      <c r="G73">
        <v>4</v>
      </c>
      <c r="H73" s="32" t="str">
        <f t="shared" si="3"/>
        <v>OK</v>
      </c>
      <c r="I73" s="30">
        <v>858.06</v>
      </c>
      <c r="J73" s="33" t="str">
        <f t="shared" si="4"/>
        <v>OK</v>
      </c>
      <c r="K73" s="30">
        <v>716.06</v>
      </c>
      <c r="L73" t="s">
        <v>16</v>
      </c>
      <c r="M73" s="31" t="str">
        <f t="shared" si="5"/>
        <v>OK</v>
      </c>
    </row>
    <row r="74" spans="1:13">
      <c r="A74" t="s">
        <v>793</v>
      </c>
      <c r="B74" s="1">
        <v>45676</v>
      </c>
      <c r="C74" t="s">
        <v>133</v>
      </c>
      <c r="D74" t="s">
        <v>19</v>
      </c>
      <c r="E74" t="s">
        <v>32</v>
      </c>
      <c r="F74" t="s">
        <v>1615</v>
      </c>
      <c r="G74">
        <v>2</v>
      </c>
      <c r="H74" s="32" t="str">
        <f t="shared" si="3"/>
        <v>OK</v>
      </c>
      <c r="I74" s="30">
        <v>739.97</v>
      </c>
      <c r="J74" s="33" t="str">
        <f t="shared" si="4"/>
        <v>OK</v>
      </c>
      <c r="K74" s="30">
        <v>574.11</v>
      </c>
      <c r="L74" t="s">
        <v>22</v>
      </c>
      <c r="M74" s="31" t="str">
        <f t="shared" si="5"/>
        <v>OK</v>
      </c>
    </row>
    <row r="75" spans="1:13">
      <c r="A75" t="s">
        <v>912</v>
      </c>
      <c r="B75" s="1">
        <v>45676</v>
      </c>
      <c r="C75" t="s">
        <v>220</v>
      </c>
      <c r="D75" t="s">
        <v>57</v>
      </c>
      <c r="E75" t="s">
        <v>26</v>
      </c>
      <c r="F75" t="s">
        <v>27</v>
      </c>
      <c r="G75">
        <v>6</v>
      </c>
      <c r="H75" s="32" t="str">
        <f t="shared" si="3"/>
        <v>OK</v>
      </c>
      <c r="I75" s="30">
        <v>1517.48</v>
      </c>
      <c r="J75" s="33" t="str">
        <f t="shared" si="4"/>
        <v>OK</v>
      </c>
      <c r="K75" s="30">
        <v>1194.6099999999999</v>
      </c>
      <c r="L75" t="s">
        <v>71</v>
      </c>
      <c r="M75" s="31" t="str">
        <f t="shared" si="5"/>
        <v>OK</v>
      </c>
    </row>
    <row r="76" spans="1:13">
      <c r="A76" t="s">
        <v>1133</v>
      </c>
      <c r="B76" s="1">
        <v>45676</v>
      </c>
      <c r="C76" t="s">
        <v>51</v>
      </c>
      <c r="D76" t="s">
        <v>63</v>
      </c>
      <c r="E76" t="s">
        <v>32</v>
      </c>
      <c r="F76" t="s">
        <v>1616</v>
      </c>
      <c r="H76" s="32" t="str">
        <f t="shared" si="3"/>
        <v>Blank</v>
      </c>
      <c r="I76" s="30">
        <v>566.52</v>
      </c>
      <c r="J76" s="33" t="str">
        <f t="shared" si="4"/>
        <v>OK</v>
      </c>
      <c r="K76" s="30">
        <v>337.09</v>
      </c>
      <c r="L76" t="s">
        <v>22</v>
      </c>
      <c r="M76" s="31" t="str">
        <f t="shared" si="5"/>
        <v>OK</v>
      </c>
    </row>
    <row r="77" spans="1:13">
      <c r="A77" t="s">
        <v>1298</v>
      </c>
      <c r="B77" s="1">
        <v>45676</v>
      </c>
      <c r="C77" t="s">
        <v>74</v>
      </c>
      <c r="D77" t="s">
        <v>63</v>
      </c>
      <c r="E77" t="s">
        <v>32</v>
      </c>
      <c r="F77" t="s">
        <v>33</v>
      </c>
      <c r="G77">
        <v>1</v>
      </c>
      <c r="H77" s="32" t="str">
        <f t="shared" si="3"/>
        <v>OK</v>
      </c>
      <c r="I77" s="30">
        <v>606.79999999999995</v>
      </c>
      <c r="J77" s="33" t="str">
        <f t="shared" si="4"/>
        <v>OK</v>
      </c>
      <c r="K77" s="30">
        <v>465.78</v>
      </c>
      <c r="L77" t="s">
        <v>22</v>
      </c>
      <c r="M77" s="31" t="str">
        <f t="shared" si="5"/>
        <v>OK</v>
      </c>
    </row>
    <row r="78" spans="1:13">
      <c r="A78" t="s">
        <v>1358</v>
      </c>
      <c r="B78" s="1">
        <v>45676</v>
      </c>
      <c r="C78" t="s">
        <v>24</v>
      </c>
      <c r="D78" t="s">
        <v>57</v>
      </c>
      <c r="E78" t="s">
        <v>32</v>
      </c>
      <c r="F78" t="s">
        <v>52</v>
      </c>
      <c r="G78">
        <v>7</v>
      </c>
      <c r="H78" s="32" t="str">
        <f t="shared" si="3"/>
        <v>OK</v>
      </c>
      <c r="I78" s="30">
        <v>2012.31</v>
      </c>
      <c r="J78" s="33" t="str">
        <f t="shared" si="4"/>
        <v>OK</v>
      </c>
      <c r="K78" s="30">
        <v>1230.49</v>
      </c>
      <c r="L78" t="s">
        <v>22</v>
      </c>
      <c r="M78" s="31" t="str">
        <f t="shared" si="5"/>
        <v>OK</v>
      </c>
    </row>
    <row r="79" spans="1:13">
      <c r="A79" t="s">
        <v>556</v>
      </c>
      <c r="B79" s="1">
        <v>45677</v>
      </c>
      <c r="C79" t="s">
        <v>11</v>
      </c>
      <c r="D79" t="s">
        <v>57</v>
      </c>
      <c r="E79" t="s">
        <v>36</v>
      </c>
      <c r="F79" t="s">
        <v>93</v>
      </c>
      <c r="G79">
        <v>8</v>
      </c>
      <c r="H79" s="32" t="str">
        <f t="shared" si="3"/>
        <v>OK</v>
      </c>
      <c r="I79" s="30">
        <v>4703.62</v>
      </c>
      <c r="J79" s="33" t="str">
        <f t="shared" si="4"/>
        <v>OK</v>
      </c>
      <c r="K79" s="30">
        <v>3854.49</v>
      </c>
      <c r="L79" t="s">
        <v>28</v>
      </c>
      <c r="M79" s="31" t="str">
        <f t="shared" si="5"/>
        <v>OK</v>
      </c>
    </row>
    <row r="80" spans="1:13">
      <c r="A80" t="s">
        <v>351</v>
      </c>
      <c r="B80" s="1">
        <v>45678</v>
      </c>
      <c r="C80" t="s">
        <v>56</v>
      </c>
      <c r="D80" t="s">
        <v>12</v>
      </c>
      <c r="E80" t="s">
        <v>26</v>
      </c>
      <c r="F80" t="s">
        <v>79</v>
      </c>
      <c r="G80">
        <v>3</v>
      </c>
      <c r="H80" s="32" t="str">
        <f t="shared" si="3"/>
        <v>OK</v>
      </c>
      <c r="I80" s="30">
        <v>1779.13</v>
      </c>
      <c r="J80" s="33" t="str">
        <f t="shared" si="4"/>
        <v>OK</v>
      </c>
      <c r="K80" s="30">
        <v>1361.03</v>
      </c>
      <c r="L80" t="s">
        <v>22</v>
      </c>
      <c r="M80" s="31" t="str">
        <f t="shared" si="5"/>
        <v>OK</v>
      </c>
    </row>
    <row r="81" spans="1:13">
      <c r="A81" t="s">
        <v>397</v>
      </c>
      <c r="B81" s="1">
        <v>45678</v>
      </c>
      <c r="C81" t="s">
        <v>129</v>
      </c>
      <c r="D81" t="s">
        <v>31</v>
      </c>
      <c r="E81" t="s">
        <v>32</v>
      </c>
      <c r="F81" t="s">
        <v>1616</v>
      </c>
      <c r="G81">
        <v>7</v>
      </c>
      <c r="H81" s="32" t="str">
        <f t="shared" si="3"/>
        <v>OK</v>
      </c>
      <c r="I81" s="30">
        <v>1387.09</v>
      </c>
      <c r="J81" s="33" t="str">
        <f t="shared" si="4"/>
        <v>OK</v>
      </c>
      <c r="K81" s="30">
        <v>1051.57</v>
      </c>
      <c r="L81" t="s">
        <v>16</v>
      </c>
      <c r="M81" s="31" t="str">
        <f t="shared" si="5"/>
        <v>OK</v>
      </c>
    </row>
    <row r="82" spans="1:13">
      <c r="A82" t="s">
        <v>636</v>
      </c>
      <c r="B82" s="1">
        <v>45678</v>
      </c>
      <c r="C82" t="s">
        <v>30</v>
      </c>
      <c r="D82" t="s">
        <v>12</v>
      </c>
      <c r="E82" t="s">
        <v>36</v>
      </c>
      <c r="F82" t="s">
        <v>42</v>
      </c>
      <c r="G82">
        <v>1</v>
      </c>
      <c r="H82" s="32" t="str">
        <f t="shared" si="3"/>
        <v>OK</v>
      </c>
      <c r="I82" s="30">
        <v>17138.36</v>
      </c>
      <c r="J82" s="33" t="str">
        <f t="shared" si="4"/>
        <v>OK</v>
      </c>
      <c r="K82" s="30">
        <v>10553.61</v>
      </c>
      <c r="L82" t="s">
        <v>16</v>
      </c>
      <c r="M82" s="31" t="str">
        <f t="shared" si="5"/>
        <v>OK</v>
      </c>
    </row>
    <row r="83" spans="1:13">
      <c r="A83" t="s">
        <v>1204</v>
      </c>
      <c r="B83" s="1">
        <v>45678</v>
      </c>
      <c r="C83" t="s">
        <v>135</v>
      </c>
      <c r="D83" t="s">
        <v>57</v>
      </c>
      <c r="E83" t="s">
        <v>32</v>
      </c>
      <c r="F83" t="s">
        <v>101</v>
      </c>
      <c r="G83">
        <v>4</v>
      </c>
      <c r="H83" s="32" t="str">
        <f t="shared" si="3"/>
        <v>OK</v>
      </c>
      <c r="I83" s="30">
        <v>1951.39</v>
      </c>
      <c r="J83" s="33" t="str">
        <f t="shared" si="4"/>
        <v>OK</v>
      </c>
      <c r="K83" s="30">
        <v>1222.5</v>
      </c>
      <c r="L83" t="s">
        <v>22</v>
      </c>
      <c r="M83" s="31" t="str">
        <f t="shared" si="5"/>
        <v>OK</v>
      </c>
    </row>
    <row r="84" spans="1:13">
      <c r="A84" t="s">
        <v>476</v>
      </c>
      <c r="B84" s="1">
        <v>45679</v>
      </c>
      <c r="C84" t="s">
        <v>59</v>
      </c>
      <c r="D84" t="s">
        <v>57</v>
      </c>
      <c r="E84" t="s">
        <v>20</v>
      </c>
      <c r="F84" t="s">
        <v>86</v>
      </c>
      <c r="G84">
        <v>7</v>
      </c>
      <c r="H84" s="32" t="str">
        <f t="shared" si="3"/>
        <v>OK</v>
      </c>
      <c r="I84" s="30">
        <v>931.03</v>
      </c>
      <c r="J84" s="33" t="str">
        <f t="shared" si="4"/>
        <v>OK</v>
      </c>
      <c r="K84" s="30">
        <v>721.95</v>
      </c>
      <c r="L84" t="s">
        <v>71</v>
      </c>
      <c r="M84" s="31" t="str">
        <f t="shared" si="5"/>
        <v>OK</v>
      </c>
    </row>
    <row r="85" spans="1:13">
      <c r="A85" t="s">
        <v>1353</v>
      </c>
      <c r="B85" s="1">
        <v>45679</v>
      </c>
      <c r="C85" t="s">
        <v>129</v>
      </c>
      <c r="D85" t="s">
        <v>19</v>
      </c>
      <c r="E85" t="s">
        <v>20</v>
      </c>
      <c r="F85" t="s">
        <v>196</v>
      </c>
      <c r="G85">
        <v>8</v>
      </c>
      <c r="H85" s="32" t="str">
        <f t="shared" si="3"/>
        <v>OK</v>
      </c>
      <c r="I85" s="30">
        <v>3317.44</v>
      </c>
      <c r="J85" s="33" t="str">
        <f t="shared" si="4"/>
        <v>OK</v>
      </c>
      <c r="K85" s="30">
        <v>2192.84</v>
      </c>
      <c r="L85" t="s">
        <v>28</v>
      </c>
      <c r="M85" s="31" t="str">
        <f t="shared" si="5"/>
        <v>OK</v>
      </c>
    </row>
    <row r="86" spans="1:13">
      <c r="A86" t="s">
        <v>363</v>
      </c>
      <c r="B86" s="1">
        <v>45680</v>
      </c>
      <c r="C86" t="s">
        <v>35</v>
      </c>
      <c r="D86" t="s">
        <v>31</v>
      </c>
      <c r="E86" t="s">
        <v>36</v>
      </c>
      <c r="F86" t="s">
        <v>37</v>
      </c>
      <c r="G86">
        <v>2</v>
      </c>
      <c r="H86" s="32" t="str">
        <f t="shared" si="3"/>
        <v>OK</v>
      </c>
      <c r="I86" s="30">
        <v>10213.379999999999</v>
      </c>
      <c r="J86" s="33" t="str">
        <f t="shared" si="4"/>
        <v>OK</v>
      </c>
      <c r="K86" s="30">
        <v>5963.05</v>
      </c>
      <c r="L86" t="s">
        <v>28</v>
      </c>
      <c r="M86" s="31" t="str">
        <f t="shared" si="5"/>
        <v>OK</v>
      </c>
    </row>
    <row r="87" spans="1:13">
      <c r="A87" t="s">
        <v>1199</v>
      </c>
      <c r="B87" s="1">
        <v>45680</v>
      </c>
      <c r="C87" t="s">
        <v>220</v>
      </c>
      <c r="D87" t="s">
        <v>31</v>
      </c>
      <c r="E87" t="s">
        <v>26</v>
      </c>
      <c r="F87" t="s">
        <v>103</v>
      </c>
      <c r="G87">
        <v>6</v>
      </c>
      <c r="H87" s="32" t="str">
        <f t="shared" si="3"/>
        <v>OK</v>
      </c>
      <c r="I87" s="30">
        <v>2024.54</v>
      </c>
      <c r="J87" s="33" t="str">
        <f t="shared" si="4"/>
        <v>OK</v>
      </c>
      <c r="K87" s="30">
        <v>1657</v>
      </c>
      <c r="L87" t="s">
        <v>1617</v>
      </c>
      <c r="M87" s="31" t="str">
        <f t="shared" si="5"/>
        <v>OK</v>
      </c>
    </row>
    <row r="88" spans="1:13">
      <c r="A88" t="s">
        <v>1465</v>
      </c>
      <c r="B88" s="1">
        <v>45680</v>
      </c>
      <c r="C88" t="s">
        <v>129</v>
      </c>
      <c r="D88" t="s">
        <v>31</v>
      </c>
      <c r="E88" t="s">
        <v>32</v>
      </c>
      <c r="F88" t="s">
        <v>33</v>
      </c>
      <c r="G88">
        <v>5</v>
      </c>
      <c r="H88" s="32" t="str">
        <f t="shared" si="3"/>
        <v>OK</v>
      </c>
      <c r="I88" s="30">
        <v>2266.0500000000002</v>
      </c>
      <c r="J88" s="33" t="str">
        <f t="shared" si="4"/>
        <v>OK</v>
      </c>
      <c r="K88" s="30">
        <v>1390.29</v>
      </c>
      <c r="L88" t="s">
        <v>38</v>
      </c>
      <c r="M88" s="31" t="str">
        <f t="shared" si="5"/>
        <v>OK</v>
      </c>
    </row>
    <row r="89" spans="1:13">
      <c r="A89" t="s">
        <v>1578</v>
      </c>
      <c r="B89" s="1">
        <v>45680</v>
      </c>
      <c r="C89" t="s">
        <v>135</v>
      </c>
      <c r="D89" t="s">
        <v>19</v>
      </c>
      <c r="E89" t="s">
        <v>82</v>
      </c>
      <c r="F89" t="s">
        <v>137</v>
      </c>
      <c r="G89">
        <v>2</v>
      </c>
      <c r="H89" s="32" t="str">
        <f t="shared" si="3"/>
        <v>OK</v>
      </c>
      <c r="I89" s="30">
        <v>6244.04</v>
      </c>
      <c r="J89" s="33" t="str">
        <f t="shared" si="4"/>
        <v>OK</v>
      </c>
      <c r="K89" s="30">
        <v>4281.3</v>
      </c>
      <c r="L89" t="s">
        <v>38</v>
      </c>
      <c r="M89" s="31" t="str">
        <f t="shared" si="5"/>
        <v>OK</v>
      </c>
    </row>
    <row r="90" spans="1:13">
      <c r="A90" t="s">
        <v>827</v>
      </c>
      <c r="B90" s="1">
        <v>45681</v>
      </c>
      <c r="C90" t="s">
        <v>259</v>
      </c>
      <c r="D90" t="s">
        <v>12</v>
      </c>
      <c r="E90" t="s">
        <v>36</v>
      </c>
      <c r="F90" t="s">
        <v>37</v>
      </c>
      <c r="G90">
        <v>1</v>
      </c>
      <c r="H90" s="32" t="str">
        <f t="shared" si="3"/>
        <v>OK</v>
      </c>
      <c r="I90" s="30">
        <v>15469.18</v>
      </c>
      <c r="J90" s="33" t="str">
        <f t="shared" si="4"/>
        <v>OK</v>
      </c>
      <c r="K90" s="30">
        <v>11894.36</v>
      </c>
      <c r="L90" t="s">
        <v>71</v>
      </c>
      <c r="M90" s="31" t="str">
        <f t="shared" si="5"/>
        <v>OK</v>
      </c>
    </row>
    <row r="91" spans="1:13">
      <c r="A91" t="s">
        <v>839</v>
      </c>
      <c r="B91" s="1">
        <v>45681</v>
      </c>
      <c r="C91" t="s">
        <v>35</v>
      </c>
      <c r="D91" t="s">
        <v>63</v>
      </c>
      <c r="E91" t="s">
        <v>36</v>
      </c>
      <c r="F91" t="s">
        <v>46</v>
      </c>
      <c r="G91">
        <v>1</v>
      </c>
      <c r="H91" s="32" t="str">
        <f t="shared" si="3"/>
        <v>OK</v>
      </c>
      <c r="I91" s="30">
        <v>6104.63</v>
      </c>
      <c r="J91" s="33" t="str">
        <f t="shared" si="4"/>
        <v>OK</v>
      </c>
      <c r="K91" s="30">
        <v>4349.95</v>
      </c>
      <c r="L91" t="s">
        <v>16</v>
      </c>
      <c r="M91" s="31" t="str">
        <f t="shared" si="5"/>
        <v>OK</v>
      </c>
    </row>
    <row r="92" spans="1:13">
      <c r="A92" t="s">
        <v>1573</v>
      </c>
      <c r="B92" s="1">
        <v>45681</v>
      </c>
      <c r="C92" t="s">
        <v>74</v>
      </c>
      <c r="D92" t="s">
        <v>12</v>
      </c>
      <c r="E92" t="s">
        <v>36</v>
      </c>
      <c r="F92" t="s">
        <v>113</v>
      </c>
      <c r="G92">
        <v>3</v>
      </c>
      <c r="H92" s="32" t="str">
        <f t="shared" si="3"/>
        <v>OK</v>
      </c>
      <c r="I92" s="30">
        <v>15211.57</v>
      </c>
      <c r="J92" s="33" t="str">
        <f t="shared" si="4"/>
        <v>OK</v>
      </c>
      <c r="K92" s="30">
        <v>10117.66</v>
      </c>
      <c r="L92" t="s">
        <v>38</v>
      </c>
      <c r="M92" s="31" t="str">
        <f t="shared" si="5"/>
        <v>OK</v>
      </c>
    </row>
    <row r="93" spans="1:13">
      <c r="A93" t="s">
        <v>1269</v>
      </c>
      <c r="B93" s="1">
        <v>45682</v>
      </c>
      <c r="C93" t="s">
        <v>129</v>
      </c>
      <c r="D93" t="s">
        <v>12</v>
      </c>
      <c r="E93" t="s">
        <v>36</v>
      </c>
      <c r="F93" t="s">
        <v>42</v>
      </c>
      <c r="G93">
        <v>1</v>
      </c>
      <c r="H93" s="32" t="str">
        <f t="shared" si="3"/>
        <v>OK</v>
      </c>
      <c r="I93" s="30">
        <v>7951.91</v>
      </c>
      <c r="J93" s="33" t="str">
        <f t="shared" si="4"/>
        <v>OK</v>
      </c>
      <c r="K93" s="30">
        <v>6584.5</v>
      </c>
      <c r="L93" t="s">
        <v>71</v>
      </c>
      <c r="M93" s="31" t="str">
        <f t="shared" si="5"/>
        <v>OK</v>
      </c>
    </row>
    <row r="94" spans="1:13">
      <c r="A94" t="s">
        <v>563</v>
      </c>
      <c r="B94" s="1">
        <v>45683</v>
      </c>
      <c r="C94" t="s">
        <v>11</v>
      </c>
      <c r="D94" t="s">
        <v>12</v>
      </c>
      <c r="E94" t="s">
        <v>82</v>
      </c>
      <c r="F94" t="s">
        <v>155</v>
      </c>
      <c r="G94">
        <v>8</v>
      </c>
      <c r="H94" s="32" t="str">
        <f t="shared" si="3"/>
        <v>OK</v>
      </c>
      <c r="I94" s="30">
        <v>5896.74</v>
      </c>
      <c r="J94" s="33" t="str">
        <f t="shared" si="4"/>
        <v>OK</v>
      </c>
      <c r="K94" s="30">
        <v>5000.25</v>
      </c>
      <c r="L94" t="s">
        <v>71</v>
      </c>
      <c r="M94" s="31" t="str">
        <f t="shared" si="5"/>
        <v>OK</v>
      </c>
    </row>
    <row r="95" spans="1:13">
      <c r="A95" t="s">
        <v>735</v>
      </c>
      <c r="B95" s="1">
        <v>45683</v>
      </c>
      <c r="C95" t="s">
        <v>18</v>
      </c>
      <c r="D95" t="s">
        <v>31</v>
      </c>
      <c r="E95" t="s">
        <v>26</v>
      </c>
      <c r="F95" t="s">
        <v>27</v>
      </c>
      <c r="G95">
        <v>5</v>
      </c>
      <c r="H95" s="32" t="str">
        <f t="shared" si="3"/>
        <v>OK</v>
      </c>
      <c r="I95" s="30">
        <v>1858.41</v>
      </c>
      <c r="J95" s="33" t="str">
        <f t="shared" si="4"/>
        <v>OK</v>
      </c>
      <c r="K95" s="30">
        <v>1563.24</v>
      </c>
      <c r="L95" t="s">
        <v>28</v>
      </c>
      <c r="M95" s="31" t="str">
        <f t="shared" si="5"/>
        <v>OK</v>
      </c>
    </row>
    <row r="96" spans="1:13">
      <c r="A96" t="s">
        <v>1440</v>
      </c>
      <c r="B96" s="1">
        <v>45683</v>
      </c>
      <c r="C96" t="s">
        <v>117</v>
      </c>
      <c r="D96" t="s">
        <v>12</v>
      </c>
      <c r="E96" t="s">
        <v>26</v>
      </c>
      <c r="F96" t="s">
        <v>27</v>
      </c>
      <c r="G96">
        <v>8</v>
      </c>
      <c r="H96" s="32" t="str">
        <f t="shared" si="3"/>
        <v>OK</v>
      </c>
      <c r="I96" s="30">
        <v>1884.26</v>
      </c>
      <c r="J96" s="33" t="str">
        <f t="shared" si="4"/>
        <v>OK</v>
      </c>
      <c r="K96" s="30">
        <v>1566.57</v>
      </c>
      <c r="L96" t="s">
        <v>71</v>
      </c>
      <c r="M96" s="31" t="str">
        <f t="shared" si="5"/>
        <v>OK</v>
      </c>
    </row>
    <row r="97" spans="1:13">
      <c r="A97" t="s">
        <v>1523</v>
      </c>
      <c r="B97" s="1">
        <v>45683</v>
      </c>
      <c r="C97" t="s">
        <v>70</v>
      </c>
      <c r="D97" t="s">
        <v>57</v>
      </c>
      <c r="E97" t="s">
        <v>20</v>
      </c>
      <c r="F97" t="s">
        <v>14</v>
      </c>
      <c r="G97">
        <v>5</v>
      </c>
      <c r="H97" s="32" t="str">
        <f t="shared" si="3"/>
        <v>OK</v>
      </c>
      <c r="I97" s="30">
        <v>5699.62</v>
      </c>
      <c r="J97" s="33" t="str">
        <f t="shared" si="4"/>
        <v>OK</v>
      </c>
      <c r="K97" s="30">
        <v>4760.17</v>
      </c>
      <c r="L97" t="s">
        <v>28</v>
      </c>
      <c r="M97" s="31" t="str">
        <f t="shared" si="5"/>
        <v>OK</v>
      </c>
    </row>
    <row r="98" spans="1:13">
      <c r="A98" t="s">
        <v>811</v>
      </c>
      <c r="B98" s="1">
        <v>45684</v>
      </c>
      <c r="C98" t="s">
        <v>67</v>
      </c>
      <c r="D98" t="s">
        <v>12</v>
      </c>
      <c r="E98" t="s">
        <v>36</v>
      </c>
      <c r="F98" t="s">
        <v>113</v>
      </c>
      <c r="G98">
        <v>5</v>
      </c>
      <c r="H98" s="32" t="str">
        <f t="shared" si="3"/>
        <v>OK</v>
      </c>
      <c r="I98" s="30">
        <v>15433.79</v>
      </c>
      <c r="J98" s="33" t="str">
        <f t="shared" si="4"/>
        <v>OK</v>
      </c>
      <c r="K98" s="30">
        <v>10534.42</v>
      </c>
      <c r="L98" t="s">
        <v>38</v>
      </c>
      <c r="M98" s="31" t="str">
        <f t="shared" si="5"/>
        <v>OK</v>
      </c>
    </row>
    <row r="99" spans="1:13">
      <c r="A99" t="s">
        <v>1134</v>
      </c>
      <c r="B99" s="1">
        <v>45684</v>
      </c>
      <c r="C99" t="s">
        <v>117</v>
      </c>
      <c r="D99" t="s">
        <v>57</v>
      </c>
      <c r="E99" t="s">
        <v>26</v>
      </c>
      <c r="F99" t="s">
        <v>79</v>
      </c>
      <c r="G99">
        <v>5</v>
      </c>
      <c r="H99" s="32" t="str">
        <f t="shared" si="3"/>
        <v>OK</v>
      </c>
      <c r="I99" s="30">
        <v>1844.29</v>
      </c>
      <c r="J99" s="33" t="str">
        <f t="shared" si="4"/>
        <v>OK</v>
      </c>
      <c r="K99" s="30">
        <v>1362.9</v>
      </c>
      <c r="L99" t="s">
        <v>22</v>
      </c>
      <c r="M99" s="31" t="str">
        <f t="shared" si="5"/>
        <v>OK</v>
      </c>
    </row>
    <row r="100" spans="1:13">
      <c r="A100" t="s">
        <v>1350</v>
      </c>
      <c r="B100" s="1">
        <v>45684</v>
      </c>
      <c r="C100" t="s">
        <v>117</v>
      </c>
      <c r="D100" t="s">
        <v>12</v>
      </c>
      <c r="E100" t="s">
        <v>26</v>
      </c>
      <c r="F100" t="s">
        <v>27</v>
      </c>
      <c r="G100">
        <v>3</v>
      </c>
      <c r="H100" s="32" t="str">
        <f t="shared" si="3"/>
        <v>OK</v>
      </c>
      <c r="I100" s="30">
        <v>1758.05</v>
      </c>
      <c r="J100" s="33" t="str">
        <f t="shared" si="4"/>
        <v>OK</v>
      </c>
      <c r="K100" s="30">
        <v>1243.22</v>
      </c>
      <c r="L100" t="s">
        <v>28</v>
      </c>
      <c r="M100" s="31" t="str">
        <f t="shared" si="5"/>
        <v>OK</v>
      </c>
    </row>
    <row r="101" spans="1:13">
      <c r="A101" t="s">
        <v>1383</v>
      </c>
      <c r="B101" s="1">
        <v>45684</v>
      </c>
      <c r="C101" t="s">
        <v>162</v>
      </c>
      <c r="D101" t="s">
        <v>63</v>
      </c>
      <c r="E101" t="s">
        <v>26</v>
      </c>
      <c r="F101" t="s">
        <v>103</v>
      </c>
      <c r="G101">
        <v>5</v>
      </c>
      <c r="H101" s="32" t="str">
        <f t="shared" si="3"/>
        <v>OK</v>
      </c>
      <c r="I101" s="30">
        <v>3308.46</v>
      </c>
      <c r="J101" s="33" t="str">
        <f t="shared" si="4"/>
        <v>OK</v>
      </c>
      <c r="K101" s="30">
        <v>2341.23</v>
      </c>
      <c r="L101" t="s">
        <v>16</v>
      </c>
      <c r="M101" s="31" t="str">
        <f t="shared" si="5"/>
        <v>OK</v>
      </c>
    </row>
    <row r="102" spans="1:13">
      <c r="A102" t="s">
        <v>330</v>
      </c>
      <c r="B102" s="1">
        <v>45685</v>
      </c>
      <c r="C102" t="s">
        <v>259</v>
      </c>
      <c r="D102" t="s">
        <v>63</v>
      </c>
      <c r="E102" t="s">
        <v>32</v>
      </c>
      <c r="F102" t="s">
        <v>1616</v>
      </c>
      <c r="G102">
        <v>2</v>
      </c>
      <c r="H102" s="32" t="str">
        <f t="shared" si="3"/>
        <v>OK</v>
      </c>
      <c r="I102" s="30">
        <v>339.41</v>
      </c>
      <c r="J102" s="33" t="str">
        <f t="shared" si="4"/>
        <v>OK</v>
      </c>
      <c r="K102" s="30">
        <v>268.24</v>
      </c>
      <c r="L102" t="s">
        <v>16</v>
      </c>
      <c r="M102" s="31" t="str">
        <f t="shared" si="5"/>
        <v>OK</v>
      </c>
    </row>
    <row r="103" spans="1:13">
      <c r="A103" t="s">
        <v>387</v>
      </c>
      <c r="B103" s="1">
        <v>45685</v>
      </c>
      <c r="C103" t="s">
        <v>35</v>
      </c>
      <c r="D103" t="s">
        <v>57</v>
      </c>
      <c r="E103" t="s">
        <v>36</v>
      </c>
      <c r="F103" t="s">
        <v>37</v>
      </c>
      <c r="G103">
        <v>2</v>
      </c>
      <c r="H103" s="32" t="str">
        <f t="shared" si="3"/>
        <v>OK</v>
      </c>
      <c r="I103" s="30">
        <v>9418.11</v>
      </c>
      <c r="J103" s="33" t="str">
        <f t="shared" si="4"/>
        <v>OK</v>
      </c>
      <c r="K103" s="30">
        <v>5263.1</v>
      </c>
      <c r="L103" t="s">
        <v>71</v>
      </c>
      <c r="M103" s="31" t="str">
        <f t="shared" si="5"/>
        <v>OK</v>
      </c>
    </row>
    <row r="104" spans="1:13">
      <c r="A104" t="s">
        <v>497</v>
      </c>
      <c r="B104" s="1">
        <v>45685</v>
      </c>
      <c r="C104" t="s">
        <v>59</v>
      </c>
      <c r="D104" t="s">
        <v>19</v>
      </c>
      <c r="E104" t="s">
        <v>32</v>
      </c>
      <c r="F104" t="s">
        <v>1615</v>
      </c>
      <c r="G104">
        <v>6</v>
      </c>
      <c r="H104" s="32" t="str">
        <f t="shared" si="3"/>
        <v>OK</v>
      </c>
      <c r="I104" s="30">
        <v>2389.2399999999998</v>
      </c>
      <c r="J104" s="33" t="str">
        <f t="shared" si="4"/>
        <v>OK</v>
      </c>
      <c r="K104" s="30">
        <v>1696.17</v>
      </c>
      <c r="L104" t="s">
        <v>71</v>
      </c>
      <c r="M104" s="31" t="str">
        <f t="shared" si="5"/>
        <v>OK</v>
      </c>
    </row>
    <row r="105" spans="1:13">
      <c r="A105" t="s">
        <v>501</v>
      </c>
      <c r="B105" s="1">
        <v>45685</v>
      </c>
      <c r="C105" t="s">
        <v>85</v>
      </c>
      <c r="D105" t="s">
        <v>12</v>
      </c>
      <c r="E105" t="s">
        <v>82</v>
      </c>
      <c r="F105" t="s">
        <v>137</v>
      </c>
      <c r="G105">
        <v>8</v>
      </c>
      <c r="H105" s="32" t="str">
        <f t="shared" si="3"/>
        <v>OK</v>
      </c>
      <c r="I105" s="30">
        <v>4721.3999999999996</v>
      </c>
      <c r="J105" s="33" t="str">
        <f t="shared" si="4"/>
        <v>OK</v>
      </c>
      <c r="K105" s="30">
        <v>2609.7600000000002</v>
      </c>
      <c r="L105" t="s">
        <v>28</v>
      </c>
      <c r="M105" s="31" t="str">
        <f t="shared" si="5"/>
        <v>OK</v>
      </c>
    </row>
    <row r="106" spans="1:13">
      <c r="A106" t="s">
        <v>1041</v>
      </c>
      <c r="B106" s="1">
        <v>45685</v>
      </c>
      <c r="C106" t="s">
        <v>133</v>
      </c>
      <c r="D106" t="s">
        <v>63</v>
      </c>
      <c r="E106" t="s">
        <v>26</v>
      </c>
      <c r="F106" t="s">
        <v>79</v>
      </c>
      <c r="G106">
        <v>1</v>
      </c>
      <c r="H106" s="32" t="str">
        <f t="shared" si="3"/>
        <v>OK</v>
      </c>
      <c r="I106" s="30">
        <v>2666.93</v>
      </c>
      <c r="J106" s="33" t="str">
        <f t="shared" si="4"/>
        <v>OK</v>
      </c>
      <c r="K106" s="30">
        <v>1645.55</v>
      </c>
      <c r="L106" t="s">
        <v>28</v>
      </c>
      <c r="M106" s="31" t="str">
        <f t="shared" si="5"/>
        <v>OK</v>
      </c>
    </row>
    <row r="107" spans="1:13">
      <c r="A107" t="s">
        <v>1458</v>
      </c>
      <c r="B107" s="1">
        <v>45685</v>
      </c>
      <c r="C107" t="s">
        <v>74</v>
      </c>
      <c r="D107" t="s">
        <v>57</v>
      </c>
      <c r="E107" t="s">
        <v>20</v>
      </c>
      <c r="F107" t="s">
        <v>196</v>
      </c>
      <c r="G107">
        <v>4</v>
      </c>
      <c r="H107" s="32" t="str">
        <f t="shared" si="3"/>
        <v>OK</v>
      </c>
      <c r="I107" s="30">
        <v>4907.9799999999996</v>
      </c>
      <c r="J107" s="33" t="str">
        <f t="shared" si="4"/>
        <v>OK</v>
      </c>
      <c r="K107" s="30">
        <v>3827.1</v>
      </c>
      <c r="L107" t="s">
        <v>71</v>
      </c>
      <c r="M107" s="31" t="str">
        <f t="shared" si="5"/>
        <v>OK</v>
      </c>
    </row>
    <row r="108" spans="1:13">
      <c r="A108" t="s">
        <v>716</v>
      </c>
      <c r="B108" s="1">
        <v>45686</v>
      </c>
      <c r="C108" t="s">
        <v>162</v>
      </c>
      <c r="D108" t="s">
        <v>63</v>
      </c>
      <c r="E108" t="s">
        <v>82</v>
      </c>
      <c r="F108" t="s">
        <v>137</v>
      </c>
      <c r="G108">
        <v>8</v>
      </c>
      <c r="H108" s="32" t="str">
        <f t="shared" si="3"/>
        <v>OK</v>
      </c>
      <c r="I108" s="30">
        <v>-538.55999999999995</v>
      </c>
      <c r="J108" s="33" t="str">
        <f t="shared" si="4"/>
        <v>Negative Sales</v>
      </c>
      <c r="K108" s="30">
        <v>3673.85</v>
      </c>
      <c r="L108" t="s">
        <v>71</v>
      </c>
      <c r="M108" s="31" t="str">
        <f t="shared" si="5"/>
        <v>Sales &lt; Cost</v>
      </c>
    </row>
    <row r="109" spans="1:13">
      <c r="A109" t="s">
        <v>740</v>
      </c>
      <c r="B109" s="1">
        <v>45686</v>
      </c>
      <c r="C109" t="s">
        <v>231</v>
      </c>
      <c r="D109" t="s">
        <v>19</v>
      </c>
      <c r="E109" t="s">
        <v>32</v>
      </c>
      <c r="F109" t="s">
        <v>33</v>
      </c>
      <c r="G109">
        <v>5</v>
      </c>
      <c r="H109" s="32" t="str">
        <f t="shared" si="3"/>
        <v>OK</v>
      </c>
      <c r="I109" s="30">
        <v>1499.37</v>
      </c>
      <c r="J109" s="33" t="str">
        <f t="shared" si="4"/>
        <v>OK</v>
      </c>
      <c r="K109" s="30">
        <v>1160.22</v>
      </c>
      <c r="L109" t="s">
        <v>38</v>
      </c>
      <c r="M109" s="31" t="str">
        <f t="shared" si="5"/>
        <v>OK</v>
      </c>
    </row>
    <row r="110" spans="1:13">
      <c r="A110" t="s">
        <v>1318</v>
      </c>
      <c r="B110" s="1">
        <v>45686</v>
      </c>
      <c r="C110" t="s">
        <v>105</v>
      </c>
      <c r="D110" t="s">
        <v>63</v>
      </c>
      <c r="E110" t="s">
        <v>82</v>
      </c>
      <c r="F110" t="s">
        <v>137</v>
      </c>
      <c r="G110">
        <v>3</v>
      </c>
      <c r="H110" s="32" t="str">
        <f t="shared" si="3"/>
        <v>OK</v>
      </c>
      <c r="I110" s="30">
        <v>833.07</v>
      </c>
      <c r="J110" s="33" t="str">
        <f t="shared" si="4"/>
        <v>OK</v>
      </c>
      <c r="K110" s="30">
        <v>653.26</v>
      </c>
      <c r="L110" t="s">
        <v>28</v>
      </c>
      <c r="M110" s="31" t="str">
        <f t="shared" si="5"/>
        <v>OK</v>
      </c>
    </row>
    <row r="111" spans="1:13">
      <c r="A111" t="s">
        <v>1509</v>
      </c>
      <c r="B111" s="1">
        <v>45686</v>
      </c>
      <c r="C111" t="s">
        <v>74</v>
      </c>
      <c r="D111" t="s">
        <v>31</v>
      </c>
      <c r="E111" t="s">
        <v>82</v>
      </c>
      <c r="F111" t="s">
        <v>97</v>
      </c>
      <c r="G111">
        <v>6</v>
      </c>
      <c r="H111" s="32" t="str">
        <f t="shared" si="3"/>
        <v>OK</v>
      </c>
      <c r="I111" s="30">
        <v>3023.88</v>
      </c>
      <c r="J111" s="33" t="str">
        <f t="shared" si="4"/>
        <v>OK</v>
      </c>
      <c r="K111" s="30">
        <v>2377.58</v>
      </c>
      <c r="L111" t="s">
        <v>28</v>
      </c>
      <c r="M111" s="31" t="str">
        <f t="shared" si="5"/>
        <v>OK</v>
      </c>
    </row>
    <row r="112" spans="1:13">
      <c r="A112" t="s">
        <v>319</v>
      </c>
      <c r="B112" s="1">
        <v>45687</v>
      </c>
      <c r="C112" t="s">
        <v>135</v>
      </c>
      <c r="D112" t="s">
        <v>63</v>
      </c>
      <c r="E112" t="s">
        <v>32</v>
      </c>
      <c r="F112" t="s">
        <v>1615</v>
      </c>
      <c r="G112">
        <v>6</v>
      </c>
      <c r="H112" s="32" t="str">
        <f t="shared" si="3"/>
        <v>OK</v>
      </c>
      <c r="I112" s="30">
        <v>2208.08</v>
      </c>
      <c r="J112" s="33" t="str">
        <f t="shared" si="4"/>
        <v>OK</v>
      </c>
      <c r="K112" s="30">
        <v>1801.95</v>
      </c>
      <c r="L112" t="s">
        <v>16</v>
      </c>
      <c r="M112" s="31" t="str">
        <f t="shared" si="5"/>
        <v>OK</v>
      </c>
    </row>
    <row r="113" spans="1:13">
      <c r="A113" t="s">
        <v>454</v>
      </c>
      <c r="B113" s="1">
        <v>45687</v>
      </c>
      <c r="C113" t="s">
        <v>24</v>
      </c>
      <c r="D113" t="s">
        <v>19</v>
      </c>
      <c r="E113" t="s">
        <v>26</v>
      </c>
      <c r="F113" t="s">
        <v>103</v>
      </c>
      <c r="G113">
        <v>4</v>
      </c>
      <c r="H113" s="32" t="str">
        <f t="shared" si="3"/>
        <v>OK</v>
      </c>
      <c r="I113" s="30">
        <v>3103.53</v>
      </c>
      <c r="J113" s="33" t="str">
        <f t="shared" si="4"/>
        <v>OK</v>
      </c>
      <c r="K113" s="30">
        <v>2676.77</v>
      </c>
      <c r="L113" t="s">
        <v>16</v>
      </c>
      <c r="M113" s="31" t="str">
        <f t="shared" si="5"/>
        <v>OK</v>
      </c>
    </row>
    <row r="114" spans="1:13">
      <c r="A114" t="s">
        <v>1417</v>
      </c>
      <c r="B114" s="1">
        <v>45687</v>
      </c>
      <c r="C114" t="s">
        <v>135</v>
      </c>
      <c r="D114" t="s">
        <v>12</v>
      </c>
      <c r="E114" t="s">
        <v>20</v>
      </c>
      <c r="F114" t="s">
        <v>196</v>
      </c>
      <c r="G114">
        <v>5</v>
      </c>
      <c r="H114" s="32" t="str">
        <f t="shared" si="3"/>
        <v>OK</v>
      </c>
      <c r="I114" s="30">
        <v>2806.18</v>
      </c>
      <c r="J114" s="33" t="str">
        <f t="shared" si="4"/>
        <v>OK</v>
      </c>
      <c r="K114" s="30">
        <v>2363.67</v>
      </c>
      <c r="L114" t="s">
        <v>38</v>
      </c>
      <c r="M114" s="31" t="str">
        <f t="shared" si="5"/>
        <v>OK</v>
      </c>
    </row>
    <row r="115" spans="1:13">
      <c r="A115" t="s">
        <v>305</v>
      </c>
      <c r="B115" s="1">
        <v>45688</v>
      </c>
      <c r="C115" t="s">
        <v>74</v>
      </c>
      <c r="D115" t="s">
        <v>12</v>
      </c>
      <c r="E115" t="s">
        <v>20</v>
      </c>
      <c r="F115" t="s">
        <v>21</v>
      </c>
      <c r="G115">
        <v>1</v>
      </c>
      <c r="H115" s="32" t="str">
        <f t="shared" si="3"/>
        <v>OK</v>
      </c>
      <c r="I115" s="30">
        <v>1312.42</v>
      </c>
      <c r="J115" s="33" t="str">
        <f t="shared" si="4"/>
        <v>OK</v>
      </c>
      <c r="K115" s="30">
        <v>1027.03</v>
      </c>
      <c r="L115" t="s">
        <v>71</v>
      </c>
      <c r="M115" s="31" t="str">
        <f t="shared" si="5"/>
        <v>OK</v>
      </c>
    </row>
    <row r="116" spans="1:13">
      <c r="A116" t="s">
        <v>1019</v>
      </c>
      <c r="B116" s="1">
        <v>45688</v>
      </c>
      <c r="C116" t="s">
        <v>259</v>
      </c>
      <c r="D116" t="s">
        <v>19</v>
      </c>
      <c r="E116" t="s">
        <v>36</v>
      </c>
      <c r="F116" t="s">
        <v>113</v>
      </c>
      <c r="G116">
        <v>2</v>
      </c>
      <c r="H116" s="32" t="str">
        <f t="shared" si="3"/>
        <v>OK</v>
      </c>
      <c r="I116" s="30">
        <v>17762.95</v>
      </c>
      <c r="J116" s="33" t="str">
        <f t="shared" si="4"/>
        <v>OK</v>
      </c>
      <c r="K116" s="30">
        <v>12536.8</v>
      </c>
      <c r="L116" t="s">
        <v>22</v>
      </c>
      <c r="M116" s="31" t="str">
        <f t="shared" si="5"/>
        <v>OK</v>
      </c>
    </row>
    <row r="117" spans="1:13">
      <c r="A117" t="s">
        <v>1403</v>
      </c>
      <c r="B117" s="1">
        <v>45688</v>
      </c>
      <c r="C117" t="s">
        <v>121</v>
      </c>
      <c r="D117" t="s">
        <v>12</v>
      </c>
      <c r="E117" t="s">
        <v>20</v>
      </c>
      <c r="F117" t="s">
        <v>14</v>
      </c>
      <c r="G117">
        <v>8</v>
      </c>
      <c r="H117" s="32" t="str">
        <f t="shared" si="3"/>
        <v>OK</v>
      </c>
      <c r="I117" s="30">
        <v>2003.17</v>
      </c>
      <c r="J117" s="33" t="str">
        <f t="shared" si="4"/>
        <v>OK</v>
      </c>
      <c r="K117" s="30">
        <v>1267.5899999999999</v>
      </c>
      <c r="L117" t="s">
        <v>28</v>
      </c>
      <c r="M117" s="31" t="str">
        <f t="shared" si="5"/>
        <v>OK</v>
      </c>
    </row>
    <row r="118" spans="1:13">
      <c r="A118" t="s">
        <v>1411</v>
      </c>
      <c r="B118" s="1">
        <v>45688</v>
      </c>
      <c r="C118" t="s">
        <v>117</v>
      </c>
      <c r="D118" t="s">
        <v>12</v>
      </c>
      <c r="E118" t="s">
        <v>82</v>
      </c>
      <c r="F118" t="s">
        <v>97</v>
      </c>
      <c r="G118">
        <v>8</v>
      </c>
      <c r="H118" s="32" t="str">
        <f t="shared" si="3"/>
        <v>OK</v>
      </c>
      <c r="I118" s="30">
        <v>1184.8900000000001</v>
      </c>
      <c r="J118" s="33" t="str">
        <f t="shared" si="4"/>
        <v>OK</v>
      </c>
      <c r="K118" s="30">
        <v>750.62</v>
      </c>
      <c r="L118" t="s">
        <v>16</v>
      </c>
      <c r="M118" s="31" t="str">
        <f t="shared" si="5"/>
        <v>OK</v>
      </c>
    </row>
    <row r="119" spans="1:13">
      <c r="A119" t="s">
        <v>261</v>
      </c>
      <c r="B119" s="1">
        <v>45689</v>
      </c>
      <c r="C119" t="s">
        <v>74</v>
      </c>
      <c r="D119" t="s">
        <v>31</v>
      </c>
      <c r="E119" t="s">
        <v>32</v>
      </c>
      <c r="F119" t="s">
        <v>33</v>
      </c>
      <c r="G119">
        <v>4</v>
      </c>
      <c r="H119" s="32" t="str">
        <f t="shared" si="3"/>
        <v>OK</v>
      </c>
      <c r="I119" s="30">
        <v>2115.65</v>
      </c>
      <c r="J119" s="33" t="str">
        <f t="shared" si="4"/>
        <v>OK</v>
      </c>
      <c r="K119" s="30">
        <v>1435.53</v>
      </c>
      <c r="L119" t="s">
        <v>38</v>
      </c>
      <c r="M119" s="31" t="str">
        <f t="shared" si="5"/>
        <v>OK</v>
      </c>
    </row>
    <row r="120" spans="1:13">
      <c r="A120" t="s">
        <v>659</v>
      </c>
      <c r="B120" s="1">
        <v>45689</v>
      </c>
      <c r="C120" t="s">
        <v>74</v>
      </c>
      <c r="D120" t="s">
        <v>12</v>
      </c>
      <c r="E120" t="s">
        <v>36</v>
      </c>
      <c r="F120" t="s">
        <v>46</v>
      </c>
      <c r="G120">
        <v>8</v>
      </c>
      <c r="H120" s="32" t="str">
        <f t="shared" si="3"/>
        <v>OK</v>
      </c>
      <c r="I120" s="30">
        <v>1836.89</v>
      </c>
      <c r="J120" s="33" t="str">
        <f t="shared" si="4"/>
        <v>OK</v>
      </c>
      <c r="K120" s="30">
        <v>1380.5</v>
      </c>
      <c r="L120" t="s">
        <v>28</v>
      </c>
      <c r="M120" s="31" t="str">
        <f t="shared" si="5"/>
        <v>OK</v>
      </c>
    </row>
    <row r="121" spans="1:13">
      <c r="A121" t="s">
        <v>1405</v>
      </c>
      <c r="B121" s="1">
        <v>45689</v>
      </c>
      <c r="C121" t="s">
        <v>11</v>
      </c>
      <c r="D121" t="s">
        <v>57</v>
      </c>
      <c r="E121" t="s">
        <v>26</v>
      </c>
      <c r="F121" t="s">
        <v>79</v>
      </c>
      <c r="G121">
        <v>3</v>
      </c>
      <c r="H121" s="32" t="str">
        <f t="shared" si="3"/>
        <v>OK</v>
      </c>
      <c r="I121" s="30">
        <v>2694.76</v>
      </c>
      <c r="J121" s="33" t="str">
        <f t="shared" si="4"/>
        <v>OK</v>
      </c>
      <c r="K121" s="30">
        <v>2075.6799999999998</v>
      </c>
      <c r="L121" t="s">
        <v>16</v>
      </c>
      <c r="M121" s="31" t="str">
        <f t="shared" si="5"/>
        <v>OK</v>
      </c>
    </row>
    <row r="122" spans="1:13">
      <c r="A122" t="s">
        <v>1596</v>
      </c>
      <c r="B122" s="1">
        <v>45689</v>
      </c>
      <c r="C122" t="s">
        <v>220</v>
      </c>
      <c r="D122" t="s">
        <v>31</v>
      </c>
      <c r="E122" t="s">
        <v>32</v>
      </c>
      <c r="F122" t="s">
        <v>1616</v>
      </c>
      <c r="G122">
        <v>3</v>
      </c>
      <c r="H122" s="32" t="str">
        <f t="shared" si="3"/>
        <v>OK</v>
      </c>
      <c r="I122" s="30">
        <v>1392.97</v>
      </c>
      <c r="J122" s="33" t="str">
        <f t="shared" si="4"/>
        <v>OK</v>
      </c>
      <c r="K122" s="30">
        <v>1023.96</v>
      </c>
      <c r="L122" t="s">
        <v>28</v>
      </c>
      <c r="M122" s="31" t="str">
        <f t="shared" si="5"/>
        <v>OK</v>
      </c>
    </row>
    <row r="123" spans="1:13">
      <c r="A123" t="s">
        <v>120</v>
      </c>
      <c r="B123" s="1">
        <v>45690</v>
      </c>
      <c r="C123" t="s">
        <v>121</v>
      </c>
      <c r="D123" t="s">
        <v>12</v>
      </c>
      <c r="E123" t="s">
        <v>36</v>
      </c>
      <c r="F123" t="s">
        <v>93</v>
      </c>
      <c r="G123">
        <v>6</v>
      </c>
      <c r="H123" s="32" t="str">
        <f t="shared" si="3"/>
        <v>OK</v>
      </c>
      <c r="I123" s="30">
        <v>17800.97</v>
      </c>
      <c r="J123" s="33" t="str">
        <f t="shared" si="4"/>
        <v>OK</v>
      </c>
      <c r="K123" s="30">
        <v>13553.59</v>
      </c>
      <c r="L123" t="s">
        <v>22</v>
      </c>
      <c r="M123" s="31" t="str">
        <f t="shared" si="5"/>
        <v>OK</v>
      </c>
    </row>
    <row r="124" spans="1:13">
      <c r="A124" t="s">
        <v>714</v>
      </c>
      <c r="B124" s="1">
        <v>45690</v>
      </c>
      <c r="C124" t="s">
        <v>67</v>
      </c>
      <c r="D124" t="s">
        <v>63</v>
      </c>
      <c r="E124" t="s">
        <v>36</v>
      </c>
      <c r="F124" t="s">
        <v>1614</v>
      </c>
      <c r="G124">
        <v>6</v>
      </c>
      <c r="H124" s="32" t="str">
        <f t="shared" si="3"/>
        <v>OK</v>
      </c>
      <c r="I124" s="30">
        <v>-718.66</v>
      </c>
      <c r="J124" s="33" t="str">
        <f t="shared" si="4"/>
        <v>Negative Sales</v>
      </c>
      <c r="K124" s="30">
        <v>883.05</v>
      </c>
      <c r="L124" t="s">
        <v>28</v>
      </c>
      <c r="M124" s="31" t="str">
        <f t="shared" si="5"/>
        <v>Sales &lt; Cost</v>
      </c>
    </row>
    <row r="125" spans="1:13">
      <c r="A125" t="s">
        <v>1070</v>
      </c>
      <c r="B125" s="1">
        <v>45691</v>
      </c>
      <c r="C125" t="s">
        <v>85</v>
      </c>
      <c r="D125" t="s">
        <v>31</v>
      </c>
      <c r="E125" t="s">
        <v>32</v>
      </c>
      <c r="F125" t="s">
        <v>1616</v>
      </c>
      <c r="G125">
        <v>2</v>
      </c>
      <c r="H125" s="32" t="str">
        <f t="shared" si="3"/>
        <v>OK</v>
      </c>
      <c r="I125" s="30">
        <v>532.19000000000005</v>
      </c>
      <c r="J125" s="33" t="str">
        <f t="shared" si="4"/>
        <v>OK</v>
      </c>
      <c r="K125" s="30">
        <v>455.01</v>
      </c>
      <c r="L125" t="s">
        <v>71</v>
      </c>
      <c r="M125" s="31" t="str">
        <f t="shared" si="5"/>
        <v>OK</v>
      </c>
    </row>
    <row r="126" spans="1:13">
      <c r="A126" t="s">
        <v>185</v>
      </c>
      <c r="B126" s="1">
        <v>45692</v>
      </c>
      <c r="C126" t="s">
        <v>40</v>
      </c>
      <c r="D126" t="s">
        <v>12</v>
      </c>
      <c r="E126" t="s">
        <v>82</v>
      </c>
      <c r="F126" t="s">
        <v>137</v>
      </c>
      <c r="G126">
        <v>1</v>
      </c>
      <c r="H126" s="32" t="str">
        <f t="shared" si="3"/>
        <v>OK</v>
      </c>
      <c r="I126" s="30">
        <v>3156</v>
      </c>
      <c r="J126" s="33" t="str">
        <f t="shared" si="4"/>
        <v>OK</v>
      </c>
      <c r="K126" s="30">
        <v>2332.63</v>
      </c>
      <c r="L126" t="s">
        <v>38</v>
      </c>
      <c r="M126" s="31" t="str">
        <f t="shared" si="5"/>
        <v>OK</v>
      </c>
    </row>
    <row r="127" spans="1:13">
      <c r="A127" t="s">
        <v>310</v>
      </c>
      <c r="B127" s="1">
        <v>45692</v>
      </c>
      <c r="C127" t="s">
        <v>124</v>
      </c>
      <c r="D127" t="s">
        <v>19</v>
      </c>
      <c r="E127" t="s">
        <v>36</v>
      </c>
      <c r="F127" t="s">
        <v>1614</v>
      </c>
      <c r="G127">
        <v>6</v>
      </c>
      <c r="H127" s="32" t="str">
        <f t="shared" si="3"/>
        <v>OK</v>
      </c>
      <c r="I127" s="30">
        <v>5023.25</v>
      </c>
      <c r="J127" s="33" t="str">
        <f t="shared" si="4"/>
        <v>OK</v>
      </c>
      <c r="K127" s="30">
        <v>3852.05</v>
      </c>
      <c r="L127" t="s">
        <v>16</v>
      </c>
      <c r="M127" s="31" t="str">
        <f t="shared" si="5"/>
        <v>OK</v>
      </c>
    </row>
    <row r="128" spans="1:13">
      <c r="A128" t="s">
        <v>559</v>
      </c>
      <c r="B128" s="1">
        <v>45692</v>
      </c>
      <c r="C128" t="s">
        <v>35</v>
      </c>
      <c r="D128" t="s">
        <v>31</v>
      </c>
      <c r="E128" t="s">
        <v>20</v>
      </c>
      <c r="F128" t="s">
        <v>21</v>
      </c>
      <c r="G128">
        <v>2</v>
      </c>
      <c r="H128" s="32" t="str">
        <f t="shared" si="3"/>
        <v>OK</v>
      </c>
      <c r="I128" s="30">
        <v>1512.74</v>
      </c>
      <c r="J128" s="33" t="str">
        <f t="shared" si="4"/>
        <v>OK</v>
      </c>
      <c r="K128" s="30">
        <v>1251.0999999999999</v>
      </c>
      <c r="L128" t="s">
        <v>71</v>
      </c>
      <c r="M128" s="31" t="str">
        <f t="shared" si="5"/>
        <v>OK</v>
      </c>
    </row>
    <row r="129" spans="1:13">
      <c r="A129" t="s">
        <v>712</v>
      </c>
      <c r="B129" s="1">
        <v>45692</v>
      </c>
      <c r="C129" t="s">
        <v>220</v>
      </c>
      <c r="D129" t="s">
        <v>12</v>
      </c>
      <c r="E129" t="s">
        <v>36</v>
      </c>
      <c r="F129" t="s">
        <v>113</v>
      </c>
      <c r="G129">
        <v>1</v>
      </c>
      <c r="H129" s="32" t="str">
        <f t="shared" si="3"/>
        <v>OK</v>
      </c>
      <c r="I129" s="30">
        <v>5383.37</v>
      </c>
      <c r="J129" s="33" t="str">
        <f t="shared" si="4"/>
        <v>OK</v>
      </c>
      <c r="K129" s="30">
        <v>3031.61</v>
      </c>
      <c r="L129" t="s">
        <v>16</v>
      </c>
      <c r="M129" s="31" t="str">
        <f t="shared" si="5"/>
        <v>OK</v>
      </c>
    </row>
    <row r="130" spans="1:13">
      <c r="A130" t="s">
        <v>1074</v>
      </c>
      <c r="B130" s="1">
        <v>45692</v>
      </c>
      <c r="C130" t="s">
        <v>135</v>
      </c>
      <c r="D130" t="s">
        <v>63</v>
      </c>
      <c r="E130" t="s">
        <v>36</v>
      </c>
      <c r="F130" t="s">
        <v>46</v>
      </c>
      <c r="G130">
        <v>4</v>
      </c>
      <c r="H130" s="32" t="str">
        <f t="shared" ref="H130:H193" si="6">IF(G130="","Blank",IF(G130&lt;0,"Negative Quantity",IF(G130=0,"Zero Quantity",IF(G130&gt;0,"OK",""))))</f>
        <v>OK</v>
      </c>
      <c r="I130" s="30">
        <v>14212.61</v>
      </c>
      <c r="J130" s="33" t="str">
        <f t="shared" ref="J130:J193" si="7">IF(I130="","Missing Sales",IF(I130&lt;0,"Negative Sales","OK"))</f>
        <v>OK</v>
      </c>
      <c r="K130" s="30">
        <v>9535.08</v>
      </c>
      <c r="L130" t="s">
        <v>28</v>
      </c>
      <c r="M130" s="31" t="str">
        <f t="shared" ref="M130:M193" si="8">IF(OR(I130="",K130=""),"Missing Data",IF(I130&lt;K130,"Sales &lt; Cost","OK"))</f>
        <v>OK</v>
      </c>
    </row>
    <row r="131" spans="1:13">
      <c r="A131" t="s">
        <v>1451</v>
      </c>
      <c r="B131" s="1">
        <v>45692</v>
      </c>
      <c r="C131" t="s">
        <v>115</v>
      </c>
      <c r="D131" t="s">
        <v>12</v>
      </c>
      <c r="E131" t="s">
        <v>36</v>
      </c>
      <c r="F131" t="s">
        <v>113</v>
      </c>
      <c r="G131">
        <v>4</v>
      </c>
      <c r="H131" s="32" t="str">
        <f t="shared" si="6"/>
        <v>OK</v>
      </c>
      <c r="I131" s="30">
        <v>16364.73</v>
      </c>
      <c r="J131" s="33" t="str">
        <f t="shared" si="7"/>
        <v>OK</v>
      </c>
      <c r="K131" s="30">
        <v>9680.9500000000007</v>
      </c>
      <c r="L131" t="s">
        <v>38</v>
      </c>
      <c r="M131" s="31" t="str">
        <f t="shared" si="8"/>
        <v>OK</v>
      </c>
    </row>
    <row r="132" spans="1:13">
      <c r="A132" t="s">
        <v>641</v>
      </c>
      <c r="B132" s="1">
        <v>45693</v>
      </c>
      <c r="C132" t="s">
        <v>117</v>
      </c>
      <c r="D132" t="s">
        <v>31</v>
      </c>
      <c r="E132" t="s">
        <v>36</v>
      </c>
      <c r="F132" t="s">
        <v>46</v>
      </c>
      <c r="G132">
        <v>2</v>
      </c>
      <c r="H132" s="32" t="str">
        <f t="shared" si="6"/>
        <v>OK</v>
      </c>
      <c r="I132" s="30">
        <v>12446.13</v>
      </c>
      <c r="J132" s="33" t="str">
        <f t="shared" si="7"/>
        <v>OK</v>
      </c>
      <c r="K132" s="30">
        <v>7811.41</v>
      </c>
      <c r="L132" t="s">
        <v>16</v>
      </c>
      <c r="M132" s="31" t="str">
        <f t="shared" si="8"/>
        <v>OK</v>
      </c>
    </row>
    <row r="133" spans="1:13">
      <c r="A133" t="s">
        <v>738</v>
      </c>
      <c r="B133" s="1">
        <v>45693</v>
      </c>
      <c r="C133" t="s">
        <v>119</v>
      </c>
      <c r="D133" t="s">
        <v>63</v>
      </c>
      <c r="E133" t="s">
        <v>36</v>
      </c>
      <c r="F133" t="s">
        <v>37</v>
      </c>
      <c r="G133">
        <v>7</v>
      </c>
      <c r="H133" s="32" t="str">
        <f t="shared" si="6"/>
        <v>OK</v>
      </c>
      <c r="I133" s="30">
        <v>9876.85</v>
      </c>
      <c r="J133" s="33" t="str">
        <f t="shared" si="7"/>
        <v>OK</v>
      </c>
      <c r="K133" s="30">
        <v>7565.59</v>
      </c>
      <c r="L133" t="s">
        <v>28</v>
      </c>
      <c r="M133" s="31" t="str">
        <f t="shared" si="8"/>
        <v>OK</v>
      </c>
    </row>
    <row r="134" spans="1:13">
      <c r="A134" t="s">
        <v>419</v>
      </c>
      <c r="B134" s="1">
        <v>45694</v>
      </c>
      <c r="C134" t="s">
        <v>30</v>
      </c>
      <c r="D134" t="s">
        <v>31</v>
      </c>
      <c r="E134" t="s">
        <v>20</v>
      </c>
      <c r="F134" t="s">
        <v>14</v>
      </c>
      <c r="G134">
        <v>1</v>
      </c>
      <c r="H134" s="32" t="str">
        <f t="shared" si="6"/>
        <v>OK</v>
      </c>
      <c r="I134" s="30">
        <v>1759.18</v>
      </c>
      <c r="J134" s="33" t="str">
        <f t="shared" si="7"/>
        <v>OK</v>
      </c>
      <c r="K134" s="30">
        <v>1493.17</v>
      </c>
      <c r="L134" t="s">
        <v>22</v>
      </c>
      <c r="M134" s="31" t="str">
        <f t="shared" si="8"/>
        <v>OK</v>
      </c>
    </row>
    <row r="135" spans="1:13">
      <c r="A135" t="s">
        <v>256</v>
      </c>
      <c r="B135" s="1">
        <v>45695</v>
      </c>
      <c r="C135" t="s">
        <v>220</v>
      </c>
      <c r="D135" t="s">
        <v>12</v>
      </c>
      <c r="E135" t="s">
        <v>82</v>
      </c>
      <c r="F135" t="s">
        <v>137</v>
      </c>
      <c r="G135">
        <v>-1</v>
      </c>
      <c r="H135" s="32" t="str">
        <f t="shared" si="6"/>
        <v>Negative Quantity</v>
      </c>
      <c r="I135" s="30">
        <v>5049.95</v>
      </c>
      <c r="J135" s="33" t="str">
        <f t="shared" si="7"/>
        <v>OK</v>
      </c>
      <c r="K135" s="30">
        <v>3880.92</v>
      </c>
      <c r="L135" t="s">
        <v>38</v>
      </c>
      <c r="M135" s="31" t="str">
        <f t="shared" si="8"/>
        <v>OK</v>
      </c>
    </row>
    <row r="136" spans="1:13">
      <c r="A136" t="s">
        <v>642</v>
      </c>
      <c r="B136" s="1">
        <v>45695</v>
      </c>
      <c r="C136" t="s">
        <v>67</v>
      </c>
      <c r="D136" t="s">
        <v>31</v>
      </c>
      <c r="E136" t="s">
        <v>26</v>
      </c>
      <c r="F136" t="s">
        <v>103</v>
      </c>
      <c r="H136" s="32" t="str">
        <f t="shared" si="6"/>
        <v>Blank</v>
      </c>
      <c r="I136" s="30">
        <v>1120.9100000000001</v>
      </c>
      <c r="J136" s="33" t="str">
        <f t="shared" si="7"/>
        <v>OK</v>
      </c>
      <c r="K136" s="30">
        <v>757.06</v>
      </c>
      <c r="L136" t="s">
        <v>71</v>
      </c>
      <c r="M136" s="31" t="str">
        <f t="shared" si="8"/>
        <v>OK</v>
      </c>
    </row>
    <row r="137" spans="1:13">
      <c r="A137" t="s">
        <v>1297</v>
      </c>
      <c r="B137" s="1">
        <v>45695</v>
      </c>
      <c r="C137" t="s">
        <v>231</v>
      </c>
      <c r="D137" t="s">
        <v>19</v>
      </c>
      <c r="E137" t="s">
        <v>82</v>
      </c>
      <c r="F137" t="s">
        <v>109</v>
      </c>
      <c r="G137">
        <v>8</v>
      </c>
      <c r="H137" s="32" t="str">
        <f t="shared" si="6"/>
        <v>OK</v>
      </c>
      <c r="I137" s="30">
        <v>6638.56</v>
      </c>
      <c r="J137" s="33" t="str">
        <f t="shared" si="7"/>
        <v>OK</v>
      </c>
      <c r="K137" s="30">
        <v>5814.88</v>
      </c>
      <c r="L137" t="s">
        <v>22</v>
      </c>
      <c r="M137" s="31" t="str">
        <f t="shared" si="8"/>
        <v>OK</v>
      </c>
    </row>
    <row r="138" spans="1:13">
      <c r="A138" t="s">
        <v>366</v>
      </c>
      <c r="B138" s="1">
        <v>45696</v>
      </c>
      <c r="C138" t="s">
        <v>59</v>
      </c>
      <c r="D138" t="s">
        <v>31</v>
      </c>
      <c r="E138" t="s">
        <v>20</v>
      </c>
      <c r="F138" t="s">
        <v>91</v>
      </c>
      <c r="G138">
        <v>3</v>
      </c>
      <c r="H138" s="32" t="str">
        <f t="shared" si="6"/>
        <v>OK</v>
      </c>
      <c r="I138" s="30">
        <v>5732.11</v>
      </c>
      <c r="J138" s="33" t="str">
        <f t="shared" si="7"/>
        <v>OK</v>
      </c>
      <c r="K138" s="30">
        <v>4340.49</v>
      </c>
      <c r="L138" t="s">
        <v>28</v>
      </c>
      <c r="M138" s="31" t="str">
        <f t="shared" si="8"/>
        <v>OK</v>
      </c>
    </row>
    <row r="139" spans="1:13">
      <c r="A139" t="s">
        <v>579</v>
      </c>
      <c r="B139" s="1">
        <v>45697</v>
      </c>
      <c r="C139" t="s">
        <v>51</v>
      </c>
      <c r="D139" t="s">
        <v>12</v>
      </c>
      <c r="E139" t="s">
        <v>32</v>
      </c>
      <c r="F139" t="s">
        <v>52</v>
      </c>
      <c r="G139">
        <v>1</v>
      </c>
      <c r="H139" s="32" t="str">
        <f t="shared" si="6"/>
        <v>OK</v>
      </c>
      <c r="I139" s="30">
        <v>1757.98</v>
      </c>
      <c r="J139" s="33" t="str">
        <f t="shared" si="7"/>
        <v>OK</v>
      </c>
      <c r="K139" s="30">
        <v>1055.94</v>
      </c>
      <c r="L139" t="s">
        <v>22</v>
      </c>
      <c r="M139" s="31" t="str">
        <f t="shared" si="8"/>
        <v>OK</v>
      </c>
    </row>
    <row r="140" spans="1:13">
      <c r="A140" t="s">
        <v>1219</v>
      </c>
      <c r="B140" s="1">
        <v>45697</v>
      </c>
      <c r="C140" t="s">
        <v>133</v>
      </c>
      <c r="D140" t="s">
        <v>31</v>
      </c>
      <c r="E140" t="s">
        <v>20</v>
      </c>
      <c r="F140" t="s">
        <v>91</v>
      </c>
      <c r="G140">
        <v>6</v>
      </c>
      <c r="H140" s="32" t="str">
        <f t="shared" si="6"/>
        <v>OK</v>
      </c>
      <c r="I140" s="30">
        <v>4860.97</v>
      </c>
      <c r="J140" s="33" t="str">
        <f t="shared" si="7"/>
        <v>OK</v>
      </c>
      <c r="K140" s="30">
        <v>2950.89</v>
      </c>
      <c r="L140" t="s">
        <v>38</v>
      </c>
      <c r="M140" s="31" t="str">
        <f t="shared" si="8"/>
        <v>OK</v>
      </c>
    </row>
    <row r="141" spans="1:13">
      <c r="A141" t="s">
        <v>1527</v>
      </c>
      <c r="B141" s="1">
        <v>45697</v>
      </c>
      <c r="C141" t="s">
        <v>135</v>
      </c>
      <c r="D141" t="s">
        <v>19</v>
      </c>
      <c r="E141" t="s">
        <v>26</v>
      </c>
      <c r="F141" t="s">
        <v>131</v>
      </c>
      <c r="G141">
        <v>1</v>
      </c>
      <c r="H141" s="32" t="str">
        <f t="shared" si="6"/>
        <v>OK</v>
      </c>
      <c r="I141" s="30">
        <v>3050.57</v>
      </c>
      <c r="J141" s="33" t="str">
        <f t="shared" si="7"/>
        <v>OK</v>
      </c>
      <c r="K141" s="30">
        <v>2662.4</v>
      </c>
      <c r="L141" t="s">
        <v>71</v>
      </c>
      <c r="M141" s="31" t="str">
        <f t="shared" si="8"/>
        <v>OK</v>
      </c>
    </row>
    <row r="142" spans="1:13">
      <c r="A142" t="s">
        <v>1600</v>
      </c>
      <c r="B142" s="1">
        <v>45697</v>
      </c>
      <c r="C142" t="s">
        <v>59</v>
      </c>
      <c r="D142" t="s">
        <v>12</v>
      </c>
      <c r="E142" t="s">
        <v>82</v>
      </c>
      <c r="F142" t="s">
        <v>97</v>
      </c>
      <c r="G142">
        <v>8</v>
      </c>
      <c r="H142" s="32" t="str">
        <f t="shared" si="6"/>
        <v>OK</v>
      </c>
      <c r="I142" s="30">
        <v>3550.95</v>
      </c>
      <c r="J142" s="33" t="str">
        <f t="shared" si="7"/>
        <v>OK</v>
      </c>
      <c r="K142" s="30">
        <v>2717.87</v>
      </c>
      <c r="L142" t="s">
        <v>28</v>
      </c>
      <c r="M142" s="31" t="str">
        <f t="shared" si="8"/>
        <v>OK</v>
      </c>
    </row>
    <row r="143" spans="1:13">
      <c r="A143" t="s">
        <v>229</v>
      </c>
      <c r="B143" s="1">
        <v>45698</v>
      </c>
      <c r="C143" t="s">
        <v>74</v>
      </c>
      <c r="D143" t="s">
        <v>63</v>
      </c>
      <c r="E143" t="s">
        <v>20</v>
      </c>
      <c r="F143" t="s">
        <v>91</v>
      </c>
      <c r="G143">
        <v>6</v>
      </c>
      <c r="H143" s="32" t="str">
        <f t="shared" si="6"/>
        <v>OK</v>
      </c>
      <c r="I143" s="30">
        <v>795.33</v>
      </c>
      <c r="J143" s="33" t="str">
        <f t="shared" si="7"/>
        <v>OK</v>
      </c>
      <c r="K143" s="30">
        <v>552.15</v>
      </c>
      <c r="L143" t="s">
        <v>16</v>
      </c>
      <c r="M143" s="31" t="str">
        <f t="shared" si="8"/>
        <v>OK</v>
      </c>
    </row>
    <row r="144" spans="1:13">
      <c r="A144" t="s">
        <v>794</v>
      </c>
      <c r="B144" s="1">
        <v>45698</v>
      </c>
      <c r="C144" t="s">
        <v>67</v>
      </c>
      <c r="D144" t="s">
        <v>19</v>
      </c>
      <c r="E144" t="s">
        <v>32</v>
      </c>
      <c r="F144" t="s">
        <v>33</v>
      </c>
      <c r="G144">
        <v>8</v>
      </c>
      <c r="H144" s="32" t="str">
        <f t="shared" si="6"/>
        <v>OK</v>
      </c>
      <c r="I144" s="30">
        <v>890.9</v>
      </c>
      <c r="J144" s="33" t="str">
        <f t="shared" si="7"/>
        <v>OK</v>
      </c>
      <c r="K144" s="30">
        <v>779.34</v>
      </c>
      <c r="L144" t="s">
        <v>22</v>
      </c>
      <c r="M144" s="31" t="str">
        <f t="shared" si="8"/>
        <v>OK</v>
      </c>
    </row>
    <row r="145" spans="1:13">
      <c r="A145" t="s">
        <v>1184</v>
      </c>
      <c r="B145" s="1">
        <v>45698</v>
      </c>
      <c r="C145" t="s">
        <v>119</v>
      </c>
      <c r="D145" t="s">
        <v>63</v>
      </c>
      <c r="E145" t="s">
        <v>20</v>
      </c>
      <c r="F145" t="s">
        <v>21</v>
      </c>
      <c r="G145">
        <v>7</v>
      </c>
      <c r="H145" s="32" t="str">
        <f t="shared" si="6"/>
        <v>OK</v>
      </c>
      <c r="I145" s="30">
        <v>3939.28</v>
      </c>
      <c r="J145" s="33" t="str">
        <f t="shared" si="7"/>
        <v>OK</v>
      </c>
      <c r="K145" s="30">
        <v>2838.18</v>
      </c>
      <c r="L145" t="s">
        <v>38</v>
      </c>
      <c r="M145" s="31" t="str">
        <f t="shared" si="8"/>
        <v>OK</v>
      </c>
    </row>
    <row r="146" spans="1:13">
      <c r="A146" t="s">
        <v>1234</v>
      </c>
      <c r="B146" s="1">
        <v>45698</v>
      </c>
      <c r="C146" t="s">
        <v>119</v>
      </c>
      <c r="D146" t="s">
        <v>57</v>
      </c>
      <c r="E146" t="s">
        <v>20</v>
      </c>
      <c r="F146" t="s">
        <v>196</v>
      </c>
      <c r="G146">
        <v>7</v>
      </c>
      <c r="H146" s="32" t="str">
        <f t="shared" si="6"/>
        <v>OK</v>
      </c>
      <c r="I146" s="30">
        <v>4487.4399999999996</v>
      </c>
      <c r="J146" s="33" t="str">
        <f t="shared" si="7"/>
        <v>OK</v>
      </c>
      <c r="K146" s="30">
        <v>2929.32</v>
      </c>
      <c r="L146" t="s">
        <v>71</v>
      </c>
      <c r="M146" s="31" t="str">
        <f t="shared" si="8"/>
        <v>OK</v>
      </c>
    </row>
    <row r="147" spans="1:13">
      <c r="A147" t="s">
        <v>1595</v>
      </c>
      <c r="B147" s="1">
        <v>45698</v>
      </c>
      <c r="C147" t="s">
        <v>40</v>
      </c>
      <c r="D147" t="s">
        <v>57</v>
      </c>
      <c r="E147" t="s">
        <v>26</v>
      </c>
      <c r="F147" t="s">
        <v>103</v>
      </c>
      <c r="G147">
        <v>4</v>
      </c>
      <c r="H147" s="32" t="str">
        <f t="shared" si="6"/>
        <v>OK</v>
      </c>
      <c r="I147" s="30">
        <v>500.46</v>
      </c>
      <c r="J147" s="33" t="str">
        <f t="shared" si="7"/>
        <v>OK</v>
      </c>
      <c r="K147" s="30">
        <v>369.25</v>
      </c>
      <c r="L147" t="s">
        <v>28</v>
      </c>
      <c r="M147" s="31" t="str">
        <f t="shared" si="8"/>
        <v>OK</v>
      </c>
    </row>
    <row r="148" spans="1:13">
      <c r="A148" t="s">
        <v>980</v>
      </c>
      <c r="B148" s="1">
        <v>45699</v>
      </c>
      <c r="C148" t="s">
        <v>51</v>
      </c>
      <c r="D148" t="s">
        <v>31</v>
      </c>
      <c r="E148" t="s">
        <v>20</v>
      </c>
      <c r="F148" t="s">
        <v>91</v>
      </c>
      <c r="G148">
        <v>6</v>
      </c>
      <c r="H148" s="32" t="str">
        <f t="shared" si="6"/>
        <v>OK</v>
      </c>
      <c r="I148" s="30">
        <v>4546.68</v>
      </c>
      <c r="J148" s="33" t="str">
        <f t="shared" si="7"/>
        <v>OK</v>
      </c>
      <c r="K148" s="30">
        <v>2582.91</v>
      </c>
      <c r="L148" t="s">
        <v>22</v>
      </c>
      <c r="M148" s="31" t="str">
        <f t="shared" si="8"/>
        <v>OK</v>
      </c>
    </row>
    <row r="149" spans="1:13">
      <c r="A149" t="s">
        <v>1171</v>
      </c>
      <c r="B149" s="1">
        <v>45699</v>
      </c>
      <c r="C149" t="s">
        <v>35</v>
      </c>
      <c r="D149" t="s">
        <v>57</v>
      </c>
      <c r="E149" t="s">
        <v>26</v>
      </c>
      <c r="F149" t="s">
        <v>131</v>
      </c>
      <c r="G149">
        <v>3</v>
      </c>
      <c r="H149" s="32" t="str">
        <f t="shared" si="6"/>
        <v>OK</v>
      </c>
      <c r="I149" s="30">
        <v>1029.56</v>
      </c>
      <c r="J149" s="33" t="str">
        <f t="shared" si="7"/>
        <v>OK</v>
      </c>
      <c r="K149" s="30">
        <v>753.8</v>
      </c>
      <c r="L149" t="s">
        <v>71</v>
      </c>
      <c r="M149" s="31" t="str">
        <f t="shared" si="8"/>
        <v>OK</v>
      </c>
    </row>
    <row r="150" spans="1:13">
      <c r="A150" t="s">
        <v>233</v>
      </c>
      <c r="B150" s="1">
        <v>45700</v>
      </c>
      <c r="C150" t="s">
        <v>35</v>
      </c>
      <c r="D150" t="s">
        <v>57</v>
      </c>
      <c r="E150" t="s">
        <v>32</v>
      </c>
      <c r="F150" t="s">
        <v>33</v>
      </c>
      <c r="G150">
        <v>5</v>
      </c>
      <c r="H150" s="32" t="str">
        <f t="shared" si="6"/>
        <v>OK</v>
      </c>
      <c r="I150" s="30">
        <v>1756.01</v>
      </c>
      <c r="J150" s="33" t="str">
        <f t="shared" si="7"/>
        <v>OK</v>
      </c>
      <c r="K150" s="30">
        <v>1510.64</v>
      </c>
      <c r="L150" t="s">
        <v>71</v>
      </c>
      <c r="M150" s="31" t="str">
        <f t="shared" si="8"/>
        <v>OK</v>
      </c>
    </row>
    <row r="151" spans="1:13">
      <c r="A151" t="s">
        <v>301</v>
      </c>
      <c r="B151" s="1">
        <v>45700</v>
      </c>
      <c r="C151" t="s">
        <v>51</v>
      </c>
      <c r="D151" t="s">
        <v>31</v>
      </c>
      <c r="E151" t="s">
        <v>20</v>
      </c>
      <c r="F151" t="s">
        <v>21</v>
      </c>
      <c r="G151">
        <v>5</v>
      </c>
      <c r="H151" s="32" t="str">
        <f t="shared" si="6"/>
        <v>OK</v>
      </c>
      <c r="I151" s="30">
        <v>934.62</v>
      </c>
      <c r="J151" s="33" t="str">
        <f t="shared" si="7"/>
        <v>OK</v>
      </c>
      <c r="K151" s="30">
        <v>798.08</v>
      </c>
      <c r="L151" t="s">
        <v>71</v>
      </c>
      <c r="M151" s="31" t="str">
        <f t="shared" si="8"/>
        <v>OK</v>
      </c>
    </row>
    <row r="152" spans="1:13">
      <c r="A152" t="s">
        <v>399</v>
      </c>
      <c r="B152" s="1">
        <v>45700</v>
      </c>
      <c r="C152" t="s">
        <v>30</v>
      </c>
      <c r="D152" t="s">
        <v>19</v>
      </c>
      <c r="E152" t="s">
        <v>36</v>
      </c>
      <c r="F152" t="s">
        <v>1614</v>
      </c>
      <c r="G152">
        <v>5</v>
      </c>
      <c r="H152" s="32" t="str">
        <f t="shared" si="6"/>
        <v>OK</v>
      </c>
      <c r="I152" s="30">
        <v>15308.52</v>
      </c>
      <c r="J152" s="33" t="str">
        <f t="shared" si="7"/>
        <v>OK</v>
      </c>
      <c r="K152" s="30">
        <v>11010.21</v>
      </c>
      <c r="L152" t="s">
        <v>16</v>
      </c>
      <c r="M152" s="31" t="str">
        <f t="shared" si="8"/>
        <v>OK</v>
      </c>
    </row>
    <row r="153" spans="1:13">
      <c r="A153" t="s">
        <v>1198</v>
      </c>
      <c r="B153" s="1">
        <v>45700</v>
      </c>
      <c r="C153" t="s">
        <v>121</v>
      </c>
      <c r="D153" t="s">
        <v>31</v>
      </c>
      <c r="E153" t="s">
        <v>32</v>
      </c>
      <c r="F153" t="s">
        <v>33</v>
      </c>
      <c r="G153">
        <v>4</v>
      </c>
      <c r="H153" s="32" t="str">
        <f t="shared" si="6"/>
        <v>OK</v>
      </c>
      <c r="I153" s="30">
        <v>2000.63</v>
      </c>
      <c r="J153" s="33" t="str">
        <f t="shared" si="7"/>
        <v>OK</v>
      </c>
      <c r="K153" s="30">
        <v>1194.3399999999999</v>
      </c>
      <c r="L153" t="s">
        <v>38</v>
      </c>
      <c r="M153" s="31" t="str">
        <f t="shared" si="8"/>
        <v>OK</v>
      </c>
    </row>
    <row r="154" spans="1:13">
      <c r="A154" t="s">
        <v>1359</v>
      </c>
      <c r="B154" s="1">
        <v>45700</v>
      </c>
      <c r="C154" t="s">
        <v>85</v>
      </c>
      <c r="D154" t="s">
        <v>57</v>
      </c>
      <c r="E154" t="s">
        <v>32</v>
      </c>
      <c r="F154" t="s">
        <v>180</v>
      </c>
      <c r="G154">
        <v>7</v>
      </c>
      <c r="H154" s="32" t="str">
        <f t="shared" si="6"/>
        <v>OK</v>
      </c>
      <c r="I154" s="30">
        <v>2216.54</v>
      </c>
      <c r="J154" s="33" t="str">
        <f t="shared" si="7"/>
        <v>OK</v>
      </c>
      <c r="K154" s="30">
        <v>1436.81</v>
      </c>
      <c r="L154" t="s">
        <v>38</v>
      </c>
      <c r="M154" s="31" t="str">
        <f t="shared" si="8"/>
        <v>OK</v>
      </c>
    </row>
    <row r="155" spans="1:13">
      <c r="A155" t="s">
        <v>329</v>
      </c>
      <c r="B155" s="1">
        <v>45701</v>
      </c>
      <c r="C155" t="s">
        <v>18</v>
      </c>
      <c r="D155" t="s">
        <v>12</v>
      </c>
      <c r="E155" t="s">
        <v>26</v>
      </c>
      <c r="F155" t="s">
        <v>103</v>
      </c>
      <c r="G155">
        <v>2</v>
      </c>
      <c r="H155" s="32" t="str">
        <f t="shared" si="6"/>
        <v>OK</v>
      </c>
      <c r="I155" s="30">
        <v>2653.64</v>
      </c>
      <c r="J155" s="33" t="str">
        <f t="shared" si="7"/>
        <v>OK</v>
      </c>
      <c r="K155" s="30">
        <v>1672.34</v>
      </c>
      <c r="L155" t="s">
        <v>38</v>
      </c>
      <c r="M155" s="31" t="str">
        <f t="shared" si="8"/>
        <v>OK</v>
      </c>
    </row>
    <row r="156" spans="1:13">
      <c r="A156" t="s">
        <v>1167</v>
      </c>
      <c r="B156" s="1">
        <v>45701</v>
      </c>
      <c r="C156" t="s">
        <v>40</v>
      </c>
      <c r="D156" t="s">
        <v>19</v>
      </c>
      <c r="E156" t="s">
        <v>32</v>
      </c>
      <c r="F156" t="s">
        <v>33</v>
      </c>
      <c r="G156">
        <v>4</v>
      </c>
      <c r="H156" s="32" t="str">
        <f t="shared" si="6"/>
        <v>OK</v>
      </c>
      <c r="I156" s="30">
        <v>1515.51</v>
      </c>
      <c r="J156" s="33" t="str">
        <f t="shared" si="7"/>
        <v>OK</v>
      </c>
      <c r="K156" s="30">
        <v>918.34</v>
      </c>
      <c r="L156" t="s">
        <v>28</v>
      </c>
      <c r="M156" s="31" t="str">
        <f t="shared" si="8"/>
        <v>OK</v>
      </c>
    </row>
    <row r="157" spans="1:13">
      <c r="A157" t="s">
        <v>1421</v>
      </c>
      <c r="B157" s="1">
        <v>45701</v>
      </c>
      <c r="C157" t="s">
        <v>30</v>
      </c>
      <c r="D157" t="s">
        <v>12</v>
      </c>
      <c r="E157" t="s">
        <v>82</v>
      </c>
      <c r="F157" t="s">
        <v>83</v>
      </c>
      <c r="G157">
        <v>6</v>
      </c>
      <c r="H157" s="32" t="str">
        <f t="shared" si="6"/>
        <v>OK</v>
      </c>
      <c r="I157" s="30">
        <v>3051.87</v>
      </c>
      <c r="J157" s="33" t="str">
        <f t="shared" si="7"/>
        <v>OK</v>
      </c>
      <c r="K157" s="30">
        <v>1723.83</v>
      </c>
      <c r="L157" t="s">
        <v>16</v>
      </c>
      <c r="M157" s="31" t="str">
        <f t="shared" si="8"/>
        <v>OK</v>
      </c>
    </row>
    <row r="158" spans="1:13">
      <c r="A158" t="s">
        <v>376</v>
      </c>
      <c r="B158" s="1">
        <v>45702</v>
      </c>
      <c r="C158" t="s">
        <v>54</v>
      </c>
      <c r="D158" t="s">
        <v>57</v>
      </c>
      <c r="E158" t="s">
        <v>26</v>
      </c>
      <c r="F158" t="s">
        <v>131</v>
      </c>
      <c r="G158">
        <v>8</v>
      </c>
      <c r="H158" s="32" t="str">
        <f t="shared" si="6"/>
        <v>OK</v>
      </c>
      <c r="I158" s="30">
        <v>669.56</v>
      </c>
      <c r="J158" s="33" t="str">
        <f t="shared" si="7"/>
        <v>OK</v>
      </c>
      <c r="K158" s="30">
        <v>412.33</v>
      </c>
      <c r="L158" t="s">
        <v>38</v>
      </c>
      <c r="M158" s="31" t="str">
        <f t="shared" si="8"/>
        <v>OK</v>
      </c>
    </row>
    <row r="159" spans="1:13">
      <c r="A159" t="s">
        <v>411</v>
      </c>
      <c r="B159" s="1">
        <v>45702</v>
      </c>
      <c r="C159" t="s">
        <v>1617</v>
      </c>
      <c r="D159" t="s">
        <v>12</v>
      </c>
      <c r="E159" t="s">
        <v>36</v>
      </c>
      <c r="F159" t="s">
        <v>46</v>
      </c>
      <c r="G159">
        <v>5</v>
      </c>
      <c r="H159" s="32" t="str">
        <f t="shared" si="6"/>
        <v>OK</v>
      </c>
      <c r="I159" s="30">
        <v>14232.41</v>
      </c>
      <c r="J159" s="33" t="str">
        <f t="shared" si="7"/>
        <v>OK</v>
      </c>
      <c r="K159" s="30">
        <v>9486.36</v>
      </c>
      <c r="L159" t="s">
        <v>28</v>
      </c>
      <c r="M159" s="31" t="str">
        <f t="shared" si="8"/>
        <v>OK</v>
      </c>
    </row>
    <row r="160" spans="1:13">
      <c r="A160" t="s">
        <v>424</v>
      </c>
      <c r="B160" s="1">
        <v>45702</v>
      </c>
      <c r="C160" t="s">
        <v>40</v>
      </c>
      <c r="D160" t="s">
        <v>63</v>
      </c>
      <c r="E160" t="s">
        <v>26</v>
      </c>
      <c r="F160" t="s">
        <v>27</v>
      </c>
      <c r="G160">
        <v>2</v>
      </c>
      <c r="H160" s="32" t="str">
        <f t="shared" si="6"/>
        <v>OK</v>
      </c>
      <c r="I160" s="30">
        <v>426.37</v>
      </c>
      <c r="J160" s="33" t="str">
        <f t="shared" si="7"/>
        <v>OK</v>
      </c>
      <c r="K160" s="30">
        <v>346.25</v>
      </c>
      <c r="L160" t="s">
        <v>38</v>
      </c>
      <c r="M160" s="31" t="str">
        <f t="shared" si="8"/>
        <v>OK</v>
      </c>
    </row>
    <row r="161" spans="1:13">
      <c r="A161" t="s">
        <v>1283</v>
      </c>
      <c r="B161" s="1">
        <v>45702</v>
      </c>
      <c r="C161" t="s">
        <v>220</v>
      </c>
      <c r="D161" t="s">
        <v>19</v>
      </c>
      <c r="E161" t="s">
        <v>36</v>
      </c>
      <c r="F161" t="s">
        <v>46</v>
      </c>
      <c r="G161">
        <v>3</v>
      </c>
      <c r="H161" s="32" t="str">
        <f t="shared" si="6"/>
        <v>OK</v>
      </c>
      <c r="I161" s="30">
        <v>8269.75</v>
      </c>
      <c r="J161" s="33" t="str">
        <f t="shared" si="7"/>
        <v>OK</v>
      </c>
      <c r="K161" s="30">
        <v>6068.38</v>
      </c>
      <c r="L161" t="s">
        <v>38</v>
      </c>
      <c r="M161" s="31" t="str">
        <f t="shared" si="8"/>
        <v>OK</v>
      </c>
    </row>
    <row r="162" spans="1:13">
      <c r="A162" t="s">
        <v>570</v>
      </c>
      <c r="B162" s="1">
        <v>45703</v>
      </c>
      <c r="C162" t="s">
        <v>74</v>
      </c>
      <c r="D162" t="s">
        <v>12</v>
      </c>
      <c r="E162" t="s">
        <v>82</v>
      </c>
      <c r="F162" t="s">
        <v>83</v>
      </c>
      <c r="G162">
        <v>1</v>
      </c>
      <c r="H162" s="32" t="str">
        <f t="shared" si="6"/>
        <v>OK</v>
      </c>
      <c r="I162" s="30">
        <v>3102.44</v>
      </c>
      <c r="J162" s="33" t="str">
        <f t="shared" si="7"/>
        <v>OK</v>
      </c>
      <c r="K162" s="30">
        <v>2642.52</v>
      </c>
      <c r="L162" t="s">
        <v>28</v>
      </c>
      <c r="M162" s="31" t="str">
        <f t="shared" si="8"/>
        <v>OK</v>
      </c>
    </row>
    <row r="163" spans="1:13">
      <c r="A163" t="s">
        <v>1124</v>
      </c>
      <c r="B163" s="1">
        <v>45703</v>
      </c>
      <c r="C163" t="s">
        <v>162</v>
      </c>
      <c r="D163" t="s">
        <v>19</v>
      </c>
      <c r="E163" t="s">
        <v>32</v>
      </c>
      <c r="F163" t="s">
        <v>52</v>
      </c>
      <c r="G163">
        <v>6</v>
      </c>
      <c r="H163" s="32" t="str">
        <f t="shared" si="6"/>
        <v>OK</v>
      </c>
      <c r="I163" s="30">
        <v>1833.59</v>
      </c>
      <c r="J163" s="33" t="str">
        <f t="shared" si="7"/>
        <v>OK</v>
      </c>
      <c r="K163" s="30">
        <v>1270.43</v>
      </c>
      <c r="L163" t="s">
        <v>22</v>
      </c>
      <c r="M163" s="31" t="str">
        <f t="shared" si="8"/>
        <v>OK</v>
      </c>
    </row>
    <row r="164" spans="1:13">
      <c r="A164" t="s">
        <v>151</v>
      </c>
      <c r="B164" s="1">
        <v>45704</v>
      </c>
      <c r="C164" t="s">
        <v>70</v>
      </c>
      <c r="D164" t="s">
        <v>31</v>
      </c>
      <c r="E164" t="s">
        <v>82</v>
      </c>
      <c r="F164" t="s">
        <v>97</v>
      </c>
      <c r="G164">
        <v>4</v>
      </c>
      <c r="H164" s="32" t="str">
        <f t="shared" si="6"/>
        <v>OK</v>
      </c>
      <c r="I164" s="30">
        <v>3250.78</v>
      </c>
      <c r="J164" s="33" t="str">
        <f t="shared" si="7"/>
        <v>OK</v>
      </c>
      <c r="K164" s="30">
        <v>2631.51</v>
      </c>
      <c r="L164" t="s">
        <v>71</v>
      </c>
      <c r="M164" s="31" t="str">
        <f t="shared" si="8"/>
        <v>OK</v>
      </c>
    </row>
    <row r="165" spans="1:13">
      <c r="A165" t="s">
        <v>265</v>
      </c>
      <c r="B165" s="1">
        <v>45704</v>
      </c>
      <c r="C165" t="s">
        <v>70</v>
      </c>
      <c r="D165" t="s">
        <v>31</v>
      </c>
      <c r="E165" t="s">
        <v>36</v>
      </c>
      <c r="F165" t="s">
        <v>42</v>
      </c>
      <c r="G165">
        <v>5</v>
      </c>
      <c r="H165" s="32" t="str">
        <f t="shared" si="6"/>
        <v>OK</v>
      </c>
      <c r="I165" s="30">
        <v>11951.72</v>
      </c>
      <c r="J165" s="33" t="str">
        <f t="shared" si="7"/>
        <v>OK</v>
      </c>
      <c r="K165" s="30">
        <v>10197.629999999999</v>
      </c>
      <c r="L165" t="s">
        <v>22</v>
      </c>
      <c r="M165" s="31" t="str">
        <f t="shared" si="8"/>
        <v>OK</v>
      </c>
    </row>
    <row r="166" spans="1:13">
      <c r="A166" t="s">
        <v>901</v>
      </c>
      <c r="B166" s="1">
        <v>45704</v>
      </c>
      <c r="C166" t="s">
        <v>56</v>
      </c>
      <c r="D166" t="s">
        <v>12</v>
      </c>
      <c r="E166" t="s">
        <v>20</v>
      </c>
      <c r="F166" t="s">
        <v>191</v>
      </c>
      <c r="G166">
        <v>5</v>
      </c>
      <c r="H166" s="32" t="str">
        <f t="shared" si="6"/>
        <v>OK</v>
      </c>
      <c r="I166" s="30">
        <v>2282.41</v>
      </c>
      <c r="J166" s="33" t="str">
        <f t="shared" si="7"/>
        <v>OK</v>
      </c>
      <c r="K166" s="30">
        <v>1743.83</v>
      </c>
      <c r="L166" t="s">
        <v>71</v>
      </c>
      <c r="M166" s="31" t="str">
        <f t="shared" si="8"/>
        <v>OK</v>
      </c>
    </row>
    <row r="167" spans="1:13">
      <c r="A167" t="s">
        <v>326</v>
      </c>
      <c r="B167" s="1">
        <v>45705</v>
      </c>
      <c r="C167" t="s">
        <v>35</v>
      </c>
      <c r="D167" t="s">
        <v>19</v>
      </c>
      <c r="E167" t="s">
        <v>82</v>
      </c>
      <c r="F167" t="s">
        <v>97</v>
      </c>
      <c r="G167">
        <v>3</v>
      </c>
      <c r="H167" s="32" t="str">
        <f t="shared" si="6"/>
        <v>OK</v>
      </c>
      <c r="J167" s="33" t="str">
        <f t="shared" si="7"/>
        <v>Missing Sales</v>
      </c>
      <c r="K167" s="30">
        <v>3193.34</v>
      </c>
      <c r="L167" t="s">
        <v>71</v>
      </c>
      <c r="M167" s="31" t="str">
        <f t="shared" si="8"/>
        <v>Missing Data</v>
      </c>
    </row>
    <row r="168" spans="1:13">
      <c r="A168" t="s">
        <v>666</v>
      </c>
      <c r="B168" s="1">
        <v>45705</v>
      </c>
      <c r="C168" t="s">
        <v>129</v>
      </c>
      <c r="D168" t="s">
        <v>31</v>
      </c>
      <c r="E168" t="s">
        <v>26</v>
      </c>
      <c r="F168" t="s">
        <v>103</v>
      </c>
      <c r="G168">
        <v>5</v>
      </c>
      <c r="H168" s="32" t="str">
        <f t="shared" si="6"/>
        <v>OK</v>
      </c>
      <c r="I168" s="30">
        <v>1944.34</v>
      </c>
      <c r="J168" s="33" t="str">
        <f t="shared" si="7"/>
        <v>OK</v>
      </c>
      <c r="K168" s="30">
        <v>1555.13</v>
      </c>
      <c r="L168" t="s">
        <v>71</v>
      </c>
      <c r="M168" s="31" t="str">
        <f t="shared" si="8"/>
        <v>OK</v>
      </c>
    </row>
    <row r="169" spans="1:13">
      <c r="A169" t="s">
        <v>893</v>
      </c>
      <c r="B169" s="1">
        <v>45705</v>
      </c>
      <c r="C169" t="s">
        <v>85</v>
      </c>
      <c r="D169" t="s">
        <v>57</v>
      </c>
      <c r="E169" t="s">
        <v>82</v>
      </c>
      <c r="F169" t="s">
        <v>155</v>
      </c>
      <c r="G169">
        <v>2</v>
      </c>
      <c r="H169" s="32" t="str">
        <f t="shared" si="6"/>
        <v>OK</v>
      </c>
      <c r="I169" s="30">
        <v>4306.3100000000004</v>
      </c>
      <c r="J169" s="33" t="str">
        <f t="shared" si="7"/>
        <v>OK</v>
      </c>
      <c r="K169" s="30">
        <v>2756.94</v>
      </c>
      <c r="L169" t="s">
        <v>38</v>
      </c>
      <c r="M169" s="31" t="str">
        <f t="shared" si="8"/>
        <v>OK</v>
      </c>
    </row>
    <row r="170" spans="1:13">
      <c r="A170" t="s">
        <v>927</v>
      </c>
      <c r="B170" s="1">
        <v>45705</v>
      </c>
      <c r="C170" t="s">
        <v>231</v>
      </c>
      <c r="D170" t="s">
        <v>31</v>
      </c>
      <c r="E170" t="s">
        <v>82</v>
      </c>
      <c r="F170" t="s">
        <v>150</v>
      </c>
      <c r="G170">
        <v>8</v>
      </c>
      <c r="H170" s="32" t="str">
        <f t="shared" si="6"/>
        <v>OK</v>
      </c>
      <c r="I170" s="30">
        <v>4751.99</v>
      </c>
      <c r="J170" s="33" t="str">
        <f t="shared" si="7"/>
        <v>OK</v>
      </c>
      <c r="K170" s="30">
        <v>4028.05</v>
      </c>
      <c r="L170" t="s">
        <v>38</v>
      </c>
      <c r="M170" s="31" t="str">
        <f t="shared" si="8"/>
        <v>OK</v>
      </c>
    </row>
    <row r="171" spans="1:13">
      <c r="A171" t="s">
        <v>1048</v>
      </c>
      <c r="B171" s="1">
        <v>45705</v>
      </c>
      <c r="C171" t="s">
        <v>18</v>
      </c>
      <c r="D171" t="s">
        <v>12</v>
      </c>
      <c r="E171" t="s">
        <v>36</v>
      </c>
      <c r="F171" t="s">
        <v>113</v>
      </c>
      <c r="G171">
        <v>1</v>
      </c>
      <c r="H171" s="32" t="str">
        <f t="shared" si="6"/>
        <v>OK</v>
      </c>
      <c r="I171" s="30">
        <v>16948.439999999999</v>
      </c>
      <c r="J171" s="33" t="str">
        <f t="shared" si="7"/>
        <v>OK</v>
      </c>
      <c r="K171" s="30">
        <v>12994.03</v>
      </c>
      <c r="L171" t="s">
        <v>71</v>
      </c>
      <c r="M171" s="31" t="str">
        <f t="shared" si="8"/>
        <v>OK</v>
      </c>
    </row>
    <row r="172" spans="1:13">
      <c r="A172" t="s">
        <v>1105</v>
      </c>
      <c r="B172" s="1">
        <v>45705</v>
      </c>
      <c r="C172" t="s">
        <v>259</v>
      </c>
      <c r="D172" t="s">
        <v>31</v>
      </c>
      <c r="E172" t="s">
        <v>82</v>
      </c>
      <c r="F172" t="s">
        <v>83</v>
      </c>
      <c r="G172">
        <v>6</v>
      </c>
      <c r="H172" s="32" t="str">
        <f t="shared" si="6"/>
        <v>OK</v>
      </c>
      <c r="I172" s="30">
        <v>1859.91</v>
      </c>
      <c r="J172" s="33" t="str">
        <f t="shared" si="7"/>
        <v>OK</v>
      </c>
      <c r="K172" s="30">
        <v>1153.9000000000001</v>
      </c>
      <c r="L172" t="s">
        <v>22</v>
      </c>
      <c r="M172" s="31" t="str">
        <f t="shared" si="8"/>
        <v>OK</v>
      </c>
    </row>
    <row r="173" spans="1:13">
      <c r="A173" t="s">
        <v>1514</v>
      </c>
      <c r="B173" s="1">
        <v>45705</v>
      </c>
      <c r="C173" t="s">
        <v>35</v>
      </c>
      <c r="D173" t="s">
        <v>12</v>
      </c>
      <c r="E173" t="s">
        <v>32</v>
      </c>
      <c r="F173" t="s">
        <v>101</v>
      </c>
      <c r="G173">
        <v>4</v>
      </c>
      <c r="H173" s="32" t="str">
        <f t="shared" si="6"/>
        <v>OK</v>
      </c>
      <c r="I173" s="30">
        <v>318.52999999999997</v>
      </c>
      <c r="J173" s="33" t="str">
        <f t="shared" si="7"/>
        <v>OK</v>
      </c>
      <c r="K173" s="30">
        <v>214.84</v>
      </c>
      <c r="L173" t="s">
        <v>38</v>
      </c>
      <c r="M173" s="31" t="str">
        <f t="shared" si="8"/>
        <v>OK</v>
      </c>
    </row>
    <row r="174" spans="1:13">
      <c r="A174" t="s">
        <v>446</v>
      </c>
      <c r="B174" s="1">
        <v>45706</v>
      </c>
      <c r="C174" t="s">
        <v>105</v>
      </c>
      <c r="D174" t="s">
        <v>31</v>
      </c>
      <c r="E174" t="s">
        <v>26</v>
      </c>
      <c r="F174" t="s">
        <v>27</v>
      </c>
      <c r="G174">
        <v>1</v>
      </c>
      <c r="H174" s="32" t="str">
        <f t="shared" si="6"/>
        <v>OK</v>
      </c>
      <c r="I174" s="30">
        <v>419.37</v>
      </c>
      <c r="J174" s="33" t="str">
        <f t="shared" si="7"/>
        <v>OK</v>
      </c>
      <c r="K174" s="30">
        <v>359.51</v>
      </c>
      <c r="L174" t="s">
        <v>28</v>
      </c>
      <c r="M174" s="31" t="str">
        <f t="shared" si="8"/>
        <v>OK</v>
      </c>
    </row>
    <row r="175" spans="1:13">
      <c r="A175" t="s">
        <v>1035</v>
      </c>
      <c r="B175" s="1">
        <v>45706</v>
      </c>
      <c r="C175" t="s">
        <v>115</v>
      </c>
      <c r="D175" t="s">
        <v>31</v>
      </c>
      <c r="E175" t="s">
        <v>32</v>
      </c>
      <c r="F175" t="s">
        <v>33</v>
      </c>
      <c r="G175">
        <v>8</v>
      </c>
      <c r="H175" s="32" t="str">
        <f t="shared" si="6"/>
        <v>OK</v>
      </c>
      <c r="I175" s="30">
        <v>1719.97</v>
      </c>
      <c r="J175" s="33" t="str">
        <f t="shared" si="7"/>
        <v>OK</v>
      </c>
      <c r="K175" s="30">
        <v>1268.6500000000001</v>
      </c>
      <c r="L175" t="s">
        <v>22</v>
      </c>
      <c r="M175" s="31" t="str">
        <f t="shared" si="8"/>
        <v>OK</v>
      </c>
    </row>
    <row r="176" spans="1:13">
      <c r="A176" t="s">
        <v>260</v>
      </c>
      <c r="B176" s="1">
        <v>45707</v>
      </c>
      <c r="C176" t="s">
        <v>59</v>
      </c>
      <c r="D176" t="s">
        <v>12</v>
      </c>
      <c r="E176" t="s">
        <v>36</v>
      </c>
      <c r="F176" t="s">
        <v>1614</v>
      </c>
      <c r="G176">
        <v>8</v>
      </c>
      <c r="H176" s="32" t="str">
        <f t="shared" si="6"/>
        <v>OK</v>
      </c>
      <c r="I176" s="30">
        <v>11351.96</v>
      </c>
      <c r="J176" s="33" t="str">
        <f t="shared" si="7"/>
        <v>OK</v>
      </c>
      <c r="K176" s="30">
        <v>9372.93</v>
      </c>
      <c r="L176" t="s">
        <v>16</v>
      </c>
      <c r="M176" s="31" t="str">
        <f t="shared" si="8"/>
        <v>OK</v>
      </c>
    </row>
    <row r="177" spans="1:13">
      <c r="A177" t="s">
        <v>1413</v>
      </c>
      <c r="B177" s="1">
        <v>45707</v>
      </c>
      <c r="C177" t="s">
        <v>135</v>
      </c>
      <c r="D177" t="s">
        <v>63</v>
      </c>
      <c r="E177" t="s">
        <v>20</v>
      </c>
      <c r="F177" t="s">
        <v>196</v>
      </c>
      <c r="G177">
        <v>3</v>
      </c>
      <c r="H177" s="32" t="str">
        <f t="shared" si="6"/>
        <v>OK</v>
      </c>
      <c r="I177" s="30">
        <v>3117.28</v>
      </c>
      <c r="J177" s="33" t="str">
        <f t="shared" si="7"/>
        <v>OK</v>
      </c>
      <c r="K177" s="30">
        <v>2346.9</v>
      </c>
      <c r="L177" t="s">
        <v>16</v>
      </c>
      <c r="M177" s="31" t="str">
        <f t="shared" si="8"/>
        <v>OK</v>
      </c>
    </row>
    <row r="178" spans="1:13">
      <c r="A178" t="s">
        <v>1525</v>
      </c>
      <c r="B178" s="1">
        <v>45707</v>
      </c>
      <c r="C178" t="s">
        <v>40</v>
      </c>
      <c r="D178" t="s">
        <v>12</v>
      </c>
      <c r="E178" t="s">
        <v>26</v>
      </c>
      <c r="F178" t="s">
        <v>106</v>
      </c>
      <c r="G178">
        <v>7</v>
      </c>
      <c r="H178" s="32" t="str">
        <f t="shared" si="6"/>
        <v>OK</v>
      </c>
      <c r="I178" s="30">
        <v>1371.71</v>
      </c>
      <c r="J178" s="33" t="str">
        <f t="shared" si="7"/>
        <v>OK</v>
      </c>
      <c r="K178" s="30">
        <v>916.21</v>
      </c>
      <c r="L178" t="s">
        <v>22</v>
      </c>
      <c r="M178" s="31" t="str">
        <f t="shared" si="8"/>
        <v>OK</v>
      </c>
    </row>
    <row r="179" spans="1:13">
      <c r="A179" t="s">
        <v>92</v>
      </c>
      <c r="B179" s="1">
        <v>45708</v>
      </c>
      <c r="C179" t="s">
        <v>30</v>
      </c>
      <c r="D179" t="s">
        <v>12</v>
      </c>
      <c r="E179" t="s">
        <v>36</v>
      </c>
      <c r="F179" t="s">
        <v>93</v>
      </c>
      <c r="G179">
        <v>2</v>
      </c>
      <c r="H179" s="32" t="str">
        <f t="shared" si="6"/>
        <v>OK</v>
      </c>
      <c r="I179" s="30">
        <v>8486.9</v>
      </c>
      <c r="J179" s="33" t="str">
        <f t="shared" si="7"/>
        <v>OK</v>
      </c>
      <c r="K179" s="30">
        <v>6611.47</v>
      </c>
      <c r="L179" t="s">
        <v>16</v>
      </c>
      <c r="M179" s="31" t="str">
        <f t="shared" si="8"/>
        <v>OK</v>
      </c>
    </row>
    <row r="180" spans="1:13">
      <c r="A180" t="s">
        <v>165</v>
      </c>
      <c r="B180" s="1">
        <v>45708</v>
      </c>
      <c r="C180" t="s">
        <v>30</v>
      </c>
      <c r="D180" t="s">
        <v>12</v>
      </c>
      <c r="E180" t="s">
        <v>26</v>
      </c>
      <c r="F180" t="s">
        <v>103</v>
      </c>
      <c r="G180">
        <v>4</v>
      </c>
      <c r="H180" s="32" t="str">
        <f t="shared" si="6"/>
        <v>OK</v>
      </c>
      <c r="I180" s="30">
        <v>2647.68</v>
      </c>
      <c r="J180" s="33" t="str">
        <f t="shared" si="7"/>
        <v>OK</v>
      </c>
      <c r="K180" s="30">
        <v>2216.27</v>
      </c>
      <c r="L180" t="s">
        <v>28</v>
      </c>
      <c r="M180" s="31" t="str">
        <f t="shared" si="8"/>
        <v>OK</v>
      </c>
    </row>
    <row r="181" spans="1:13">
      <c r="A181" t="s">
        <v>269</v>
      </c>
      <c r="B181" s="1">
        <v>45708</v>
      </c>
      <c r="C181" t="s">
        <v>30</v>
      </c>
      <c r="D181" t="s">
        <v>31</v>
      </c>
      <c r="E181" t="s">
        <v>82</v>
      </c>
      <c r="F181" t="s">
        <v>150</v>
      </c>
      <c r="G181">
        <v>1</v>
      </c>
      <c r="H181" s="32" t="str">
        <f t="shared" si="6"/>
        <v>OK</v>
      </c>
      <c r="I181" s="30">
        <v>3890.34</v>
      </c>
      <c r="J181" s="33" t="str">
        <f t="shared" si="7"/>
        <v>OK</v>
      </c>
      <c r="K181" s="30">
        <v>3058.65</v>
      </c>
      <c r="L181" t="s">
        <v>22</v>
      </c>
      <c r="M181" s="31" t="str">
        <f t="shared" si="8"/>
        <v>OK</v>
      </c>
    </row>
    <row r="182" spans="1:13">
      <c r="A182" t="s">
        <v>847</v>
      </c>
      <c r="B182" s="1">
        <v>45708</v>
      </c>
      <c r="C182" t="s">
        <v>56</v>
      </c>
      <c r="D182" t="s">
        <v>63</v>
      </c>
      <c r="E182" t="s">
        <v>26</v>
      </c>
      <c r="F182" t="s">
        <v>79</v>
      </c>
      <c r="G182">
        <v>8</v>
      </c>
      <c r="H182" s="32" t="str">
        <f t="shared" si="6"/>
        <v>OK</v>
      </c>
      <c r="I182" s="30">
        <v>575.17999999999995</v>
      </c>
      <c r="J182" s="33" t="str">
        <f t="shared" si="7"/>
        <v>OK</v>
      </c>
      <c r="K182" s="30">
        <v>444.49</v>
      </c>
      <c r="L182" t="s">
        <v>22</v>
      </c>
      <c r="M182" s="31" t="str">
        <f t="shared" si="8"/>
        <v>OK</v>
      </c>
    </row>
    <row r="183" spans="1:13">
      <c r="A183" t="s">
        <v>999</v>
      </c>
      <c r="B183" s="1">
        <v>45708</v>
      </c>
      <c r="C183" t="s">
        <v>70</v>
      </c>
      <c r="D183" t="s">
        <v>31</v>
      </c>
      <c r="E183" t="s">
        <v>82</v>
      </c>
      <c r="F183" t="s">
        <v>83</v>
      </c>
      <c r="G183">
        <v>2</v>
      </c>
      <c r="H183" s="32" t="str">
        <f t="shared" si="6"/>
        <v>OK</v>
      </c>
      <c r="I183" s="30">
        <v>6028.43</v>
      </c>
      <c r="J183" s="33" t="str">
        <f t="shared" si="7"/>
        <v>OK</v>
      </c>
      <c r="K183" s="30">
        <v>4610.5600000000004</v>
      </c>
      <c r="L183" t="s">
        <v>38</v>
      </c>
      <c r="M183" s="31" t="str">
        <f t="shared" si="8"/>
        <v>OK</v>
      </c>
    </row>
    <row r="184" spans="1:13">
      <c r="A184" t="s">
        <v>1450</v>
      </c>
      <c r="B184" s="1">
        <v>45708</v>
      </c>
      <c r="C184" t="s">
        <v>59</v>
      </c>
      <c r="D184" t="s">
        <v>31</v>
      </c>
      <c r="E184" t="s">
        <v>36</v>
      </c>
      <c r="F184" t="s">
        <v>42</v>
      </c>
      <c r="G184">
        <v>4</v>
      </c>
      <c r="H184" s="32" t="str">
        <f t="shared" si="6"/>
        <v>OK</v>
      </c>
      <c r="I184" s="30">
        <v>16640.16</v>
      </c>
      <c r="J184" s="33" t="str">
        <f t="shared" si="7"/>
        <v>OK</v>
      </c>
      <c r="K184" s="30">
        <v>13826.77</v>
      </c>
      <c r="L184" t="s">
        <v>28</v>
      </c>
      <c r="M184" s="31" t="str">
        <f t="shared" si="8"/>
        <v>OK</v>
      </c>
    </row>
    <row r="185" spans="1:13">
      <c r="A185" t="s">
        <v>429</v>
      </c>
      <c r="B185" s="1">
        <v>45709</v>
      </c>
      <c r="C185" t="s">
        <v>54</v>
      </c>
      <c r="D185" t="s">
        <v>63</v>
      </c>
      <c r="E185" t="s">
        <v>20</v>
      </c>
      <c r="F185" t="s">
        <v>14</v>
      </c>
      <c r="G185">
        <v>6</v>
      </c>
      <c r="H185" s="32" t="str">
        <f t="shared" si="6"/>
        <v>OK</v>
      </c>
      <c r="I185" s="30">
        <v>1630.53</v>
      </c>
      <c r="J185" s="33" t="str">
        <f t="shared" si="7"/>
        <v>OK</v>
      </c>
      <c r="K185" s="30">
        <v>999.02</v>
      </c>
      <c r="L185" t="s">
        <v>38</v>
      </c>
      <c r="M185" s="31" t="str">
        <f t="shared" si="8"/>
        <v>OK</v>
      </c>
    </row>
    <row r="186" spans="1:13">
      <c r="A186" t="s">
        <v>1499</v>
      </c>
      <c r="B186" s="1">
        <v>45709</v>
      </c>
      <c r="C186" t="s">
        <v>48</v>
      </c>
      <c r="D186" t="s">
        <v>12</v>
      </c>
      <c r="E186" t="s">
        <v>82</v>
      </c>
      <c r="F186" t="s">
        <v>150</v>
      </c>
      <c r="G186">
        <v>5</v>
      </c>
      <c r="H186" s="32" t="str">
        <f t="shared" si="6"/>
        <v>OK</v>
      </c>
      <c r="I186" s="30">
        <v>4652.62</v>
      </c>
      <c r="J186" s="33" t="str">
        <f t="shared" si="7"/>
        <v>OK</v>
      </c>
      <c r="K186" s="30">
        <v>3260.22</v>
      </c>
      <c r="L186" t="s">
        <v>22</v>
      </c>
      <c r="M186" s="31" t="str">
        <f t="shared" si="8"/>
        <v>OK</v>
      </c>
    </row>
    <row r="187" spans="1:13">
      <c r="A187" t="s">
        <v>613</v>
      </c>
      <c r="B187" s="1">
        <v>45710</v>
      </c>
      <c r="C187" t="s">
        <v>11</v>
      </c>
      <c r="D187" t="s">
        <v>12</v>
      </c>
      <c r="E187" t="s">
        <v>36</v>
      </c>
      <c r="F187" t="s">
        <v>113</v>
      </c>
      <c r="G187">
        <v>3</v>
      </c>
      <c r="H187" s="32" t="str">
        <f t="shared" si="6"/>
        <v>OK</v>
      </c>
      <c r="I187" s="30">
        <v>7155.06</v>
      </c>
      <c r="J187" s="33" t="str">
        <f t="shared" si="7"/>
        <v>OK</v>
      </c>
      <c r="K187" s="30">
        <v>4400.6099999999997</v>
      </c>
      <c r="L187" t="s">
        <v>16</v>
      </c>
      <c r="M187" s="31" t="str">
        <f t="shared" si="8"/>
        <v>OK</v>
      </c>
    </row>
    <row r="188" spans="1:13">
      <c r="A188" t="s">
        <v>198</v>
      </c>
      <c r="B188" s="1">
        <v>45711</v>
      </c>
      <c r="C188" t="s">
        <v>115</v>
      </c>
      <c r="D188" t="s">
        <v>57</v>
      </c>
      <c r="E188" t="s">
        <v>36</v>
      </c>
      <c r="F188" t="s">
        <v>46</v>
      </c>
      <c r="G188">
        <v>7</v>
      </c>
      <c r="H188" s="32" t="str">
        <f t="shared" si="6"/>
        <v>OK</v>
      </c>
      <c r="I188" s="30">
        <v>16481.98</v>
      </c>
      <c r="J188" s="33" t="str">
        <f t="shared" si="7"/>
        <v>OK</v>
      </c>
      <c r="K188" s="30">
        <v>11690.38</v>
      </c>
      <c r="L188" t="s">
        <v>38</v>
      </c>
      <c r="M188" s="31" t="str">
        <f t="shared" si="8"/>
        <v>OK</v>
      </c>
    </row>
    <row r="189" spans="1:13">
      <c r="A189" t="s">
        <v>805</v>
      </c>
      <c r="B189" s="1">
        <v>45711</v>
      </c>
      <c r="C189" t="s">
        <v>59</v>
      </c>
      <c r="D189" t="s">
        <v>12</v>
      </c>
      <c r="E189" t="s">
        <v>32</v>
      </c>
      <c r="F189" t="s">
        <v>1616</v>
      </c>
      <c r="G189">
        <v>7</v>
      </c>
      <c r="H189" s="32" t="str">
        <f t="shared" si="6"/>
        <v>OK</v>
      </c>
      <c r="I189" s="30">
        <v>1207.53</v>
      </c>
      <c r="J189" s="33" t="str">
        <f t="shared" si="7"/>
        <v>OK</v>
      </c>
      <c r="K189" s="30">
        <v>926.56</v>
      </c>
      <c r="L189" t="s">
        <v>16</v>
      </c>
      <c r="M189" s="31" t="str">
        <f t="shared" si="8"/>
        <v>OK</v>
      </c>
    </row>
    <row r="190" spans="1:13">
      <c r="A190" t="s">
        <v>878</v>
      </c>
      <c r="B190" s="1">
        <v>45712</v>
      </c>
      <c r="C190" t="s">
        <v>51</v>
      </c>
      <c r="D190" t="s">
        <v>31</v>
      </c>
      <c r="E190" t="s">
        <v>26</v>
      </c>
      <c r="F190" t="s">
        <v>131</v>
      </c>
      <c r="G190">
        <v>1</v>
      </c>
      <c r="H190" s="32" t="str">
        <f t="shared" si="6"/>
        <v>OK</v>
      </c>
      <c r="I190" s="30">
        <v>3164.85</v>
      </c>
      <c r="J190" s="33" t="str">
        <f t="shared" si="7"/>
        <v>OK</v>
      </c>
      <c r="K190" s="30">
        <v>2254.9499999999998</v>
      </c>
      <c r="L190" t="s">
        <v>28</v>
      </c>
      <c r="M190" s="31" t="str">
        <f t="shared" si="8"/>
        <v>OK</v>
      </c>
    </row>
    <row r="191" spans="1:13">
      <c r="A191" t="s">
        <v>1059</v>
      </c>
      <c r="B191" s="1">
        <v>45712</v>
      </c>
      <c r="C191" t="s">
        <v>105</v>
      </c>
      <c r="D191" t="s">
        <v>63</v>
      </c>
      <c r="E191" t="s">
        <v>26</v>
      </c>
      <c r="F191" t="s">
        <v>350</v>
      </c>
      <c r="G191">
        <v>2</v>
      </c>
      <c r="H191" s="32" t="str">
        <f t="shared" si="6"/>
        <v>OK</v>
      </c>
      <c r="I191" s="30">
        <v>266.88</v>
      </c>
      <c r="J191" s="33" t="str">
        <f t="shared" si="7"/>
        <v>OK</v>
      </c>
      <c r="K191" s="30">
        <v>173.93</v>
      </c>
      <c r="L191" t="s">
        <v>22</v>
      </c>
      <c r="M191" s="31" t="str">
        <f t="shared" si="8"/>
        <v>OK</v>
      </c>
    </row>
    <row r="192" spans="1:13">
      <c r="A192" t="s">
        <v>1491</v>
      </c>
      <c r="B192" s="1">
        <v>45712</v>
      </c>
      <c r="C192" t="s">
        <v>121</v>
      </c>
      <c r="D192" t="s">
        <v>63</v>
      </c>
      <c r="E192" t="s">
        <v>36</v>
      </c>
      <c r="F192" t="s">
        <v>113</v>
      </c>
      <c r="G192">
        <v>1</v>
      </c>
      <c r="H192" s="32" t="str">
        <f t="shared" si="6"/>
        <v>OK</v>
      </c>
      <c r="I192" s="30">
        <v>7412.88</v>
      </c>
      <c r="J192" s="33" t="str">
        <f t="shared" si="7"/>
        <v>OK</v>
      </c>
      <c r="K192" s="30">
        <v>4206.8900000000003</v>
      </c>
      <c r="L192" t="s">
        <v>16</v>
      </c>
      <c r="M192" s="31" t="str">
        <f t="shared" si="8"/>
        <v>OK</v>
      </c>
    </row>
    <row r="193" spans="1:13">
      <c r="A193" t="s">
        <v>1544</v>
      </c>
      <c r="B193" s="1">
        <v>45712</v>
      </c>
      <c r="C193" t="s">
        <v>54</v>
      </c>
      <c r="D193" t="s">
        <v>31</v>
      </c>
      <c r="E193" t="s">
        <v>20</v>
      </c>
      <c r="F193" t="s">
        <v>191</v>
      </c>
      <c r="G193">
        <v>3</v>
      </c>
      <c r="H193" s="32" t="str">
        <f t="shared" si="6"/>
        <v>OK</v>
      </c>
      <c r="I193" s="30">
        <v>2175.62</v>
      </c>
      <c r="J193" s="33" t="str">
        <f t="shared" si="7"/>
        <v>OK</v>
      </c>
      <c r="K193" s="30">
        <v>1877.8</v>
      </c>
      <c r="L193" t="s">
        <v>22</v>
      </c>
      <c r="M193" s="31" t="str">
        <f t="shared" si="8"/>
        <v>OK</v>
      </c>
    </row>
    <row r="194" spans="1:13">
      <c r="A194" t="s">
        <v>313</v>
      </c>
      <c r="B194" s="1">
        <v>45713</v>
      </c>
      <c r="C194" t="s">
        <v>51</v>
      </c>
      <c r="D194" t="s">
        <v>31</v>
      </c>
      <c r="E194" t="s">
        <v>36</v>
      </c>
      <c r="F194" t="s">
        <v>113</v>
      </c>
      <c r="G194">
        <v>8</v>
      </c>
      <c r="H194" s="32" t="str">
        <f t="shared" ref="H194:H257" si="9">IF(G194="","Blank",IF(G194&lt;0,"Negative Quantity",IF(G194=0,"Zero Quantity",IF(G194&gt;0,"OK",""))))</f>
        <v>OK</v>
      </c>
      <c r="I194" s="30">
        <v>8713</v>
      </c>
      <c r="J194" s="33" t="str">
        <f t="shared" ref="J194:J257" si="10">IF(I194="","Missing Sales",IF(I194&lt;0,"Negative Sales","OK"))</f>
        <v>OK</v>
      </c>
      <c r="K194" s="30">
        <v>7315.98</v>
      </c>
      <c r="L194" t="s">
        <v>71</v>
      </c>
      <c r="M194" s="31" t="str">
        <f t="shared" ref="M194:M257" si="11">IF(OR(I194="",K194=""),"Missing Data",IF(I194&lt;K194,"Sales &lt; Cost","OK"))</f>
        <v>OK</v>
      </c>
    </row>
    <row r="195" spans="1:13">
      <c r="A195" t="s">
        <v>412</v>
      </c>
      <c r="B195" s="1">
        <v>45713</v>
      </c>
      <c r="C195" t="s">
        <v>1617</v>
      </c>
      <c r="D195" t="s">
        <v>12</v>
      </c>
      <c r="E195" t="s">
        <v>26</v>
      </c>
      <c r="F195" t="s">
        <v>350</v>
      </c>
      <c r="G195">
        <v>1</v>
      </c>
      <c r="H195" s="32" t="str">
        <f t="shared" si="9"/>
        <v>OK</v>
      </c>
      <c r="I195" s="30">
        <v>406.48</v>
      </c>
      <c r="J195" s="33" t="str">
        <f t="shared" si="10"/>
        <v>OK</v>
      </c>
      <c r="K195" s="30">
        <v>282.35000000000002</v>
      </c>
      <c r="L195" t="s">
        <v>28</v>
      </c>
      <c r="M195" s="31" t="str">
        <f t="shared" si="11"/>
        <v>OK</v>
      </c>
    </row>
    <row r="196" spans="1:13">
      <c r="A196" t="s">
        <v>890</v>
      </c>
      <c r="B196" s="1">
        <v>45713</v>
      </c>
      <c r="C196" t="s">
        <v>30</v>
      </c>
      <c r="D196" t="s">
        <v>63</v>
      </c>
      <c r="E196" t="s">
        <v>32</v>
      </c>
      <c r="F196" t="s">
        <v>52</v>
      </c>
      <c r="G196">
        <v>1</v>
      </c>
      <c r="H196" s="32" t="str">
        <f t="shared" si="9"/>
        <v>OK</v>
      </c>
      <c r="I196" s="30">
        <v>665.4</v>
      </c>
      <c r="J196" s="33" t="str">
        <f t="shared" si="10"/>
        <v>OK</v>
      </c>
      <c r="K196" s="30">
        <v>554.72</v>
      </c>
      <c r="L196" t="s">
        <v>38</v>
      </c>
      <c r="M196" s="31" t="str">
        <f t="shared" si="11"/>
        <v>OK</v>
      </c>
    </row>
    <row r="197" spans="1:13">
      <c r="A197" t="s">
        <v>897</v>
      </c>
      <c r="B197" s="1">
        <v>45713</v>
      </c>
      <c r="C197" t="s">
        <v>48</v>
      </c>
      <c r="D197" t="s">
        <v>12</v>
      </c>
      <c r="E197" t="s">
        <v>32</v>
      </c>
      <c r="F197" t="s">
        <v>52</v>
      </c>
      <c r="G197">
        <v>6</v>
      </c>
      <c r="H197" s="32" t="str">
        <f t="shared" si="9"/>
        <v>OK</v>
      </c>
      <c r="I197" s="30">
        <v>2144.36</v>
      </c>
      <c r="J197" s="33" t="str">
        <f t="shared" si="10"/>
        <v>OK</v>
      </c>
      <c r="K197" s="30">
        <v>1439.5</v>
      </c>
      <c r="L197" t="s">
        <v>22</v>
      </c>
      <c r="M197" s="31" t="str">
        <f t="shared" si="11"/>
        <v>OK</v>
      </c>
    </row>
    <row r="198" spans="1:13">
      <c r="A198" t="s">
        <v>1376</v>
      </c>
      <c r="B198" s="1">
        <v>45713</v>
      </c>
      <c r="C198" t="s">
        <v>70</v>
      </c>
      <c r="D198" t="s">
        <v>19</v>
      </c>
      <c r="E198" t="s">
        <v>82</v>
      </c>
      <c r="F198" t="s">
        <v>97</v>
      </c>
      <c r="G198">
        <v>8</v>
      </c>
      <c r="H198" s="32" t="str">
        <f t="shared" si="9"/>
        <v>OK</v>
      </c>
      <c r="I198" s="30">
        <v>3725.34</v>
      </c>
      <c r="J198" s="33" t="str">
        <f t="shared" si="10"/>
        <v>OK</v>
      </c>
      <c r="K198" s="30">
        <v>3211.2</v>
      </c>
      <c r="L198" t="s">
        <v>16</v>
      </c>
      <c r="M198" s="31" t="str">
        <f t="shared" si="11"/>
        <v>OK</v>
      </c>
    </row>
    <row r="199" spans="1:13">
      <c r="A199" t="s">
        <v>478</v>
      </c>
      <c r="B199" s="1">
        <v>45714</v>
      </c>
      <c r="C199" t="s">
        <v>67</v>
      </c>
      <c r="D199" t="s">
        <v>19</v>
      </c>
      <c r="E199" t="s">
        <v>36</v>
      </c>
      <c r="F199" t="s">
        <v>113</v>
      </c>
      <c r="G199">
        <v>7</v>
      </c>
      <c r="H199" s="32" t="str">
        <f t="shared" si="9"/>
        <v>OK</v>
      </c>
      <c r="I199" s="30">
        <v>2027.91</v>
      </c>
      <c r="J199" s="33" t="str">
        <f t="shared" si="10"/>
        <v>OK</v>
      </c>
      <c r="K199" s="30">
        <v>1543.76</v>
      </c>
      <c r="L199" t="s">
        <v>22</v>
      </c>
      <c r="M199" s="31" t="str">
        <f t="shared" si="11"/>
        <v>OK</v>
      </c>
    </row>
    <row r="200" spans="1:13">
      <c r="A200" t="s">
        <v>828</v>
      </c>
      <c r="B200" s="1">
        <v>45714</v>
      </c>
      <c r="C200" t="s">
        <v>124</v>
      </c>
      <c r="D200" t="s">
        <v>12</v>
      </c>
      <c r="E200" t="s">
        <v>82</v>
      </c>
      <c r="F200" t="s">
        <v>83</v>
      </c>
      <c r="G200">
        <v>2</v>
      </c>
      <c r="H200" s="32" t="str">
        <f t="shared" si="9"/>
        <v>OK</v>
      </c>
      <c r="I200" s="30">
        <v>2839.27</v>
      </c>
      <c r="J200" s="33" t="str">
        <f t="shared" si="10"/>
        <v>OK</v>
      </c>
      <c r="K200" s="30">
        <v>1832.93</v>
      </c>
      <c r="L200" t="s">
        <v>38</v>
      </c>
      <c r="M200" s="31" t="str">
        <f t="shared" si="11"/>
        <v>OK</v>
      </c>
    </row>
    <row r="201" spans="1:13">
      <c r="A201" t="s">
        <v>1430</v>
      </c>
      <c r="B201" s="1">
        <v>45714</v>
      </c>
      <c r="C201" t="s">
        <v>85</v>
      </c>
      <c r="D201" t="s">
        <v>12</v>
      </c>
      <c r="E201" t="s">
        <v>36</v>
      </c>
      <c r="F201" t="s">
        <v>1614</v>
      </c>
      <c r="G201">
        <v>3</v>
      </c>
      <c r="H201" s="32" t="str">
        <f t="shared" si="9"/>
        <v>OK</v>
      </c>
      <c r="I201" s="30">
        <v>1926.01</v>
      </c>
      <c r="J201" s="33" t="str">
        <f t="shared" si="10"/>
        <v>OK</v>
      </c>
      <c r="K201" s="30">
        <v>1467.64</v>
      </c>
      <c r="L201" t="s">
        <v>38</v>
      </c>
      <c r="M201" s="31" t="str">
        <f t="shared" si="11"/>
        <v>OK</v>
      </c>
    </row>
    <row r="202" spans="1:13">
      <c r="A202" t="s">
        <v>591</v>
      </c>
      <c r="B202" s="1">
        <v>45715</v>
      </c>
      <c r="C202" t="s">
        <v>48</v>
      </c>
      <c r="D202" t="s">
        <v>19</v>
      </c>
      <c r="E202" t="s">
        <v>20</v>
      </c>
      <c r="F202" t="s">
        <v>91</v>
      </c>
      <c r="G202">
        <v>1</v>
      </c>
      <c r="H202" s="32" t="str">
        <f t="shared" si="9"/>
        <v>OK</v>
      </c>
      <c r="I202" s="30">
        <v>4952.13</v>
      </c>
      <c r="J202" s="33" t="str">
        <f t="shared" si="10"/>
        <v>OK</v>
      </c>
      <c r="K202" s="30">
        <v>3408.8</v>
      </c>
      <c r="L202" t="s">
        <v>16</v>
      </c>
      <c r="M202" s="31" t="str">
        <f t="shared" si="11"/>
        <v>OK</v>
      </c>
    </row>
    <row r="203" spans="1:13">
      <c r="A203" t="s">
        <v>713</v>
      </c>
      <c r="B203" s="1">
        <v>45715</v>
      </c>
      <c r="C203" t="s">
        <v>30</v>
      </c>
      <c r="D203" t="s">
        <v>12</v>
      </c>
      <c r="E203" t="s">
        <v>32</v>
      </c>
      <c r="F203" t="s">
        <v>1616</v>
      </c>
      <c r="G203">
        <v>8</v>
      </c>
      <c r="H203" s="32" t="str">
        <f t="shared" si="9"/>
        <v>OK</v>
      </c>
      <c r="I203" s="30">
        <v>589.99</v>
      </c>
      <c r="J203" s="33" t="str">
        <f t="shared" si="10"/>
        <v>OK</v>
      </c>
      <c r="K203" s="30">
        <v>345.94</v>
      </c>
      <c r="L203" t="s">
        <v>16</v>
      </c>
      <c r="M203" s="31" t="str">
        <f t="shared" si="11"/>
        <v>OK</v>
      </c>
    </row>
    <row r="204" spans="1:13">
      <c r="A204" t="s">
        <v>718</v>
      </c>
      <c r="B204" s="1">
        <v>45715</v>
      </c>
      <c r="C204" t="s">
        <v>162</v>
      </c>
      <c r="D204" t="s">
        <v>63</v>
      </c>
      <c r="E204" t="s">
        <v>20</v>
      </c>
      <c r="F204" t="s">
        <v>21</v>
      </c>
      <c r="G204">
        <v>6</v>
      </c>
      <c r="H204" s="32" t="str">
        <f t="shared" si="9"/>
        <v>OK</v>
      </c>
      <c r="I204" s="30">
        <v>5527.25</v>
      </c>
      <c r="J204" s="33" t="str">
        <f t="shared" si="10"/>
        <v>OK</v>
      </c>
      <c r="K204" s="30">
        <v>3495.56</v>
      </c>
      <c r="L204" t="s">
        <v>38</v>
      </c>
      <c r="M204" s="31" t="str">
        <f t="shared" si="11"/>
        <v>OK</v>
      </c>
    </row>
    <row r="205" spans="1:13">
      <c r="A205" t="s">
        <v>174</v>
      </c>
      <c r="B205" s="1">
        <v>45716</v>
      </c>
      <c r="C205" t="s">
        <v>175</v>
      </c>
      <c r="D205" t="s">
        <v>12</v>
      </c>
      <c r="E205" t="s">
        <v>36</v>
      </c>
      <c r="F205" t="s">
        <v>37</v>
      </c>
      <c r="G205">
        <v>8</v>
      </c>
      <c r="H205" s="32" t="str">
        <f t="shared" si="9"/>
        <v>OK</v>
      </c>
      <c r="I205" s="30">
        <v>11742.64</v>
      </c>
      <c r="J205" s="33" t="str">
        <f t="shared" si="10"/>
        <v>OK</v>
      </c>
      <c r="K205" s="30">
        <v>6789.02</v>
      </c>
      <c r="L205" t="s">
        <v>28</v>
      </c>
      <c r="M205" s="31" t="str">
        <f t="shared" si="11"/>
        <v>OK</v>
      </c>
    </row>
    <row r="206" spans="1:13">
      <c r="A206" t="s">
        <v>181</v>
      </c>
      <c r="B206" s="1">
        <v>45716</v>
      </c>
      <c r="C206" t="s">
        <v>85</v>
      </c>
      <c r="D206" t="s">
        <v>12</v>
      </c>
      <c r="E206" t="s">
        <v>26</v>
      </c>
      <c r="F206" t="s">
        <v>106</v>
      </c>
      <c r="G206">
        <v>4</v>
      </c>
      <c r="H206" s="32" t="str">
        <f t="shared" si="9"/>
        <v>OK</v>
      </c>
      <c r="I206" s="30">
        <v>642.24</v>
      </c>
      <c r="J206" s="33" t="str">
        <f t="shared" si="10"/>
        <v>OK</v>
      </c>
      <c r="K206" s="30">
        <v>400.73</v>
      </c>
      <c r="L206" t="s">
        <v>22</v>
      </c>
      <c r="M206" s="31" t="str">
        <f t="shared" si="11"/>
        <v>OK</v>
      </c>
    </row>
    <row r="207" spans="1:13">
      <c r="A207" t="s">
        <v>274</v>
      </c>
      <c r="B207" s="1">
        <v>45716</v>
      </c>
      <c r="C207" t="s">
        <v>135</v>
      </c>
      <c r="D207" t="s">
        <v>57</v>
      </c>
      <c r="E207" t="s">
        <v>32</v>
      </c>
      <c r="F207" t="s">
        <v>101</v>
      </c>
      <c r="G207">
        <v>8</v>
      </c>
      <c r="H207" s="32" t="str">
        <f t="shared" si="9"/>
        <v>OK</v>
      </c>
      <c r="I207" s="30">
        <v>1753.03</v>
      </c>
      <c r="J207" s="33" t="str">
        <f t="shared" si="10"/>
        <v>OK</v>
      </c>
      <c r="K207" s="30">
        <v>1241.28</v>
      </c>
      <c r="L207" t="s">
        <v>38</v>
      </c>
      <c r="M207" s="31" t="str">
        <f t="shared" si="11"/>
        <v>OK</v>
      </c>
    </row>
    <row r="208" spans="1:13">
      <c r="A208" t="s">
        <v>171</v>
      </c>
      <c r="B208" s="1">
        <v>45717</v>
      </c>
      <c r="C208" t="s">
        <v>11</v>
      </c>
      <c r="D208" t="s">
        <v>12</v>
      </c>
      <c r="E208" t="s">
        <v>82</v>
      </c>
      <c r="F208" t="s">
        <v>155</v>
      </c>
      <c r="G208">
        <v>4</v>
      </c>
      <c r="H208" s="32" t="str">
        <f t="shared" si="9"/>
        <v>OK</v>
      </c>
      <c r="I208" s="30">
        <v>5289.15</v>
      </c>
      <c r="J208" s="33" t="str">
        <f t="shared" si="10"/>
        <v>OK</v>
      </c>
      <c r="K208" s="30">
        <v>2913.52</v>
      </c>
      <c r="L208" t="s">
        <v>16</v>
      </c>
      <c r="M208" s="31" t="str">
        <f t="shared" si="11"/>
        <v>OK</v>
      </c>
    </row>
    <row r="209" spans="1:13">
      <c r="A209" t="s">
        <v>190</v>
      </c>
      <c r="B209" s="1">
        <v>45717</v>
      </c>
      <c r="C209" t="s">
        <v>108</v>
      </c>
      <c r="D209" t="s">
        <v>63</v>
      </c>
      <c r="E209" t="s">
        <v>20</v>
      </c>
      <c r="F209" t="s">
        <v>191</v>
      </c>
      <c r="G209">
        <v>8</v>
      </c>
      <c r="H209" s="32" t="str">
        <f t="shared" si="9"/>
        <v>OK</v>
      </c>
      <c r="I209" s="30">
        <v>4144.53</v>
      </c>
      <c r="J209" s="33" t="str">
        <f t="shared" si="10"/>
        <v>OK</v>
      </c>
      <c r="K209" s="30">
        <v>2608.9699999999998</v>
      </c>
      <c r="L209" t="s">
        <v>71</v>
      </c>
      <c r="M209" s="31" t="str">
        <f t="shared" si="11"/>
        <v>OK</v>
      </c>
    </row>
    <row r="210" spans="1:13">
      <c r="A210" t="s">
        <v>459</v>
      </c>
      <c r="B210" s="1">
        <v>45717</v>
      </c>
      <c r="C210" t="s">
        <v>54</v>
      </c>
      <c r="D210" t="s">
        <v>63</v>
      </c>
      <c r="E210" t="s">
        <v>20</v>
      </c>
      <c r="F210" t="s">
        <v>196</v>
      </c>
      <c r="G210">
        <v>5</v>
      </c>
      <c r="H210" s="32" t="str">
        <f t="shared" si="9"/>
        <v>OK</v>
      </c>
      <c r="I210" s="30">
        <v>4378.96</v>
      </c>
      <c r="J210" s="33" t="str">
        <f t="shared" si="10"/>
        <v>OK</v>
      </c>
      <c r="K210" s="30">
        <v>2862.9</v>
      </c>
      <c r="L210" t="s">
        <v>16</v>
      </c>
      <c r="M210" s="31" t="str">
        <f t="shared" si="11"/>
        <v>OK</v>
      </c>
    </row>
    <row r="211" spans="1:13">
      <c r="A211" t="s">
        <v>815</v>
      </c>
      <c r="B211" s="1">
        <v>45717</v>
      </c>
      <c r="C211" t="s">
        <v>35</v>
      </c>
      <c r="D211" t="s">
        <v>12</v>
      </c>
      <c r="E211" t="s">
        <v>36</v>
      </c>
      <c r="F211" t="s">
        <v>42</v>
      </c>
      <c r="G211">
        <v>7</v>
      </c>
      <c r="H211" s="32" t="str">
        <f t="shared" si="9"/>
        <v>OK</v>
      </c>
      <c r="I211" s="30">
        <v>8497.77</v>
      </c>
      <c r="J211" s="33" t="str">
        <f t="shared" si="10"/>
        <v>OK</v>
      </c>
      <c r="K211" s="30">
        <v>5020.37</v>
      </c>
      <c r="L211" t="s">
        <v>22</v>
      </c>
      <c r="M211" s="31" t="str">
        <f t="shared" si="11"/>
        <v>OK</v>
      </c>
    </row>
    <row r="212" spans="1:13">
      <c r="A212" t="s">
        <v>1090</v>
      </c>
      <c r="B212" s="1">
        <v>45717</v>
      </c>
      <c r="C212" t="s">
        <v>117</v>
      </c>
      <c r="D212" t="s">
        <v>57</v>
      </c>
      <c r="E212" t="s">
        <v>36</v>
      </c>
      <c r="F212" t="s">
        <v>93</v>
      </c>
      <c r="G212">
        <v>8</v>
      </c>
      <c r="H212" s="32" t="str">
        <f t="shared" si="9"/>
        <v>OK</v>
      </c>
      <c r="I212" s="30">
        <v>11370.28</v>
      </c>
      <c r="J212" s="33" t="str">
        <f t="shared" si="10"/>
        <v>OK</v>
      </c>
      <c r="K212" s="30">
        <v>6460.13</v>
      </c>
      <c r="L212" t="s">
        <v>71</v>
      </c>
      <c r="M212" s="31" t="str">
        <f t="shared" si="11"/>
        <v>OK</v>
      </c>
    </row>
    <row r="213" spans="1:13">
      <c r="A213" t="s">
        <v>770</v>
      </c>
      <c r="B213" s="1">
        <v>45718</v>
      </c>
      <c r="C213" t="s">
        <v>67</v>
      </c>
      <c r="D213" t="s">
        <v>63</v>
      </c>
      <c r="E213" t="s">
        <v>32</v>
      </c>
      <c r="F213" t="s">
        <v>101</v>
      </c>
      <c r="G213">
        <v>8</v>
      </c>
      <c r="H213" s="32" t="str">
        <f t="shared" si="9"/>
        <v>OK</v>
      </c>
      <c r="I213" s="30">
        <v>1914.05</v>
      </c>
      <c r="J213" s="33" t="str">
        <f t="shared" si="10"/>
        <v>OK</v>
      </c>
      <c r="K213" s="30">
        <v>1063.95</v>
      </c>
      <c r="L213" t="s">
        <v>28</v>
      </c>
      <c r="M213" s="31" t="str">
        <f t="shared" si="11"/>
        <v>OK</v>
      </c>
    </row>
    <row r="214" spans="1:13">
      <c r="A214" t="s">
        <v>988</v>
      </c>
      <c r="B214" s="1">
        <v>45718</v>
      </c>
      <c r="C214" t="s">
        <v>1617</v>
      </c>
      <c r="D214" t="s">
        <v>19</v>
      </c>
      <c r="E214" t="s">
        <v>20</v>
      </c>
      <c r="F214" t="s">
        <v>14</v>
      </c>
      <c r="G214">
        <v>2</v>
      </c>
      <c r="H214" s="32" t="str">
        <f t="shared" si="9"/>
        <v>OK</v>
      </c>
      <c r="I214" s="30">
        <v>2481.3000000000002</v>
      </c>
      <c r="J214" s="33" t="str">
        <f t="shared" si="10"/>
        <v>OK</v>
      </c>
      <c r="K214" s="30">
        <v>1811.82</v>
      </c>
      <c r="L214" t="s">
        <v>22</v>
      </c>
      <c r="M214" s="31" t="str">
        <f t="shared" si="11"/>
        <v>OK</v>
      </c>
    </row>
    <row r="215" spans="1:13">
      <c r="A215" t="s">
        <v>992</v>
      </c>
      <c r="B215" s="1">
        <v>45718</v>
      </c>
      <c r="C215" t="s">
        <v>24</v>
      </c>
      <c r="D215" t="s">
        <v>12</v>
      </c>
      <c r="E215" t="s">
        <v>26</v>
      </c>
      <c r="F215" t="s">
        <v>131</v>
      </c>
      <c r="G215">
        <v>5</v>
      </c>
      <c r="H215" s="32" t="str">
        <f t="shared" si="9"/>
        <v>OK</v>
      </c>
      <c r="I215" s="30">
        <v>1444.52</v>
      </c>
      <c r="J215" s="33" t="str">
        <f t="shared" si="10"/>
        <v>OK</v>
      </c>
      <c r="K215" s="30">
        <v>899.76</v>
      </c>
      <c r="L215" t="s">
        <v>71</v>
      </c>
      <c r="M215" s="31" t="str">
        <f t="shared" si="11"/>
        <v>OK</v>
      </c>
    </row>
    <row r="216" spans="1:13">
      <c r="A216" t="s">
        <v>1447</v>
      </c>
      <c r="B216" s="1">
        <v>45718</v>
      </c>
      <c r="C216" t="s">
        <v>121</v>
      </c>
      <c r="D216" t="s">
        <v>12</v>
      </c>
      <c r="E216" t="s">
        <v>20</v>
      </c>
      <c r="F216" t="s">
        <v>86</v>
      </c>
      <c r="G216">
        <v>8</v>
      </c>
      <c r="H216" s="32" t="str">
        <f t="shared" si="9"/>
        <v>OK</v>
      </c>
      <c r="I216" s="30">
        <v>5529.43</v>
      </c>
      <c r="J216" s="33" t="str">
        <f t="shared" si="10"/>
        <v>OK</v>
      </c>
      <c r="K216" s="30">
        <v>4310.5</v>
      </c>
      <c r="L216" t="s">
        <v>71</v>
      </c>
      <c r="M216" s="31" t="str">
        <f t="shared" si="11"/>
        <v>OK</v>
      </c>
    </row>
    <row r="217" spans="1:13">
      <c r="A217" t="s">
        <v>1532</v>
      </c>
      <c r="B217" s="1">
        <v>45718</v>
      </c>
      <c r="C217" t="s">
        <v>67</v>
      </c>
      <c r="D217" t="s">
        <v>57</v>
      </c>
      <c r="E217" t="s">
        <v>36</v>
      </c>
      <c r="F217" t="s">
        <v>93</v>
      </c>
      <c r="H217" s="32" t="str">
        <f t="shared" si="9"/>
        <v>Blank</v>
      </c>
      <c r="J217" s="33" t="str">
        <f t="shared" si="10"/>
        <v>Missing Sales</v>
      </c>
      <c r="K217" s="30">
        <v>7410.38</v>
      </c>
      <c r="L217" t="s">
        <v>38</v>
      </c>
      <c r="M217" s="31" t="str">
        <f t="shared" si="11"/>
        <v>Missing Data</v>
      </c>
    </row>
    <row r="218" spans="1:13">
      <c r="A218" t="s">
        <v>53</v>
      </c>
      <c r="B218" s="1">
        <v>45719</v>
      </c>
      <c r="C218" t="s">
        <v>54</v>
      </c>
      <c r="D218" t="s">
        <v>12</v>
      </c>
      <c r="E218" t="s">
        <v>36</v>
      </c>
      <c r="F218" t="s">
        <v>42</v>
      </c>
      <c r="G218">
        <v>2</v>
      </c>
      <c r="H218" s="32" t="str">
        <f t="shared" si="9"/>
        <v>OK</v>
      </c>
      <c r="I218" s="30">
        <v>15545.14</v>
      </c>
      <c r="J218" s="33" t="str">
        <f t="shared" si="10"/>
        <v>OK</v>
      </c>
      <c r="K218" s="30">
        <v>9216.24</v>
      </c>
      <c r="L218" t="s">
        <v>1617</v>
      </c>
      <c r="M218" s="31" t="str">
        <f t="shared" si="11"/>
        <v>OK</v>
      </c>
    </row>
    <row r="219" spans="1:13">
      <c r="A219" t="s">
        <v>100</v>
      </c>
      <c r="B219" s="1">
        <v>45719</v>
      </c>
      <c r="C219" t="s">
        <v>85</v>
      </c>
      <c r="D219" t="s">
        <v>12</v>
      </c>
      <c r="E219" t="s">
        <v>32</v>
      </c>
      <c r="F219" t="s">
        <v>101</v>
      </c>
      <c r="G219">
        <v>3</v>
      </c>
      <c r="H219" s="32" t="str">
        <f t="shared" si="9"/>
        <v>OK</v>
      </c>
      <c r="I219" s="30">
        <v>939.66</v>
      </c>
      <c r="J219" s="33" t="str">
        <f t="shared" si="10"/>
        <v>OK</v>
      </c>
      <c r="K219" s="30">
        <v>815.95</v>
      </c>
      <c r="L219" t="s">
        <v>71</v>
      </c>
      <c r="M219" s="31" t="str">
        <f t="shared" si="11"/>
        <v>OK</v>
      </c>
    </row>
    <row r="220" spans="1:13">
      <c r="A220" t="s">
        <v>494</v>
      </c>
      <c r="B220" s="1">
        <v>45719</v>
      </c>
      <c r="C220" t="s">
        <v>119</v>
      </c>
      <c r="D220" t="s">
        <v>12</v>
      </c>
      <c r="E220" t="s">
        <v>82</v>
      </c>
      <c r="F220" t="s">
        <v>137</v>
      </c>
      <c r="G220">
        <v>1</v>
      </c>
      <c r="H220" s="32" t="str">
        <f t="shared" si="9"/>
        <v>OK</v>
      </c>
      <c r="I220" s="30">
        <v>1583.67</v>
      </c>
      <c r="J220" s="33" t="str">
        <f t="shared" si="10"/>
        <v>OK</v>
      </c>
      <c r="K220" s="30">
        <v>1291.3699999999999</v>
      </c>
      <c r="L220" t="s">
        <v>16</v>
      </c>
      <c r="M220" s="31" t="str">
        <f t="shared" si="11"/>
        <v>OK</v>
      </c>
    </row>
    <row r="221" spans="1:13">
      <c r="A221" t="s">
        <v>1346</v>
      </c>
      <c r="B221" s="1">
        <v>45719</v>
      </c>
      <c r="C221" t="s">
        <v>18</v>
      </c>
      <c r="D221" t="s">
        <v>31</v>
      </c>
      <c r="E221" t="s">
        <v>20</v>
      </c>
      <c r="F221" t="s">
        <v>86</v>
      </c>
      <c r="G221">
        <v>3</v>
      </c>
      <c r="H221" s="32" t="str">
        <f t="shared" si="9"/>
        <v>OK</v>
      </c>
      <c r="I221" s="30">
        <v>2707.06</v>
      </c>
      <c r="J221" s="33" t="str">
        <f t="shared" si="10"/>
        <v>OK</v>
      </c>
      <c r="K221" s="30">
        <v>1733.53</v>
      </c>
      <c r="L221" t="s">
        <v>71</v>
      </c>
      <c r="M221" s="31" t="str">
        <f t="shared" si="11"/>
        <v>OK</v>
      </c>
    </row>
    <row r="222" spans="1:13">
      <c r="A222" t="s">
        <v>1444</v>
      </c>
      <c r="B222" s="1">
        <v>45719</v>
      </c>
      <c r="C222" t="s">
        <v>67</v>
      </c>
      <c r="D222" t="s">
        <v>63</v>
      </c>
      <c r="E222" t="s">
        <v>20</v>
      </c>
      <c r="F222" t="s">
        <v>196</v>
      </c>
      <c r="G222">
        <v>7</v>
      </c>
      <c r="H222" s="32" t="str">
        <f t="shared" si="9"/>
        <v>OK</v>
      </c>
      <c r="I222" s="30">
        <v>3414.11</v>
      </c>
      <c r="J222" s="33" t="str">
        <f t="shared" si="10"/>
        <v>OK</v>
      </c>
      <c r="K222" s="30">
        <v>2343.19</v>
      </c>
      <c r="L222" t="s">
        <v>71</v>
      </c>
      <c r="M222" s="31" t="str">
        <f t="shared" si="11"/>
        <v>OK</v>
      </c>
    </row>
    <row r="223" spans="1:13">
      <c r="A223" t="s">
        <v>1348</v>
      </c>
      <c r="B223" s="1">
        <v>45720</v>
      </c>
      <c r="C223" t="s">
        <v>24</v>
      </c>
      <c r="D223" t="s">
        <v>63</v>
      </c>
      <c r="E223" t="s">
        <v>32</v>
      </c>
      <c r="F223" t="s">
        <v>1615</v>
      </c>
      <c r="G223">
        <v>6</v>
      </c>
      <c r="H223" s="32" t="str">
        <f t="shared" si="9"/>
        <v>OK</v>
      </c>
      <c r="I223" s="30">
        <v>376.03</v>
      </c>
      <c r="J223" s="33" t="str">
        <f t="shared" si="10"/>
        <v>OK</v>
      </c>
      <c r="K223" s="30">
        <v>219.87</v>
      </c>
      <c r="L223" t="s">
        <v>22</v>
      </c>
      <c r="M223" s="31" t="str">
        <f t="shared" si="11"/>
        <v>OK</v>
      </c>
    </row>
    <row r="224" spans="1:13">
      <c r="A224" t="s">
        <v>1540</v>
      </c>
      <c r="B224" s="1">
        <v>45720</v>
      </c>
      <c r="C224" t="s">
        <v>70</v>
      </c>
      <c r="D224" t="s">
        <v>12</v>
      </c>
      <c r="E224" t="s">
        <v>82</v>
      </c>
      <c r="F224" t="s">
        <v>109</v>
      </c>
      <c r="G224">
        <v>8</v>
      </c>
      <c r="H224" s="32" t="str">
        <f t="shared" si="9"/>
        <v>OK</v>
      </c>
      <c r="I224" s="30">
        <v>1280.04</v>
      </c>
      <c r="J224" s="33" t="str">
        <f t="shared" si="10"/>
        <v>OK</v>
      </c>
      <c r="K224" s="30">
        <v>900.29</v>
      </c>
      <c r="L224" t="s">
        <v>38</v>
      </c>
      <c r="M224" s="31" t="str">
        <f t="shared" si="11"/>
        <v>OK</v>
      </c>
    </row>
    <row r="225" spans="1:13">
      <c r="A225" t="s">
        <v>826</v>
      </c>
      <c r="B225" s="1">
        <v>45721</v>
      </c>
      <c r="C225" t="s">
        <v>51</v>
      </c>
      <c r="D225" t="s">
        <v>12</v>
      </c>
      <c r="E225" t="s">
        <v>32</v>
      </c>
      <c r="F225" t="s">
        <v>1616</v>
      </c>
      <c r="G225">
        <v>6</v>
      </c>
      <c r="H225" s="32" t="str">
        <f t="shared" si="9"/>
        <v>OK</v>
      </c>
      <c r="I225" s="30">
        <v>2435.69</v>
      </c>
      <c r="J225" s="33" t="str">
        <f t="shared" si="10"/>
        <v>OK</v>
      </c>
      <c r="K225" s="30">
        <v>1642.15</v>
      </c>
      <c r="L225" t="s">
        <v>38</v>
      </c>
      <c r="M225" s="31" t="str">
        <f t="shared" si="11"/>
        <v>OK</v>
      </c>
    </row>
    <row r="226" spans="1:13">
      <c r="A226" t="s">
        <v>911</v>
      </c>
      <c r="B226" s="1">
        <v>45721</v>
      </c>
      <c r="C226" t="s">
        <v>108</v>
      </c>
      <c r="D226" t="s">
        <v>12</v>
      </c>
      <c r="E226" t="s">
        <v>26</v>
      </c>
      <c r="F226" t="s">
        <v>350</v>
      </c>
      <c r="G226">
        <v>6</v>
      </c>
      <c r="H226" s="32" t="str">
        <f t="shared" si="9"/>
        <v>OK</v>
      </c>
      <c r="I226" s="30">
        <v>1670.09</v>
      </c>
      <c r="J226" s="33" t="str">
        <f t="shared" si="10"/>
        <v>OK</v>
      </c>
      <c r="K226" s="30">
        <v>1139.01</v>
      </c>
      <c r="L226" t="s">
        <v>28</v>
      </c>
      <c r="M226" s="31" t="str">
        <f t="shared" si="11"/>
        <v>OK</v>
      </c>
    </row>
    <row r="227" spans="1:13">
      <c r="A227" t="s">
        <v>969</v>
      </c>
      <c r="B227" s="1">
        <v>45721</v>
      </c>
      <c r="C227" t="s">
        <v>70</v>
      </c>
      <c r="D227" t="s">
        <v>12</v>
      </c>
      <c r="E227" t="s">
        <v>32</v>
      </c>
      <c r="F227" t="s">
        <v>1615</v>
      </c>
      <c r="G227">
        <v>2</v>
      </c>
      <c r="H227" s="32" t="str">
        <f t="shared" si="9"/>
        <v>OK</v>
      </c>
      <c r="I227" s="30">
        <v>2441.41</v>
      </c>
      <c r="J227" s="33" t="str">
        <f t="shared" si="10"/>
        <v>OK</v>
      </c>
      <c r="K227" s="30">
        <v>2081.34</v>
      </c>
      <c r="L227" t="s">
        <v>28</v>
      </c>
      <c r="M227" s="31" t="str">
        <f t="shared" si="11"/>
        <v>OK</v>
      </c>
    </row>
    <row r="228" spans="1:13">
      <c r="A228" t="s">
        <v>1200</v>
      </c>
      <c r="B228" s="1">
        <v>45721</v>
      </c>
      <c r="C228" t="s">
        <v>129</v>
      </c>
      <c r="D228" t="s">
        <v>31</v>
      </c>
      <c r="E228" t="s">
        <v>20</v>
      </c>
      <c r="F228" t="s">
        <v>191</v>
      </c>
      <c r="G228">
        <v>8</v>
      </c>
      <c r="H228" s="32" t="str">
        <f t="shared" si="9"/>
        <v>OK</v>
      </c>
      <c r="I228" s="30">
        <v>538.01</v>
      </c>
      <c r="J228" s="33" t="str">
        <f t="shared" si="10"/>
        <v>OK</v>
      </c>
      <c r="K228" s="30">
        <v>432.52</v>
      </c>
      <c r="L228" t="s">
        <v>22</v>
      </c>
      <c r="M228" s="31" t="str">
        <f t="shared" si="11"/>
        <v>OK</v>
      </c>
    </row>
    <row r="229" spans="1:13">
      <c r="A229" t="s">
        <v>1412</v>
      </c>
      <c r="B229" s="1">
        <v>45721</v>
      </c>
      <c r="C229" t="s">
        <v>121</v>
      </c>
      <c r="D229" t="s">
        <v>12</v>
      </c>
      <c r="E229" t="s">
        <v>36</v>
      </c>
      <c r="F229" t="s">
        <v>37</v>
      </c>
      <c r="G229">
        <v>4</v>
      </c>
      <c r="H229" s="32" t="str">
        <f t="shared" si="9"/>
        <v>OK</v>
      </c>
      <c r="I229" s="30">
        <v>10948.01</v>
      </c>
      <c r="J229" s="33" t="str">
        <f t="shared" si="10"/>
        <v>OK</v>
      </c>
      <c r="K229" s="30">
        <v>6744.06</v>
      </c>
      <c r="L229" t="s">
        <v>22</v>
      </c>
      <c r="M229" s="31" t="str">
        <f t="shared" si="11"/>
        <v>OK</v>
      </c>
    </row>
    <row r="230" spans="1:13">
      <c r="A230" t="s">
        <v>292</v>
      </c>
      <c r="B230" s="1">
        <v>45722</v>
      </c>
      <c r="C230" t="s">
        <v>40</v>
      </c>
      <c r="D230" t="s">
        <v>57</v>
      </c>
      <c r="E230" t="s">
        <v>26</v>
      </c>
      <c r="F230" t="s">
        <v>27</v>
      </c>
      <c r="G230">
        <v>7</v>
      </c>
      <c r="H230" s="32" t="str">
        <f t="shared" si="9"/>
        <v>OK</v>
      </c>
      <c r="I230" s="30">
        <v>1959.78</v>
      </c>
      <c r="J230" s="33" t="str">
        <f t="shared" si="10"/>
        <v>OK</v>
      </c>
      <c r="K230" s="30">
        <v>1560.12</v>
      </c>
      <c r="L230" t="s">
        <v>28</v>
      </c>
      <c r="M230" s="31" t="str">
        <f t="shared" si="11"/>
        <v>OK</v>
      </c>
    </row>
    <row r="231" spans="1:13">
      <c r="A231" t="s">
        <v>533</v>
      </c>
      <c r="B231" s="1">
        <v>45722</v>
      </c>
      <c r="C231" t="s">
        <v>259</v>
      </c>
      <c r="D231" t="s">
        <v>1617</v>
      </c>
      <c r="E231" t="s">
        <v>82</v>
      </c>
      <c r="F231" t="s">
        <v>150</v>
      </c>
      <c r="G231">
        <v>6</v>
      </c>
      <c r="H231" s="32" t="str">
        <f t="shared" si="9"/>
        <v>OK</v>
      </c>
      <c r="I231" s="30">
        <v>4639.43</v>
      </c>
      <c r="J231" s="33" t="str">
        <f t="shared" si="10"/>
        <v>OK</v>
      </c>
      <c r="K231" s="30">
        <v>3240.6</v>
      </c>
      <c r="L231" t="s">
        <v>38</v>
      </c>
      <c r="M231" s="31" t="str">
        <f t="shared" si="11"/>
        <v>OK</v>
      </c>
    </row>
    <row r="232" spans="1:13">
      <c r="A232" t="s">
        <v>697</v>
      </c>
      <c r="B232" s="1">
        <v>45722</v>
      </c>
      <c r="C232" t="s">
        <v>11</v>
      </c>
      <c r="D232" t="s">
        <v>12</v>
      </c>
      <c r="E232" t="s">
        <v>82</v>
      </c>
      <c r="F232" t="s">
        <v>83</v>
      </c>
      <c r="G232">
        <v>4</v>
      </c>
      <c r="H232" s="32" t="str">
        <f t="shared" si="9"/>
        <v>OK</v>
      </c>
      <c r="I232" s="30">
        <v>3042.66</v>
      </c>
      <c r="J232" s="33" t="str">
        <f t="shared" si="10"/>
        <v>OK</v>
      </c>
      <c r="K232" s="30">
        <v>1729.69</v>
      </c>
      <c r="L232" t="s">
        <v>1617</v>
      </c>
      <c r="M232" s="31" t="str">
        <f t="shared" si="11"/>
        <v>OK</v>
      </c>
    </row>
    <row r="233" spans="1:13">
      <c r="A233" t="s">
        <v>933</v>
      </c>
      <c r="B233" s="1">
        <v>45722</v>
      </c>
      <c r="C233" t="s">
        <v>135</v>
      </c>
      <c r="D233" t="s">
        <v>31</v>
      </c>
      <c r="E233" t="s">
        <v>20</v>
      </c>
      <c r="F233" t="s">
        <v>91</v>
      </c>
      <c r="G233">
        <v>3</v>
      </c>
      <c r="H233" s="32" t="str">
        <f t="shared" si="9"/>
        <v>OK</v>
      </c>
      <c r="I233" s="30">
        <v>2583.4</v>
      </c>
      <c r="J233" s="33" t="str">
        <f t="shared" si="10"/>
        <v>OK</v>
      </c>
      <c r="K233" s="30">
        <v>2047.83</v>
      </c>
      <c r="L233" t="s">
        <v>16</v>
      </c>
      <c r="M233" s="31" t="str">
        <f t="shared" si="11"/>
        <v>OK</v>
      </c>
    </row>
    <row r="234" spans="1:13">
      <c r="A234" t="s">
        <v>1129</v>
      </c>
      <c r="B234" s="1">
        <v>45722</v>
      </c>
      <c r="C234" t="s">
        <v>1617</v>
      </c>
      <c r="D234" t="s">
        <v>19</v>
      </c>
      <c r="E234" t="s">
        <v>32</v>
      </c>
      <c r="F234" t="s">
        <v>180</v>
      </c>
      <c r="G234">
        <v>2</v>
      </c>
      <c r="H234" s="32" t="str">
        <f t="shared" si="9"/>
        <v>OK</v>
      </c>
      <c r="I234" s="30">
        <v>2158.3200000000002</v>
      </c>
      <c r="J234" s="33" t="str">
        <f t="shared" si="10"/>
        <v>OK</v>
      </c>
      <c r="K234" s="30">
        <v>1384.97</v>
      </c>
      <c r="L234" t="s">
        <v>71</v>
      </c>
      <c r="M234" s="31" t="str">
        <f t="shared" si="11"/>
        <v>OK</v>
      </c>
    </row>
    <row r="235" spans="1:13">
      <c r="A235" t="s">
        <v>1325</v>
      </c>
      <c r="B235" s="1">
        <v>45722</v>
      </c>
      <c r="C235" t="s">
        <v>259</v>
      </c>
      <c r="D235" t="s">
        <v>19</v>
      </c>
      <c r="E235" t="s">
        <v>26</v>
      </c>
      <c r="F235" t="s">
        <v>131</v>
      </c>
      <c r="G235">
        <v>4</v>
      </c>
      <c r="H235" s="32" t="str">
        <f t="shared" si="9"/>
        <v>OK</v>
      </c>
      <c r="I235" s="30">
        <v>596.4</v>
      </c>
      <c r="J235" s="33" t="str">
        <f t="shared" si="10"/>
        <v>OK</v>
      </c>
      <c r="K235" s="30">
        <v>329.83</v>
      </c>
      <c r="L235" t="s">
        <v>28</v>
      </c>
      <c r="M235" s="31" t="str">
        <f t="shared" si="11"/>
        <v>OK</v>
      </c>
    </row>
    <row r="236" spans="1:13">
      <c r="A236" t="s">
        <v>1338</v>
      </c>
      <c r="B236" s="1">
        <v>45722</v>
      </c>
      <c r="C236" t="s">
        <v>105</v>
      </c>
      <c r="D236" t="s">
        <v>63</v>
      </c>
      <c r="E236" t="s">
        <v>36</v>
      </c>
      <c r="F236" t="s">
        <v>113</v>
      </c>
      <c r="G236">
        <v>3</v>
      </c>
      <c r="H236" s="32" t="str">
        <f t="shared" si="9"/>
        <v>OK</v>
      </c>
      <c r="I236" s="30">
        <v>12181.74</v>
      </c>
      <c r="J236" s="33" t="str">
        <f t="shared" si="10"/>
        <v>OK</v>
      </c>
      <c r="K236" s="30">
        <v>10506.26</v>
      </c>
      <c r="L236" t="s">
        <v>71</v>
      </c>
      <c r="M236" s="31" t="str">
        <f t="shared" si="11"/>
        <v>OK</v>
      </c>
    </row>
    <row r="237" spans="1:13">
      <c r="A237" t="s">
        <v>1520</v>
      </c>
      <c r="B237" s="1">
        <v>45722</v>
      </c>
      <c r="C237" t="s">
        <v>24</v>
      </c>
      <c r="D237" t="s">
        <v>12</v>
      </c>
      <c r="E237" t="s">
        <v>26</v>
      </c>
      <c r="F237" t="s">
        <v>131</v>
      </c>
      <c r="G237">
        <v>3</v>
      </c>
      <c r="H237" s="32" t="str">
        <f t="shared" si="9"/>
        <v>OK</v>
      </c>
      <c r="I237" s="30">
        <v>1061.45</v>
      </c>
      <c r="J237" s="33" t="str">
        <f t="shared" si="10"/>
        <v>OK</v>
      </c>
      <c r="K237" s="30">
        <v>832.98</v>
      </c>
      <c r="L237" t="s">
        <v>71</v>
      </c>
      <c r="M237" s="31" t="str">
        <f t="shared" si="11"/>
        <v>OK</v>
      </c>
    </row>
    <row r="238" spans="1:13">
      <c r="A238" t="s">
        <v>603</v>
      </c>
      <c r="B238" s="1">
        <v>45723</v>
      </c>
      <c r="C238" t="s">
        <v>121</v>
      </c>
      <c r="D238" t="s">
        <v>1617</v>
      </c>
      <c r="E238" t="s">
        <v>82</v>
      </c>
      <c r="F238" t="s">
        <v>97</v>
      </c>
      <c r="G238">
        <v>2</v>
      </c>
      <c r="H238" s="32" t="str">
        <f t="shared" si="9"/>
        <v>OK</v>
      </c>
      <c r="I238" s="30">
        <v>3077.53</v>
      </c>
      <c r="J238" s="33" t="str">
        <f t="shared" si="10"/>
        <v>OK</v>
      </c>
      <c r="K238" s="30">
        <v>2418.0500000000002</v>
      </c>
      <c r="L238" t="s">
        <v>16</v>
      </c>
      <c r="M238" s="31" t="str">
        <f t="shared" si="11"/>
        <v>OK</v>
      </c>
    </row>
    <row r="239" spans="1:13">
      <c r="A239" t="s">
        <v>705</v>
      </c>
      <c r="B239" s="1">
        <v>45723</v>
      </c>
      <c r="C239" t="s">
        <v>231</v>
      </c>
      <c r="D239" t="s">
        <v>31</v>
      </c>
      <c r="E239" t="s">
        <v>82</v>
      </c>
      <c r="F239" t="s">
        <v>150</v>
      </c>
      <c r="H239" s="32" t="str">
        <f t="shared" si="9"/>
        <v>Blank</v>
      </c>
      <c r="I239" s="30">
        <v>5659.02</v>
      </c>
      <c r="J239" s="33" t="str">
        <f t="shared" si="10"/>
        <v>OK</v>
      </c>
      <c r="K239" s="30">
        <v>3675.22</v>
      </c>
      <c r="L239" t="s">
        <v>38</v>
      </c>
      <c r="M239" s="31" t="str">
        <f t="shared" si="11"/>
        <v>OK</v>
      </c>
    </row>
    <row r="240" spans="1:13">
      <c r="A240" t="s">
        <v>881</v>
      </c>
      <c r="B240" s="1">
        <v>45724</v>
      </c>
      <c r="C240" t="s">
        <v>30</v>
      </c>
      <c r="D240" t="s">
        <v>12</v>
      </c>
      <c r="E240" t="s">
        <v>26</v>
      </c>
      <c r="F240" t="s">
        <v>350</v>
      </c>
      <c r="G240">
        <v>2</v>
      </c>
      <c r="H240" s="32" t="str">
        <f t="shared" si="9"/>
        <v>OK</v>
      </c>
      <c r="I240" s="30">
        <v>1496.54</v>
      </c>
      <c r="J240" s="33" t="str">
        <f t="shared" si="10"/>
        <v>OK</v>
      </c>
      <c r="K240" s="30">
        <v>1113.82</v>
      </c>
      <c r="L240" t="s">
        <v>71</v>
      </c>
      <c r="M240" s="31" t="str">
        <f t="shared" si="11"/>
        <v>OK</v>
      </c>
    </row>
    <row r="241" spans="1:13">
      <c r="A241" t="s">
        <v>1044</v>
      </c>
      <c r="B241" s="1">
        <v>45724</v>
      </c>
      <c r="C241" t="s">
        <v>115</v>
      </c>
      <c r="D241" t="s">
        <v>12</v>
      </c>
      <c r="E241" t="s">
        <v>36</v>
      </c>
      <c r="F241" t="s">
        <v>46</v>
      </c>
      <c r="G241">
        <v>4</v>
      </c>
      <c r="H241" s="32" t="str">
        <f t="shared" si="9"/>
        <v>OK</v>
      </c>
      <c r="I241" s="30">
        <v>14984.82</v>
      </c>
      <c r="J241" s="33" t="str">
        <f t="shared" si="10"/>
        <v>OK</v>
      </c>
      <c r="K241" s="30">
        <v>10082.370000000001</v>
      </c>
      <c r="L241" t="s">
        <v>16</v>
      </c>
      <c r="M241" s="31" t="str">
        <f t="shared" si="11"/>
        <v>OK</v>
      </c>
    </row>
    <row r="242" spans="1:13">
      <c r="A242" t="s">
        <v>1274</v>
      </c>
      <c r="B242" s="1">
        <v>45724</v>
      </c>
      <c r="C242" t="s">
        <v>40</v>
      </c>
      <c r="D242" t="s">
        <v>63</v>
      </c>
      <c r="E242" t="s">
        <v>32</v>
      </c>
      <c r="F242" t="s">
        <v>52</v>
      </c>
      <c r="G242">
        <v>7</v>
      </c>
      <c r="H242" s="32" t="str">
        <f t="shared" si="9"/>
        <v>OK</v>
      </c>
      <c r="I242" s="30">
        <v>1424.94</v>
      </c>
      <c r="J242" s="33" t="str">
        <f t="shared" si="10"/>
        <v>OK</v>
      </c>
      <c r="K242" s="30">
        <v>891.92</v>
      </c>
      <c r="L242" t="s">
        <v>38</v>
      </c>
      <c r="M242" s="31" t="str">
        <f t="shared" si="11"/>
        <v>OK</v>
      </c>
    </row>
    <row r="243" spans="1:13">
      <c r="A243" t="s">
        <v>80</v>
      </c>
      <c r="B243" s="1">
        <v>45726</v>
      </c>
      <c r="C243" t="s">
        <v>35</v>
      </c>
      <c r="D243" t="s">
        <v>31</v>
      </c>
      <c r="E243" t="s">
        <v>82</v>
      </c>
      <c r="F243" t="s">
        <v>83</v>
      </c>
      <c r="G243">
        <v>8</v>
      </c>
      <c r="H243" s="32" t="str">
        <f t="shared" si="9"/>
        <v>OK</v>
      </c>
      <c r="I243" s="30">
        <v>2200.7199999999998</v>
      </c>
      <c r="J243" s="33" t="str">
        <f t="shared" si="10"/>
        <v>OK</v>
      </c>
      <c r="K243" s="30">
        <v>1797.79</v>
      </c>
      <c r="L243" t="s">
        <v>22</v>
      </c>
      <c r="M243" s="31" t="str">
        <f t="shared" si="11"/>
        <v>OK</v>
      </c>
    </row>
    <row r="244" spans="1:13">
      <c r="A244" t="s">
        <v>364</v>
      </c>
      <c r="B244" s="1">
        <v>45726</v>
      </c>
      <c r="C244" t="s">
        <v>115</v>
      </c>
      <c r="D244" t="s">
        <v>57</v>
      </c>
      <c r="E244" t="s">
        <v>26</v>
      </c>
      <c r="F244" t="s">
        <v>27</v>
      </c>
      <c r="G244">
        <v>7</v>
      </c>
      <c r="H244" s="32" t="str">
        <f t="shared" si="9"/>
        <v>OK</v>
      </c>
      <c r="I244" s="30">
        <v>1618.43</v>
      </c>
      <c r="J244" s="33" t="str">
        <f t="shared" si="10"/>
        <v>OK</v>
      </c>
      <c r="K244" s="30">
        <v>1067.03</v>
      </c>
      <c r="L244" t="s">
        <v>16</v>
      </c>
      <c r="M244" s="31" t="str">
        <f t="shared" si="11"/>
        <v>OK</v>
      </c>
    </row>
    <row r="245" spans="1:13">
      <c r="A245" t="s">
        <v>974</v>
      </c>
      <c r="B245" s="1">
        <v>45727</v>
      </c>
      <c r="C245" t="s">
        <v>24</v>
      </c>
      <c r="D245" t="s">
        <v>63</v>
      </c>
      <c r="E245" t="s">
        <v>36</v>
      </c>
      <c r="F245" t="s">
        <v>42</v>
      </c>
      <c r="G245">
        <v>8</v>
      </c>
      <c r="H245" s="32" t="str">
        <f t="shared" si="9"/>
        <v>OK</v>
      </c>
      <c r="I245" s="30">
        <v>3557.11</v>
      </c>
      <c r="J245" s="33" t="str">
        <f t="shared" si="10"/>
        <v>OK</v>
      </c>
      <c r="K245" s="30">
        <v>2497.11</v>
      </c>
      <c r="L245" t="s">
        <v>38</v>
      </c>
      <c r="M245" s="31" t="str">
        <f t="shared" si="11"/>
        <v>OK</v>
      </c>
    </row>
    <row r="246" spans="1:13">
      <c r="A246" t="s">
        <v>978</v>
      </c>
      <c r="B246" s="1">
        <v>45727</v>
      </c>
      <c r="C246" t="s">
        <v>24</v>
      </c>
      <c r="D246" t="s">
        <v>31</v>
      </c>
      <c r="E246" t="s">
        <v>82</v>
      </c>
      <c r="F246" t="s">
        <v>155</v>
      </c>
      <c r="G246">
        <v>2</v>
      </c>
      <c r="H246" s="32" t="str">
        <f t="shared" si="9"/>
        <v>OK</v>
      </c>
      <c r="I246" s="30">
        <v>2223.23</v>
      </c>
      <c r="J246" s="33" t="str">
        <f t="shared" si="10"/>
        <v>OK</v>
      </c>
      <c r="K246" s="30">
        <v>1802.38</v>
      </c>
      <c r="L246" t="s">
        <v>28</v>
      </c>
      <c r="M246" s="31" t="str">
        <f t="shared" si="11"/>
        <v>OK</v>
      </c>
    </row>
    <row r="247" spans="1:13">
      <c r="A247" t="s">
        <v>1049</v>
      </c>
      <c r="B247" s="1">
        <v>45727</v>
      </c>
      <c r="C247" t="s">
        <v>115</v>
      </c>
      <c r="D247" t="s">
        <v>19</v>
      </c>
      <c r="E247" t="s">
        <v>26</v>
      </c>
      <c r="F247" t="s">
        <v>350</v>
      </c>
      <c r="G247">
        <v>3</v>
      </c>
      <c r="H247" s="32" t="str">
        <f t="shared" si="9"/>
        <v>OK</v>
      </c>
      <c r="I247" s="30">
        <v>2630.14</v>
      </c>
      <c r="J247" s="33" t="str">
        <f t="shared" si="10"/>
        <v>OK</v>
      </c>
      <c r="K247" s="30">
        <v>1825.76</v>
      </c>
      <c r="L247" t="s">
        <v>28</v>
      </c>
      <c r="M247" s="31" t="str">
        <f t="shared" si="11"/>
        <v>OK</v>
      </c>
    </row>
    <row r="248" spans="1:13">
      <c r="A248" t="s">
        <v>1231</v>
      </c>
      <c r="B248" s="1">
        <v>45727</v>
      </c>
      <c r="C248" t="s">
        <v>48</v>
      </c>
      <c r="D248" t="s">
        <v>19</v>
      </c>
      <c r="E248" t="s">
        <v>32</v>
      </c>
      <c r="F248" t="s">
        <v>1616</v>
      </c>
      <c r="G248">
        <v>6</v>
      </c>
      <c r="H248" s="32" t="str">
        <f t="shared" si="9"/>
        <v>OK</v>
      </c>
      <c r="I248" s="30">
        <v>575.61</v>
      </c>
      <c r="J248" s="33" t="str">
        <f t="shared" si="10"/>
        <v>OK</v>
      </c>
      <c r="K248" s="30">
        <v>368.38</v>
      </c>
      <c r="L248" t="s">
        <v>28</v>
      </c>
      <c r="M248" s="31" t="str">
        <f t="shared" si="11"/>
        <v>OK</v>
      </c>
    </row>
    <row r="249" spans="1:13">
      <c r="A249" t="s">
        <v>676</v>
      </c>
      <c r="B249" s="1">
        <v>45728</v>
      </c>
      <c r="C249" t="s">
        <v>24</v>
      </c>
      <c r="D249" t="s">
        <v>12</v>
      </c>
      <c r="E249" t="s">
        <v>36</v>
      </c>
      <c r="F249" t="s">
        <v>42</v>
      </c>
      <c r="G249">
        <v>7</v>
      </c>
      <c r="H249" s="32" t="str">
        <f t="shared" si="9"/>
        <v>OK</v>
      </c>
      <c r="I249" s="30">
        <v>12098.26</v>
      </c>
      <c r="J249" s="33" t="str">
        <f t="shared" si="10"/>
        <v>OK</v>
      </c>
      <c r="K249" s="30">
        <v>10187.39</v>
      </c>
      <c r="L249" t="s">
        <v>22</v>
      </c>
      <c r="M249" s="31" t="str">
        <f t="shared" si="11"/>
        <v>OK</v>
      </c>
    </row>
    <row r="250" spans="1:13">
      <c r="A250" t="s">
        <v>1054</v>
      </c>
      <c r="B250" s="1">
        <v>45728</v>
      </c>
      <c r="C250" t="s">
        <v>48</v>
      </c>
      <c r="D250" t="s">
        <v>12</v>
      </c>
      <c r="E250" t="s">
        <v>26</v>
      </c>
      <c r="F250" t="s">
        <v>350</v>
      </c>
      <c r="G250">
        <v>2</v>
      </c>
      <c r="H250" s="32" t="str">
        <f t="shared" si="9"/>
        <v>OK</v>
      </c>
      <c r="I250" s="30">
        <v>3007.93</v>
      </c>
      <c r="J250" s="33" t="str">
        <f t="shared" si="10"/>
        <v>OK</v>
      </c>
      <c r="K250" s="30">
        <v>2090.23</v>
      </c>
      <c r="L250" t="s">
        <v>28</v>
      </c>
      <c r="M250" s="31" t="str">
        <f t="shared" si="11"/>
        <v>OK</v>
      </c>
    </row>
    <row r="251" spans="1:13">
      <c r="A251" t="s">
        <v>1139</v>
      </c>
      <c r="B251" s="1">
        <v>45728</v>
      </c>
      <c r="C251" t="s">
        <v>11</v>
      </c>
      <c r="D251" t="s">
        <v>31</v>
      </c>
      <c r="E251" t="s">
        <v>82</v>
      </c>
      <c r="F251" t="s">
        <v>155</v>
      </c>
      <c r="G251">
        <v>7</v>
      </c>
      <c r="H251" s="32" t="str">
        <f t="shared" si="9"/>
        <v>OK</v>
      </c>
      <c r="I251" s="30">
        <v>5882.31</v>
      </c>
      <c r="J251" s="33" t="str">
        <f t="shared" si="10"/>
        <v>OK</v>
      </c>
      <c r="K251" s="30">
        <v>3438.93</v>
      </c>
      <c r="L251" t="s">
        <v>38</v>
      </c>
      <c r="M251" s="31" t="str">
        <f t="shared" si="11"/>
        <v>OK</v>
      </c>
    </row>
    <row r="252" spans="1:13">
      <c r="A252" t="s">
        <v>138</v>
      </c>
      <c r="B252" s="1">
        <v>45729</v>
      </c>
      <c r="C252" t="s">
        <v>70</v>
      </c>
      <c r="D252" t="s">
        <v>57</v>
      </c>
      <c r="E252" t="s">
        <v>26</v>
      </c>
      <c r="F252" t="s">
        <v>103</v>
      </c>
      <c r="G252">
        <v>8</v>
      </c>
      <c r="H252" s="32" t="str">
        <f t="shared" si="9"/>
        <v>OK</v>
      </c>
      <c r="I252" s="30">
        <v>848.16</v>
      </c>
      <c r="J252" s="33" t="str">
        <f t="shared" si="10"/>
        <v>OK</v>
      </c>
      <c r="K252" s="30">
        <v>715.41</v>
      </c>
      <c r="L252" t="s">
        <v>16</v>
      </c>
      <c r="M252" s="31" t="str">
        <f t="shared" si="11"/>
        <v>OK</v>
      </c>
    </row>
    <row r="253" spans="1:13">
      <c r="A253" t="s">
        <v>140</v>
      </c>
      <c r="B253" s="1">
        <v>45729</v>
      </c>
      <c r="C253" t="s">
        <v>133</v>
      </c>
      <c r="D253" t="s">
        <v>12</v>
      </c>
      <c r="E253" t="s">
        <v>36</v>
      </c>
      <c r="F253" t="s">
        <v>46</v>
      </c>
      <c r="G253">
        <v>8</v>
      </c>
      <c r="H253" s="32" t="str">
        <f t="shared" si="9"/>
        <v>OK</v>
      </c>
      <c r="I253" s="30">
        <v>6433.59</v>
      </c>
      <c r="J253" s="33" t="str">
        <f t="shared" si="10"/>
        <v>OK</v>
      </c>
      <c r="K253" s="30">
        <v>4065.1</v>
      </c>
      <c r="L253" t="s">
        <v>22</v>
      </c>
      <c r="M253" s="31" t="str">
        <f t="shared" si="11"/>
        <v>OK</v>
      </c>
    </row>
    <row r="254" spans="1:13">
      <c r="A254" t="s">
        <v>276</v>
      </c>
      <c r="B254" s="1">
        <v>45729</v>
      </c>
      <c r="C254" t="s">
        <v>115</v>
      </c>
      <c r="D254" t="s">
        <v>63</v>
      </c>
      <c r="E254" t="s">
        <v>32</v>
      </c>
      <c r="F254" t="s">
        <v>52</v>
      </c>
      <c r="G254">
        <v>6</v>
      </c>
      <c r="H254" s="32" t="str">
        <f t="shared" si="9"/>
        <v>OK</v>
      </c>
      <c r="I254" s="30">
        <v>1918.31</v>
      </c>
      <c r="J254" s="33" t="str">
        <f t="shared" si="10"/>
        <v>OK</v>
      </c>
      <c r="K254" s="30">
        <v>1058.75</v>
      </c>
      <c r="L254" t="s">
        <v>71</v>
      </c>
      <c r="M254" s="31" t="str">
        <f t="shared" si="11"/>
        <v>OK</v>
      </c>
    </row>
    <row r="255" spans="1:13">
      <c r="A255" t="s">
        <v>455</v>
      </c>
      <c r="B255" s="1">
        <v>45729</v>
      </c>
      <c r="C255" t="s">
        <v>135</v>
      </c>
      <c r="D255" t="s">
        <v>12</v>
      </c>
      <c r="E255" t="s">
        <v>36</v>
      </c>
      <c r="F255" t="s">
        <v>93</v>
      </c>
      <c r="G255">
        <v>4</v>
      </c>
      <c r="H255" s="32" t="str">
        <f t="shared" si="9"/>
        <v>OK</v>
      </c>
      <c r="I255" s="30">
        <v>2814.04</v>
      </c>
      <c r="J255" s="33" t="str">
        <f t="shared" si="10"/>
        <v>OK</v>
      </c>
      <c r="K255" s="30">
        <v>2229.7800000000002</v>
      </c>
      <c r="L255" t="s">
        <v>16</v>
      </c>
      <c r="M255" s="31" t="str">
        <f t="shared" si="11"/>
        <v>OK</v>
      </c>
    </row>
    <row r="256" spans="1:13">
      <c r="A256" t="s">
        <v>470</v>
      </c>
      <c r="B256" s="1">
        <v>45729</v>
      </c>
      <c r="C256" t="s">
        <v>48</v>
      </c>
      <c r="D256" t="s">
        <v>57</v>
      </c>
      <c r="E256" t="s">
        <v>32</v>
      </c>
      <c r="F256" t="s">
        <v>1616</v>
      </c>
      <c r="G256">
        <v>5</v>
      </c>
      <c r="H256" s="32" t="str">
        <f t="shared" si="9"/>
        <v>OK</v>
      </c>
      <c r="I256" s="30">
        <v>1281.42</v>
      </c>
      <c r="J256" s="33" t="str">
        <f t="shared" si="10"/>
        <v>OK</v>
      </c>
      <c r="K256" s="30">
        <v>1010.33</v>
      </c>
      <c r="L256" t="s">
        <v>28</v>
      </c>
      <c r="M256" s="31" t="str">
        <f t="shared" si="11"/>
        <v>OK</v>
      </c>
    </row>
    <row r="257" spans="1:13">
      <c r="A257" t="s">
        <v>694</v>
      </c>
      <c r="B257" s="1">
        <v>45729</v>
      </c>
      <c r="C257" t="s">
        <v>108</v>
      </c>
      <c r="D257" t="s">
        <v>31</v>
      </c>
      <c r="E257" t="s">
        <v>20</v>
      </c>
      <c r="F257" t="s">
        <v>196</v>
      </c>
      <c r="G257">
        <v>8</v>
      </c>
      <c r="H257" s="32" t="str">
        <f t="shared" si="9"/>
        <v>OK</v>
      </c>
      <c r="I257" s="30">
        <v>1375.72</v>
      </c>
      <c r="J257" s="33" t="str">
        <f t="shared" si="10"/>
        <v>OK</v>
      </c>
      <c r="K257" s="30">
        <v>1013.77</v>
      </c>
      <c r="L257" t="s">
        <v>38</v>
      </c>
      <c r="M257" s="31" t="str">
        <f t="shared" si="11"/>
        <v>OK</v>
      </c>
    </row>
    <row r="258" spans="1:13">
      <c r="A258" t="s">
        <v>963</v>
      </c>
      <c r="B258" s="1">
        <v>45729</v>
      </c>
      <c r="C258" t="s">
        <v>133</v>
      </c>
      <c r="D258" t="s">
        <v>12</v>
      </c>
      <c r="E258" t="s">
        <v>26</v>
      </c>
      <c r="F258" t="s">
        <v>131</v>
      </c>
      <c r="G258">
        <v>1</v>
      </c>
      <c r="H258" s="32" t="str">
        <f t="shared" ref="H258:H321" si="12">IF(G258="","Blank",IF(G258&lt;0,"Negative Quantity",IF(G258=0,"Zero Quantity",IF(G258&gt;0,"OK",""))))</f>
        <v>OK</v>
      </c>
      <c r="I258" s="30">
        <v>2380.0500000000002</v>
      </c>
      <c r="J258" s="33" t="str">
        <f t="shared" ref="J258:J321" si="13">IF(I258="","Missing Sales",IF(I258&lt;0,"Negative Sales","OK"))</f>
        <v>OK</v>
      </c>
      <c r="K258" s="30">
        <v>2092.46</v>
      </c>
      <c r="L258" t="s">
        <v>22</v>
      </c>
      <c r="M258" s="31" t="str">
        <f t="shared" ref="M258:M321" si="14">IF(OR(I258="",K258=""),"Missing Data",IF(I258&lt;K258,"Sales &lt; Cost","OK"))</f>
        <v>OK</v>
      </c>
    </row>
    <row r="259" spans="1:13">
      <c r="A259" t="s">
        <v>1202</v>
      </c>
      <c r="B259" s="1">
        <v>45729</v>
      </c>
      <c r="C259" t="s">
        <v>51</v>
      </c>
      <c r="D259" t="s">
        <v>57</v>
      </c>
      <c r="E259" t="s">
        <v>20</v>
      </c>
      <c r="F259" t="s">
        <v>191</v>
      </c>
      <c r="G259">
        <v>4</v>
      </c>
      <c r="H259" s="32" t="str">
        <f t="shared" si="12"/>
        <v>OK</v>
      </c>
      <c r="I259" s="30">
        <v>3554.82</v>
      </c>
      <c r="J259" s="33" t="str">
        <f t="shared" si="13"/>
        <v>OK</v>
      </c>
      <c r="K259" s="30">
        <v>2944.45</v>
      </c>
      <c r="L259" t="s">
        <v>22</v>
      </c>
      <c r="M259" s="31" t="str">
        <f t="shared" si="14"/>
        <v>OK</v>
      </c>
    </row>
    <row r="260" spans="1:13">
      <c r="A260" t="s">
        <v>1461</v>
      </c>
      <c r="B260" s="1">
        <v>45729</v>
      </c>
      <c r="C260" t="s">
        <v>70</v>
      </c>
      <c r="D260" t="s">
        <v>12</v>
      </c>
      <c r="E260" t="s">
        <v>32</v>
      </c>
      <c r="F260" t="s">
        <v>1616</v>
      </c>
      <c r="G260">
        <v>1</v>
      </c>
      <c r="H260" s="32" t="str">
        <f t="shared" si="12"/>
        <v>OK</v>
      </c>
      <c r="I260" s="30">
        <v>1584.39</v>
      </c>
      <c r="J260" s="33" t="str">
        <f t="shared" si="13"/>
        <v>OK</v>
      </c>
      <c r="K260" s="30">
        <v>1325.77</v>
      </c>
      <c r="L260" t="s">
        <v>22</v>
      </c>
      <c r="M260" s="31" t="str">
        <f t="shared" si="14"/>
        <v>OK</v>
      </c>
    </row>
    <row r="261" spans="1:13">
      <c r="A261" t="s">
        <v>480</v>
      </c>
      <c r="B261" s="1">
        <v>45730</v>
      </c>
      <c r="C261" t="s">
        <v>85</v>
      </c>
      <c r="D261" t="s">
        <v>12</v>
      </c>
      <c r="E261" t="s">
        <v>32</v>
      </c>
      <c r="F261" t="s">
        <v>180</v>
      </c>
      <c r="G261">
        <v>4</v>
      </c>
      <c r="H261" s="32" t="str">
        <f t="shared" si="12"/>
        <v>OK</v>
      </c>
      <c r="I261" s="30">
        <v>2178.3200000000002</v>
      </c>
      <c r="J261" s="33" t="str">
        <f t="shared" si="13"/>
        <v>OK</v>
      </c>
      <c r="K261" s="30">
        <v>1718.68</v>
      </c>
      <c r="L261" t="s">
        <v>28</v>
      </c>
      <c r="M261" s="31" t="str">
        <f t="shared" si="14"/>
        <v>OK</v>
      </c>
    </row>
    <row r="262" spans="1:13">
      <c r="A262" t="s">
        <v>489</v>
      </c>
      <c r="B262" s="1">
        <v>45730</v>
      </c>
      <c r="C262" t="s">
        <v>56</v>
      </c>
      <c r="D262" t="s">
        <v>12</v>
      </c>
      <c r="E262" t="s">
        <v>32</v>
      </c>
      <c r="F262" t="s">
        <v>180</v>
      </c>
      <c r="G262">
        <v>1</v>
      </c>
      <c r="H262" s="32" t="str">
        <f t="shared" si="12"/>
        <v>OK</v>
      </c>
      <c r="I262" s="30">
        <v>411.04</v>
      </c>
      <c r="J262" s="33" t="str">
        <f t="shared" si="13"/>
        <v>OK</v>
      </c>
      <c r="K262" s="30">
        <v>298.02999999999997</v>
      </c>
      <c r="L262" t="s">
        <v>28</v>
      </c>
      <c r="M262" s="31" t="str">
        <f t="shared" si="14"/>
        <v>OK</v>
      </c>
    </row>
    <row r="263" spans="1:13">
      <c r="A263" t="s">
        <v>903</v>
      </c>
      <c r="B263" s="1">
        <v>45730</v>
      </c>
      <c r="C263" t="s">
        <v>220</v>
      </c>
      <c r="D263" t="s">
        <v>12</v>
      </c>
      <c r="E263" t="s">
        <v>32</v>
      </c>
      <c r="F263" t="s">
        <v>33</v>
      </c>
      <c r="G263">
        <v>5</v>
      </c>
      <c r="H263" s="32" t="str">
        <f t="shared" si="12"/>
        <v>OK</v>
      </c>
      <c r="I263" s="30">
        <v>1643.97</v>
      </c>
      <c r="J263" s="33" t="str">
        <f t="shared" si="13"/>
        <v>OK</v>
      </c>
      <c r="K263" s="30">
        <v>1107.72</v>
      </c>
      <c r="L263" t="s">
        <v>16</v>
      </c>
      <c r="M263" s="31" t="str">
        <f t="shared" si="14"/>
        <v>OK</v>
      </c>
    </row>
    <row r="264" spans="1:13">
      <c r="A264" t="s">
        <v>1334</v>
      </c>
      <c r="B264" s="1">
        <v>45730</v>
      </c>
      <c r="C264" t="s">
        <v>67</v>
      </c>
      <c r="D264" t="s">
        <v>57</v>
      </c>
      <c r="E264" t="s">
        <v>36</v>
      </c>
      <c r="F264" t="s">
        <v>42</v>
      </c>
      <c r="G264">
        <v>4</v>
      </c>
      <c r="H264" s="32" t="str">
        <f t="shared" si="12"/>
        <v>OK</v>
      </c>
      <c r="I264" s="30">
        <v>3047.09</v>
      </c>
      <c r="J264" s="33" t="str">
        <f t="shared" si="13"/>
        <v>OK</v>
      </c>
      <c r="K264" s="30">
        <v>1850.54</v>
      </c>
      <c r="L264" t="s">
        <v>38</v>
      </c>
      <c r="M264" s="31" t="str">
        <f t="shared" si="14"/>
        <v>OK</v>
      </c>
    </row>
    <row r="265" spans="1:13">
      <c r="A265" t="s">
        <v>1439</v>
      </c>
      <c r="B265" s="1">
        <v>45730</v>
      </c>
      <c r="C265" t="s">
        <v>35</v>
      </c>
      <c r="D265" t="s">
        <v>31</v>
      </c>
      <c r="E265" t="s">
        <v>36</v>
      </c>
      <c r="F265" t="s">
        <v>93</v>
      </c>
      <c r="G265">
        <v>6</v>
      </c>
      <c r="H265" s="32" t="str">
        <f t="shared" si="12"/>
        <v>OK</v>
      </c>
      <c r="I265" s="30">
        <v>13645.37</v>
      </c>
      <c r="J265" s="33" t="str">
        <f t="shared" si="13"/>
        <v>OK</v>
      </c>
      <c r="K265" s="30">
        <v>8576.64</v>
      </c>
      <c r="L265" t="s">
        <v>22</v>
      </c>
      <c r="M265" s="31" t="str">
        <f t="shared" si="14"/>
        <v>OK</v>
      </c>
    </row>
    <row r="266" spans="1:13">
      <c r="A266" t="s">
        <v>214</v>
      </c>
      <c r="B266" s="1">
        <v>45731</v>
      </c>
      <c r="C266" t="s">
        <v>115</v>
      </c>
      <c r="D266" t="s">
        <v>31</v>
      </c>
      <c r="E266" t="s">
        <v>32</v>
      </c>
      <c r="F266" t="s">
        <v>180</v>
      </c>
      <c r="G266">
        <v>7</v>
      </c>
      <c r="H266" s="32" t="str">
        <f t="shared" si="12"/>
        <v>OK</v>
      </c>
      <c r="I266" s="30">
        <v>2203.15</v>
      </c>
      <c r="J266" s="33" t="str">
        <f t="shared" si="13"/>
        <v>OK</v>
      </c>
      <c r="K266" s="30">
        <v>1916.93</v>
      </c>
      <c r="L266" t="s">
        <v>16</v>
      </c>
      <c r="M266" s="31" t="str">
        <f t="shared" si="14"/>
        <v>OK</v>
      </c>
    </row>
    <row r="267" spans="1:13">
      <c r="A267" t="s">
        <v>221</v>
      </c>
      <c r="B267" s="1">
        <v>45731</v>
      </c>
      <c r="C267" t="s">
        <v>85</v>
      </c>
      <c r="D267" t="s">
        <v>19</v>
      </c>
      <c r="E267" t="s">
        <v>82</v>
      </c>
      <c r="F267" t="s">
        <v>137</v>
      </c>
      <c r="G267">
        <v>4</v>
      </c>
      <c r="H267" s="32" t="str">
        <f t="shared" si="12"/>
        <v>OK</v>
      </c>
      <c r="I267" s="30">
        <v>4376.26</v>
      </c>
      <c r="J267" s="33" t="str">
        <f t="shared" si="13"/>
        <v>OK</v>
      </c>
      <c r="K267" s="30">
        <v>2986.61</v>
      </c>
      <c r="L267" t="s">
        <v>16</v>
      </c>
      <c r="M267" s="31" t="str">
        <f t="shared" si="14"/>
        <v>OK</v>
      </c>
    </row>
    <row r="268" spans="1:13">
      <c r="A268" t="s">
        <v>1225</v>
      </c>
      <c r="B268" s="1">
        <v>45731</v>
      </c>
      <c r="C268" t="s">
        <v>135</v>
      </c>
      <c r="D268" t="s">
        <v>31</v>
      </c>
      <c r="E268" t="s">
        <v>20</v>
      </c>
      <c r="F268" t="s">
        <v>14</v>
      </c>
      <c r="G268">
        <v>2</v>
      </c>
      <c r="H268" s="32" t="str">
        <f t="shared" si="12"/>
        <v>OK</v>
      </c>
      <c r="I268" s="30">
        <v>2845.17</v>
      </c>
      <c r="J268" s="33" t="str">
        <f t="shared" si="13"/>
        <v>OK</v>
      </c>
      <c r="K268" s="30">
        <v>1992.07</v>
      </c>
      <c r="L268" t="s">
        <v>28</v>
      </c>
      <c r="M268" s="31" t="str">
        <f t="shared" si="14"/>
        <v>OK</v>
      </c>
    </row>
    <row r="269" spans="1:13">
      <c r="A269" t="s">
        <v>1304</v>
      </c>
      <c r="B269" s="1">
        <v>45731</v>
      </c>
      <c r="C269" t="s">
        <v>124</v>
      </c>
      <c r="D269" t="s">
        <v>57</v>
      </c>
      <c r="E269" t="s">
        <v>26</v>
      </c>
      <c r="F269" t="s">
        <v>106</v>
      </c>
      <c r="G269">
        <v>7</v>
      </c>
      <c r="H269" s="32" t="str">
        <f t="shared" si="12"/>
        <v>OK</v>
      </c>
      <c r="I269" s="30">
        <v>1038.1199999999999</v>
      </c>
      <c r="J269" s="33" t="str">
        <f t="shared" si="13"/>
        <v>OK</v>
      </c>
      <c r="K269" s="30">
        <v>854.56</v>
      </c>
      <c r="L269" t="s">
        <v>16</v>
      </c>
      <c r="M269" s="31" t="str">
        <f t="shared" si="14"/>
        <v>OK</v>
      </c>
    </row>
    <row r="270" spans="1:13">
      <c r="A270" t="s">
        <v>134</v>
      </c>
      <c r="B270" s="1">
        <v>45733</v>
      </c>
      <c r="C270" t="s">
        <v>135</v>
      </c>
      <c r="D270" t="s">
        <v>19</v>
      </c>
      <c r="E270" t="s">
        <v>20</v>
      </c>
      <c r="F270" t="s">
        <v>86</v>
      </c>
      <c r="G270">
        <v>1</v>
      </c>
      <c r="H270" s="32" t="str">
        <f t="shared" si="12"/>
        <v>OK</v>
      </c>
      <c r="I270" s="30">
        <v>754.18</v>
      </c>
      <c r="J270" s="33" t="str">
        <f t="shared" si="13"/>
        <v>OK</v>
      </c>
      <c r="K270" s="30">
        <v>659.68</v>
      </c>
      <c r="L270" t="s">
        <v>38</v>
      </c>
      <c r="M270" s="31" t="str">
        <f t="shared" si="14"/>
        <v>OK</v>
      </c>
    </row>
    <row r="271" spans="1:13">
      <c r="A271" t="s">
        <v>970</v>
      </c>
      <c r="B271" s="1">
        <v>45733</v>
      </c>
      <c r="C271" t="s">
        <v>35</v>
      </c>
      <c r="D271" t="s">
        <v>31</v>
      </c>
      <c r="E271" t="s">
        <v>36</v>
      </c>
      <c r="F271" t="s">
        <v>113</v>
      </c>
      <c r="G271">
        <v>1</v>
      </c>
      <c r="H271" s="32" t="str">
        <f t="shared" si="12"/>
        <v>OK</v>
      </c>
      <c r="I271" s="30">
        <v>3744.44</v>
      </c>
      <c r="J271" s="33" t="str">
        <f t="shared" si="13"/>
        <v>OK</v>
      </c>
      <c r="K271" s="30">
        <v>3199.28</v>
      </c>
      <c r="L271" t="s">
        <v>38</v>
      </c>
      <c r="M271" s="31" t="str">
        <f t="shared" si="14"/>
        <v>OK</v>
      </c>
    </row>
    <row r="272" spans="1:13">
      <c r="A272" t="s">
        <v>1287</v>
      </c>
      <c r="B272" s="1">
        <v>45733</v>
      </c>
      <c r="C272" t="s">
        <v>59</v>
      </c>
      <c r="D272" t="s">
        <v>19</v>
      </c>
      <c r="E272" t="s">
        <v>36</v>
      </c>
      <c r="F272" t="s">
        <v>42</v>
      </c>
      <c r="G272">
        <v>8</v>
      </c>
      <c r="H272" s="32" t="str">
        <f t="shared" si="12"/>
        <v>OK</v>
      </c>
      <c r="I272" s="30">
        <v>3473.52</v>
      </c>
      <c r="J272" s="33" t="str">
        <f t="shared" si="13"/>
        <v>OK</v>
      </c>
      <c r="K272" s="30">
        <v>2144.5700000000002</v>
      </c>
      <c r="L272" t="s">
        <v>16</v>
      </c>
      <c r="M272" s="31" t="str">
        <f t="shared" si="14"/>
        <v>OK</v>
      </c>
    </row>
    <row r="273" spans="1:13">
      <c r="A273" t="s">
        <v>1291</v>
      </c>
      <c r="B273" s="1">
        <v>45733</v>
      </c>
      <c r="C273" t="s">
        <v>11</v>
      </c>
      <c r="D273" t="s">
        <v>31</v>
      </c>
      <c r="E273" t="s">
        <v>32</v>
      </c>
      <c r="F273" t="s">
        <v>1616</v>
      </c>
      <c r="G273">
        <v>5</v>
      </c>
      <c r="H273" s="32" t="str">
        <f t="shared" si="12"/>
        <v>OK</v>
      </c>
      <c r="I273" s="30">
        <v>769.05</v>
      </c>
      <c r="J273" s="33" t="str">
        <f t="shared" si="13"/>
        <v>OK</v>
      </c>
      <c r="K273" s="30">
        <v>569.75</v>
      </c>
      <c r="L273" t="s">
        <v>71</v>
      </c>
      <c r="M273" s="31" t="str">
        <f t="shared" si="14"/>
        <v>OK</v>
      </c>
    </row>
    <row r="274" spans="1:13">
      <c r="A274" t="s">
        <v>1485</v>
      </c>
      <c r="B274" s="1">
        <v>45733</v>
      </c>
      <c r="C274" t="s">
        <v>129</v>
      </c>
      <c r="D274" t="s">
        <v>1617</v>
      </c>
      <c r="E274" t="s">
        <v>82</v>
      </c>
      <c r="F274" t="s">
        <v>83</v>
      </c>
      <c r="G274">
        <v>4</v>
      </c>
      <c r="H274" s="32" t="str">
        <f t="shared" si="12"/>
        <v>OK</v>
      </c>
      <c r="I274" s="30">
        <v>608.37</v>
      </c>
      <c r="J274" s="33" t="str">
        <f t="shared" si="13"/>
        <v>OK</v>
      </c>
      <c r="K274" s="30">
        <v>524.97</v>
      </c>
      <c r="L274" t="s">
        <v>16</v>
      </c>
      <c r="M274" s="31" t="str">
        <f t="shared" si="14"/>
        <v>OK</v>
      </c>
    </row>
    <row r="275" spans="1:13">
      <c r="A275" t="s">
        <v>1513</v>
      </c>
      <c r="B275" s="1">
        <v>45733</v>
      </c>
      <c r="C275" t="s">
        <v>18</v>
      </c>
      <c r="D275" t="s">
        <v>12</v>
      </c>
      <c r="E275" t="s">
        <v>26</v>
      </c>
      <c r="F275" t="s">
        <v>106</v>
      </c>
      <c r="G275">
        <v>8</v>
      </c>
      <c r="H275" s="32" t="str">
        <f t="shared" si="12"/>
        <v>OK</v>
      </c>
      <c r="I275" s="30">
        <v>1621.11</v>
      </c>
      <c r="J275" s="33" t="str">
        <f t="shared" si="13"/>
        <v>OK</v>
      </c>
      <c r="K275" s="30">
        <v>953.91</v>
      </c>
      <c r="L275" t="s">
        <v>71</v>
      </c>
      <c r="M275" s="31" t="str">
        <f t="shared" si="14"/>
        <v>OK</v>
      </c>
    </row>
    <row r="276" spans="1:13">
      <c r="A276" t="s">
        <v>10</v>
      </c>
      <c r="B276" s="1">
        <v>45734</v>
      </c>
      <c r="C276" t="s">
        <v>11</v>
      </c>
      <c r="D276" t="s">
        <v>12</v>
      </c>
      <c r="E276" t="s">
        <v>20</v>
      </c>
      <c r="F276" t="s">
        <v>14</v>
      </c>
      <c r="G276">
        <v>8</v>
      </c>
      <c r="H276" s="32" t="str">
        <f t="shared" si="12"/>
        <v>OK</v>
      </c>
      <c r="I276" s="30">
        <v>3236.33</v>
      </c>
      <c r="J276" s="32" t="str">
        <f t="shared" si="13"/>
        <v>OK</v>
      </c>
      <c r="K276" s="30">
        <v>1950.6</v>
      </c>
      <c r="L276" t="s">
        <v>16</v>
      </c>
      <c r="M276" s="31" t="str">
        <f t="shared" si="14"/>
        <v>OK</v>
      </c>
    </row>
    <row r="277" spans="1:13">
      <c r="A277" t="s">
        <v>1496</v>
      </c>
      <c r="B277" s="1">
        <v>45734</v>
      </c>
      <c r="C277" t="s">
        <v>231</v>
      </c>
      <c r="D277" t="s">
        <v>31</v>
      </c>
      <c r="E277" t="s">
        <v>32</v>
      </c>
      <c r="F277" t="s">
        <v>1616</v>
      </c>
      <c r="G277">
        <v>6</v>
      </c>
      <c r="H277" s="32" t="str">
        <f t="shared" si="12"/>
        <v>OK</v>
      </c>
      <c r="I277" s="30">
        <v>1102.75</v>
      </c>
      <c r="J277" s="33" t="str">
        <f t="shared" si="13"/>
        <v>OK</v>
      </c>
      <c r="K277" s="30">
        <v>930.91</v>
      </c>
      <c r="L277" t="s">
        <v>38</v>
      </c>
      <c r="M277" s="31" t="str">
        <f t="shared" si="14"/>
        <v>OK</v>
      </c>
    </row>
    <row r="278" spans="1:13">
      <c r="A278" t="s">
        <v>1502</v>
      </c>
      <c r="B278" s="1">
        <v>45734</v>
      </c>
      <c r="C278" t="s">
        <v>259</v>
      </c>
      <c r="D278" t="s">
        <v>31</v>
      </c>
      <c r="E278" t="s">
        <v>20</v>
      </c>
      <c r="F278" t="s">
        <v>196</v>
      </c>
      <c r="G278">
        <v>1</v>
      </c>
      <c r="H278" s="32" t="str">
        <f t="shared" si="12"/>
        <v>OK</v>
      </c>
      <c r="I278" s="30">
        <v>2797.75</v>
      </c>
      <c r="J278" s="33" t="str">
        <f t="shared" si="13"/>
        <v>OK</v>
      </c>
      <c r="K278" s="30">
        <v>1579.59</v>
      </c>
      <c r="L278" t="s">
        <v>28</v>
      </c>
      <c r="M278" s="31" t="str">
        <f t="shared" si="14"/>
        <v>OK</v>
      </c>
    </row>
    <row r="279" spans="1:13">
      <c r="A279" t="s">
        <v>536</v>
      </c>
      <c r="B279" s="1">
        <v>45735</v>
      </c>
      <c r="C279" t="s">
        <v>24</v>
      </c>
      <c r="D279" t="s">
        <v>12</v>
      </c>
      <c r="E279" t="s">
        <v>32</v>
      </c>
      <c r="F279" t="s">
        <v>101</v>
      </c>
      <c r="G279">
        <v>6</v>
      </c>
      <c r="H279" s="32" t="str">
        <f t="shared" si="12"/>
        <v>OK</v>
      </c>
      <c r="I279" s="30">
        <v>2280.62</v>
      </c>
      <c r="J279" s="33" t="str">
        <f t="shared" si="13"/>
        <v>OK</v>
      </c>
      <c r="K279" s="30">
        <v>1686.82</v>
      </c>
      <c r="L279" t="s">
        <v>38</v>
      </c>
      <c r="M279" s="31" t="str">
        <f t="shared" si="14"/>
        <v>OK</v>
      </c>
    </row>
    <row r="280" spans="1:13">
      <c r="A280" t="s">
        <v>1045</v>
      </c>
      <c r="B280" s="1">
        <v>45735</v>
      </c>
      <c r="C280" t="s">
        <v>220</v>
      </c>
      <c r="D280" t="s">
        <v>57</v>
      </c>
      <c r="E280" t="s">
        <v>82</v>
      </c>
      <c r="F280" t="s">
        <v>109</v>
      </c>
      <c r="G280">
        <v>1</v>
      </c>
      <c r="H280" s="32" t="str">
        <f t="shared" si="12"/>
        <v>OK</v>
      </c>
      <c r="I280" s="30">
        <v>6553.82</v>
      </c>
      <c r="J280" s="33" t="str">
        <f t="shared" si="13"/>
        <v>OK</v>
      </c>
      <c r="K280" s="30">
        <v>3656.31</v>
      </c>
      <c r="L280" t="s">
        <v>38</v>
      </c>
      <c r="M280" s="31" t="str">
        <f t="shared" si="14"/>
        <v>OK</v>
      </c>
    </row>
    <row r="281" spans="1:13">
      <c r="A281" t="s">
        <v>378</v>
      </c>
      <c r="B281" s="1">
        <v>45736</v>
      </c>
      <c r="C281" t="s">
        <v>129</v>
      </c>
      <c r="D281" t="s">
        <v>12</v>
      </c>
      <c r="E281" t="s">
        <v>32</v>
      </c>
      <c r="F281" t="s">
        <v>1615</v>
      </c>
      <c r="G281">
        <v>4</v>
      </c>
      <c r="H281" s="32" t="str">
        <f t="shared" si="12"/>
        <v>OK</v>
      </c>
      <c r="I281" s="30">
        <v>982.27</v>
      </c>
      <c r="J281" s="33" t="str">
        <f t="shared" si="13"/>
        <v>OK</v>
      </c>
      <c r="K281" s="30">
        <v>696.97</v>
      </c>
      <c r="L281" t="s">
        <v>38</v>
      </c>
      <c r="M281" s="31" t="str">
        <f t="shared" si="14"/>
        <v>OK</v>
      </c>
    </row>
    <row r="282" spans="1:13">
      <c r="A282" t="s">
        <v>1178</v>
      </c>
      <c r="B282" s="1">
        <v>45736</v>
      </c>
      <c r="C282" t="s">
        <v>74</v>
      </c>
      <c r="D282" t="s">
        <v>12</v>
      </c>
      <c r="E282" t="s">
        <v>20</v>
      </c>
      <c r="F282" t="s">
        <v>196</v>
      </c>
      <c r="G282">
        <v>8</v>
      </c>
      <c r="H282" s="32" t="str">
        <f t="shared" si="12"/>
        <v>OK</v>
      </c>
      <c r="I282" s="30">
        <v>4640.1899999999996</v>
      </c>
      <c r="J282" s="33" t="str">
        <f t="shared" si="13"/>
        <v>OK</v>
      </c>
      <c r="K282" s="30">
        <v>3184.44</v>
      </c>
      <c r="L282" t="s">
        <v>28</v>
      </c>
      <c r="M282" s="31" t="str">
        <f t="shared" si="14"/>
        <v>OK</v>
      </c>
    </row>
    <row r="283" spans="1:13">
      <c r="A283" t="s">
        <v>1555</v>
      </c>
      <c r="B283" s="1">
        <v>45736</v>
      </c>
      <c r="C283" t="s">
        <v>220</v>
      </c>
      <c r="D283" t="s">
        <v>19</v>
      </c>
      <c r="E283" t="s">
        <v>82</v>
      </c>
      <c r="F283" t="s">
        <v>97</v>
      </c>
      <c r="G283">
        <v>3</v>
      </c>
      <c r="H283" s="32" t="str">
        <f t="shared" si="12"/>
        <v>OK</v>
      </c>
      <c r="I283" s="30">
        <v>2098.13</v>
      </c>
      <c r="J283" s="33" t="str">
        <f t="shared" si="13"/>
        <v>OK</v>
      </c>
      <c r="K283" s="30">
        <v>1475</v>
      </c>
      <c r="L283" t="s">
        <v>28</v>
      </c>
      <c r="M283" s="31" t="str">
        <f t="shared" si="14"/>
        <v>OK</v>
      </c>
    </row>
    <row r="284" spans="1:13">
      <c r="A284" t="s">
        <v>1083</v>
      </c>
      <c r="B284" s="1">
        <v>45737</v>
      </c>
      <c r="C284" t="s">
        <v>231</v>
      </c>
      <c r="D284" t="s">
        <v>63</v>
      </c>
      <c r="E284" t="s">
        <v>82</v>
      </c>
      <c r="F284" t="s">
        <v>155</v>
      </c>
      <c r="G284">
        <v>4</v>
      </c>
      <c r="H284" s="32" t="str">
        <f t="shared" si="12"/>
        <v>OK</v>
      </c>
      <c r="I284" s="30">
        <v>6106.4</v>
      </c>
      <c r="J284" s="33" t="str">
        <f t="shared" si="13"/>
        <v>OK</v>
      </c>
      <c r="K284" s="30">
        <v>5325.68</v>
      </c>
      <c r="L284" t="s">
        <v>71</v>
      </c>
      <c r="M284" s="31" t="str">
        <f t="shared" si="14"/>
        <v>OK</v>
      </c>
    </row>
    <row r="285" spans="1:13">
      <c r="A285" t="s">
        <v>1366</v>
      </c>
      <c r="B285" s="1">
        <v>45737</v>
      </c>
      <c r="C285" t="s">
        <v>18</v>
      </c>
      <c r="D285" t="s">
        <v>57</v>
      </c>
      <c r="E285" t="s">
        <v>82</v>
      </c>
      <c r="F285" t="s">
        <v>150</v>
      </c>
      <c r="G285">
        <v>2</v>
      </c>
      <c r="H285" s="32" t="str">
        <f t="shared" si="12"/>
        <v>OK</v>
      </c>
      <c r="I285" s="30">
        <v>1484.87</v>
      </c>
      <c r="J285" s="33" t="str">
        <f t="shared" si="13"/>
        <v>OK</v>
      </c>
      <c r="K285" s="30">
        <v>1045.05</v>
      </c>
      <c r="L285" t="s">
        <v>28</v>
      </c>
      <c r="M285" s="31" t="str">
        <f t="shared" si="14"/>
        <v>OK</v>
      </c>
    </row>
    <row r="286" spans="1:13">
      <c r="A286" t="s">
        <v>44</v>
      </c>
      <c r="B286" s="1">
        <v>45738</v>
      </c>
      <c r="C286" t="s">
        <v>48</v>
      </c>
      <c r="D286" t="s">
        <v>19</v>
      </c>
      <c r="E286" t="s">
        <v>36</v>
      </c>
      <c r="F286" t="s">
        <v>46</v>
      </c>
      <c r="G286">
        <v>8</v>
      </c>
      <c r="H286" s="32" t="str">
        <f t="shared" si="12"/>
        <v>OK</v>
      </c>
      <c r="I286" s="30">
        <v>2462.9699999999998</v>
      </c>
      <c r="J286" s="33" t="str">
        <f t="shared" si="13"/>
        <v>OK</v>
      </c>
      <c r="K286" s="30">
        <v>1857.46</v>
      </c>
      <c r="L286" t="s">
        <v>16</v>
      </c>
      <c r="M286" s="31" t="str">
        <f t="shared" si="14"/>
        <v>OK</v>
      </c>
    </row>
    <row r="287" spans="1:13">
      <c r="A287" t="s">
        <v>72</v>
      </c>
      <c r="B287" s="1">
        <v>45738</v>
      </c>
      <c r="C287" t="s">
        <v>54</v>
      </c>
      <c r="D287" t="s">
        <v>12</v>
      </c>
      <c r="E287" t="s">
        <v>36</v>
      </c>
      <c r="F287" t="s">
        <v>46</v>
      </c>
      <c r="G287">
        <v>1</v>
      </c>
      <c r="H287" s="32" t="str">
        <f t="shared" si="12"/>
        <v>OK</v>
      </c>
      <c r="I287" s="30">
        <v>12424.86</v>
      </c>
      <c r="J287" s="33" t="str">
        <f t="shared" si="13"/>
        <v>OK</v>
      </c>
      <c r="K287" s="30">
        <v>7949.35</v>
      </c>
      <c r="L287" t="s">
        <v>28</v>
      </c>
      <c r="M287" s="31" t="str">
        <f t="shared" si="14"/>
        <v>OK</v>
      </c>
    </row>
    <row r="288" spans="1:13">
      <c r="A288" t="s">
        <v>814</v>
      </c>
      <c r="B288" s="1">
        <v>45738</v>
      </c>
      <c r="C288" t="s">
        <v>133</v>
      </c>
      <c r="D288" t="s">
        <v>63</v>
      </c>
      <c r="E288" t="s">
        <v>36</v>
      </c>
      <c r="F288" t="s">
        <v>93</v>
      </c>
      <c r="G288">
        <v>4</v>
      </c>
      <c r="H288" s="32" t="str">
        <f t="shared" si="12"/>
        <v>OK</v>
      </c>
      <c r="I288" s="30">
        <v>3232.12</v>
      </c>
      <c r="J288" s="33" t="str">
        <f t="shared" si="13"/>
        <v>OK</v>
      </c>
      <c r="K288" s="30">
        <v>2194.6999999999998</v>
      </c>
      <c r="L288" t="s">
        <v>38</v>
      </c>
      <c r="M288" s="31" t="str">
        <f t="shared" si="14"/>
        <v>OK</v>
      </c>
    </row>
    <row r="289" spans="1:13">
      <c r="A289" t="s">
        <v>1516</v>
      </c>
      <c r="B289" s="1">
        <v>45738</v>
      </c>
      <c r="C289" t="s">
        <v>74</v>
      </c>
      <c r="D289" t="s">
        <v>31</v>
      </c>
      <c r="E289" t="s">
        <v>36</v>
      </c>
      <c r="F289" t="s">
        <v>37</v>
      </c>
      <c r="G289">
        <v>4</v>
      </c>
      <c r="H289" s="32" t="str">
        <f t="shared" si="12"/>
        <v>OK</v>
      </c>
      <c r="I289" s="30">
        <v>9729.86</v>
      </c>
      <c r="J289" s="33" t="str">
        <f t="shared" si="13"/>
        <v>OK</v>
      </c>
      <c r="K289" s="30">
        <v>8464.8700000000008</v>
      </c>
      <c r="L289" t="s">
        <v>71</v>
      </c>
      <c r="M289" s="31" t="str">
        <f t="shared" si="14"/>
        <v>OK</v>
      </c>
    </row>
    <row r="290" spans="1:13">
      <c r="A290" t="s">
        <v>1552</v>
      </c>
      <c r="B290" s="1">
        <v>45738</v>
      </c>
      <c r="C290" t="s">
        <v>115</v>
      </c>
      <c r="D290" t="s">
        <v>12</v>
      </c>
      <c r="E290" t="s">
        <v>82</v>
      </c>
      <c r="F290" t="s">
        <v>83</v>
      </c>
      <c r="G290">
        <v>1</v>
      </c>
      <c r="H290" s="32" t="str">
        <f t="shared" si="12"/>
        <v>OK</v>
      </c>
      <c r="I290" s="30">
        <v>6205.54</v>
      </c>
      <c r="J290" s="33" t="str">
        <f t="shared" si="13"/>
        <v>OK</v>
      </c>
      <c r="K290" s="30">
        <v>3578.35</v>
      </c>
      <c r="L290" t="s">
        <v>16</v>
      </c>
      <c r="M290" s="31" t="str">
        <f t="shared" si="14"/>
        <v>OK</v>
      </c>
    </row>
    <row r="291" spans="1:13">
      <c r="A291" t="s">
        <v>871</v>
      </c>
      <c r="B291" s="1">
        <v>45739</v>
      </c>
      <c r="C291" t="s">
        <v>105</v>
      </c>
      <c r="D291" t="s">
        <v>63</v>
      </c>
      <c r="E291" t="s">
        <v>26</v>
      </c>
      <c r="F291" t="s">
        <v>131</v>
      </c>
      <c r="G291">
        <v>1</v>
      </c>
      <c r="H291" s="32" t="str">
        <f t="shared" si="12"/>
        <v>OK</v>
      </c>
      <c r="I291" s="30">
        <v>2030.81</v>
      </c>
      <c r="J291" s="33" t="str">
        <f t="shared" si="13"/>
        <v>OK</v>
      </c>
      <c r="K291" s="30">
        <v>1343.07</v>
      </c>
      <c r="L291" t="s">
        <v>28</v>
      </c>
      <c r="M291" s="31" t="str">
        <f t="shared" si="14"/>
        <v>OK</v>
      </c>
    </row>
    <row r="292" spans="1:13">
      <c r="A292" t="s">
        <v>943</v>
      </c>
      <c r="B292" s="1">
        <v>45739</v>
      </c>
      <c r="C292" t="s">
        <v>11</v>
      </c>
      <c r="D292" t="s">
        <v>57</v>
      </c>
      <c r="E292" t="s">
        <v>20</v>
      </c>
      <c r="F292" t="s">
        <v>196</v>
      </c>
      <c r="G292">
        <v>8</v>
      </c>
      <c r="H292" s="32" t="str">
        <f t="shared" si="12"/>
        <v>OK</v>
      </c>
      <c r="I292" s="30">
        <v>4818.66</v>
      </c>
      <c r="J292" s="33" t="str">
        <f t="shared" si="13"/>
        <v>OK</v>
      </c>
      <c r="K292" s="30">
        <v>3890.19</v>
      </c>
      <c r="L292" t="s">
        <v>71</v>
      </c>
      <c r="M292" s="31" t="str">
        <f t="shared" si="14"/>
        <v>OK</v>
      </c>
    </row>
    <row r="293" spans="1:13">
      <c r="A293" t="s">
        <v>1093</v>
      </c>
      <c r="B293" s="1">
        <v>45739</v>
      </c>
      <c r="C293" t="s">
        <v>124</v>
      </c>
      <c r="D293" t="s">
        <v>19</v>
      </c>
      <c r="E293" t="s">
        <v>26</v>
      </c>
      <c r="F293" t="s">
        <v>131</v>
      </c>
      <c r="G293">
        <v>3</v>
      </c>
      <c r="H293" s="32" t="str">
        <f t="shared" si="12"/>
        <v>OK</v>
      </c>
      <c r="I293" s="30">
        <v>2940.83</v>
      </c>
      <c r="J293" s="33" t="str">
        <f t="shared" si="13"/>
        <v>OK</v>
      </c>
      <c r="K293" s="30">
        <v>2485.5</v>
      </c>
      <c r="L293" t="s">
        <v>16</v>
      </c>
      <c r="M293" s="31" t="str">
        <f t="shared" si="14"/>
        <v>OK</v>
      </c>
    </row>
    <row r="294" spans="1:13">
      <c r="A294" t="s">
        <v>1382</v>
      </c>
      <c r="B294" s="1">
        <v>45739</v>
      </c>
      <c r="C294" t="s">
        <v>11</v>
      </c>
      <c r="D294" t="s">
        <v>57</v>
      </c>
      <c r="E294" t="s">
        <v>20</v>
      </c>
      <c r="F294" t="s">
        <v>14</v>
      </c>
      <c r="G294">
        <v>4</v>
      </c>
      <c r="H294" s="32" t="str">
        <f t="shared" si="12"/>
        <v>OK</v>
      </c>
      <c r="I294" s="30">
        <v>3756.62</v>
      </c>
      <c r="J294" s="33" t="str">
        <f t="shared" si="13"/>
        <v>OK</v>
      </c>
      <c r="K294" s="30">
        <v>2077.13</v>
      </c>
      <c r="L294" t="s">
        <v>38</v>
      </c>
      <c r="M294" s="31" t="str">
        <f t="shared" si="14"/>
        <v>OK</v>
      </c>
    </row>
    <row r="295" spans="1:13">
      <c r="A295" t="s">
        <v>589</v>
      </c>
      <c r="B295" s="1">
        <v>45740</v>
      </c>
      <c r="C295" t="s">
        <v>121</v>
      </c>
      <c r="D295" t="s">
        <v>63</v>
      </c>
      <c r="E295" t="s">
        <v>20</v>
      </c>
      <c r="F295" t="s">
        <v>196</v>
      </c>
      <c r="G295">
        <v>5</v>
      </c>
      <c r="H295" s="32" t="str">
        <f t="shared" si="12"/>
        <v>OK</v>
      </c>
      <c r="I295" s="30">
        <v>1502.54</v>
      </c>
      <c r="J295" s="33" t="str">
        <f t="shared" si="13"/>
        <v>OK</v>
      </c>
      <c r="K295" s="30">
        <v>913.35</v>
      </c>
      <c r="L295" t="s">
        <v>71</v>
      </c>
      <c r="M295" s="31" t="str">
        <f t="shared" si="14"/>
        <v>OK</v>
      </c>
    </row>
    <row r="296" spans="1:13">
      <c r="A296" t="s">
        <v>831</v>
      </c>
      <c r="B296" s="1">
        <v>45740</v>
      </c>
      <c r="C296" t="s">
        <v>18</v>
      </c>
      <c r="D296" t="s">
        <v>19</v>
      </c>
      <c r="E296" t="s">
        <v>32</v>
      </c>
      <c r="F296" t="s">
        <v>101</v>
      </c>
      <c r="G296">
        <v>1</v>
      </c>
      <c r="H296" s="32" t="str">
        <f t="shared" si="12"/>
        <v>OK</v>
      </c>
      <c r="I296" s="30">
        <v>1460.72</v>
      </c>
      <c r="J296" s="33" t="str">
        <f t="shared" si="13"/>
        <v>OK</v>
      </c>
      <c r="K296" s="30">
        <v>1242.22</v>
      </c>
      <c r="L296" t="s">
        <v>28</v>
      </c>
      <c r="M296" s="31" t="str">
        <f t="shared" si="14"/>
        <v>OK</v>
      </c>
    </row>
    <row r="297" spans="1:13">
      <c r="A297" t="s">
        <v>1118</v>
      </c>
      <c r="B297" s="1">
        <v>45740</v>
      </c>
      <c r="C297" t="s">
        <v>108</v>
      </c>
      <c r="D297" t="s">
        <v>12</v>
      </c>
      <c r="E297" t="s">
        <v>26</v>
      </c>
      <c r="F297" t="s">
        <v>27</v>
      </c>
      <c r="G297">
        <v>5</v>
      </c>
      <c r="H297" s="32" t="str">
        <f t="shared" si="12"/>
        <v>OK</v>
      </c>
      <c r="I297" s="30">
        <v>1710.29</v>
      </c>
      <c r="J297" s="33" t="str">
        <f t="shared" si="13"/>
        <v>OK</v>
      </c>
      <c r="K297" s="30">
        <v>1230.3900000000001</v>
      </c>
      <c r="L297" t="s">
        <v>28</v>
      </c>
      <c r="M297" s="31" t="str">
        <f t="shared" si="14"/>
        <v>OK</v>
      </c>
    </row>
    <row r="298" spans="1:13">
      <c r="A298" t="s">
        <v>833</v>
      </c>
      <c r="B298" s="1">
        <v>45741</v>
      </c>
      <c r="C298" t="s">
        <v>48</v>
      </c>
      <c r="D298" t="s">
        <v>31</v>
      </c>
      <c r="E298" t="s">
        <v>32</v>
      </c>
      <c r="F298" t="s">
        <v>52</v>
      </c>
      <c r="G298">
        <v>3</v>
      </c>
      <c r="H298" s="32" t="str">
        <f t="shared" si="12"/>
        <v>OK</v>
      </c>
      <c r="I298" s="30">
        <v>2112.09</v>
      </c>
      <c r="J298" s="33" t="str">
        <f t="shared" si="13"/>
        <v>OK</v>
      </c>
      <c r="K298" s="30">
        <v>1699.1</v>
      </c>
      <c r="L298" t="s">
        <v>71</v>
      </c>
      <c r="M298" s="31" t="str">
        <f t="shared" si="14"/>
        <v>OK</v>
      </c>
    </row>
    <row r="299" spans="1:13">
      <c r="A299" t="s">
        <v>981</v>
      </c>
      <c r="B299" s="1">
        <v>45741</v>
      </c>
      <c r="C299" t="s">
        <v>59</v>
      </c>
      <c r="D299" t="s">
        <v>12</v>
      </c>
      <c r="E299" t="s">
        <v>32</v>
      </c>
      <c r="F299" t="s">
        <v>101</v>
      </c>
      <c r="G299">
        <v>8</v>
      </c>
      <c r="H299" s="32" t="str">
        <f t="shared" si="12"/>
        <v>OK</v>
      </c>
      <c r="I299" s="30">
        <v>1203.79</v>
      </c>
      <c r="J299" s="33" t="str">
        <f t="shared" si="13"/>
        <v>OK</v>
      </c>
      <c r="K299" s="30">
        <v>1057.43</v>
      </c>
      <c r="L299" t="s">
        <v>28</v>
      </c>
      <c r="M299" s="31" t="str">
        <f t="shared" si="14"/>
        <v>OK</v>
      </c>
    </row>
    <row r="300" spans="1:13">
      <c r="A300" t="s">
        <v>1410</v>
      </c>
      <c r="B300" s="1">
        <v>45741</v>
      </c>
      <c r="C300" t="s">
        <v>48</v>
      </c>
      <c r="D300" t="s">
        <v>19</v>
      </c>
      <c r="E300" t="s">
        <v>82</v>
      </c>
      <c r="F300" t="s">
        <v>137</v>
      </c>
      <c r="G300">
        <v>7</v>
      </c>
      <c r="H300" s="32" t="str">
        <f t="shared" si="12"/>
        <v>OK</v>
      </c>
      <c r="I300" s="30">
        <v>6938.06</v>
      </c>
      <c r="J300" s="33" t="str">
        <f t="shared" si="13"/>
        <v>OK</v>
      </c>
      <c r="K300" s="30">
        <v>5508.65</v>
      </c>
      <c r="L300" t="s">
        <v>22</v>
      </c>
      <c r="M300" s="31" t="str">
        <f t="shared" si="14"/>
        <v>OK</v>
      </c>
    </row>
    <row r="301" spans="1:13">
      <c r="A301" t="s">
        <v>1549</v>
      </c>
      <c r="B301" s="1">
        <v>45741</v>
      </c>
      <c r="C301" t="s">
        <v>121</v>
      </c>
      <c r="D301" t="s">
        <v>12</v>
      </c>
      <c r="E301" t="s">
        <v>32</v>
      </c>
      <c r="F301" t="s">
        <v>180</v>
      </c>
      <c r="G301">
        <v>4</v>
      </c>
      <c r="H301" s="32" t="str">
        <f t="shared" si="12"/>
        <v>OK</v>
      </c>
      <c r="I301" s="30">
        <v>2171.36</v>
      </c>
      <c r="J301" s="33" t="str">
        <f t="shared" si="13"/>
        <v>OK</v>
      </c>
      <c r="K301" s="30">
        <v>1658.13</v>
      </c>
      <c r="L301" t="s">
        <v>71</v>
      </c>
      <c r="M301" s="31" t="str">
        <f t="shared" si="14"/>
        <v>OK</v>
      </c>
    </row>
    <row r="302" spans="1:13">
      <c r="A302" t="s">
        <v>298</v>
      </c>
      <c r="B302" s="1">
        <v>45742</v>
      </c>
      <c r="C302" t="s">
        <v>59</v>
      </c>
      <c r="D302" t="s">
        <v>12</v>
      </c>
      <c r="E302" t="s">
        <v>26</v>
      </c>
      <c r="F302" t="s">
        <v>79</v>
      </c>
      <c r="G302">
        <v>8</v>
      </c>
      <c r="H302" s="32" t="str">
        <f t="shared" si="12"/>
        <v>OK</v>
      </c>
      <c r="I302" s="30">
        <v>1041.8399999999999</v>
      </c>
      <c r="J302" s="33" t="str">
        <f t="shared" si="13"/>
        <v>OK</v>
      </c>
      <c r="K302" s="30">
        <v>773.1</v>
      </c>
      <c r="L302" t="s">
        <v>71</v>
      </c>
      <c r="M302" s="31" t="str">
        <f t="shared" si="14"/>
        <v>OK</v>
      </c>
    </row>
    <row r="303" spans="1:13">
      <c r="A303" t="s">
        <v>493</v>
      </c>
      <c r="B303" s="1">
        <v>45742</v>
      </c>
      <c r="C303" t="s">
        <v>74</v>
      </c>
      <c r="D303" t="s">
        <v>63</v>
      </c>
      <c r="E303" t="s">
        <v>26</v>
      </c>
      <c r="F303" t="s">
        <v>103</v>
      </c>
      <c r="G303">
        <v>7</v>
      </c>
      <c r="H303" s="32" t="str">
        <f t="shared" si="12"/>
        <v>OK</v>
      </c>
      <c r="I303" s="30">
        <v>312.16000000000003</v>
      </c>
      <c r="J303" s="33" t="str">
        <f t="shared" si="13"/>
        <v>OK</v>
      </c>
      <c r="K303" s="30">
        <v>194.8</v>
      </c>
      <c r="L303" t="s">
        <v>71</v>
      </c>
      <c r="M303" s="31" t="str">
        <f t="shared" si="14"/>
        <v>OK</v>
      </c>
    </row>
    <row r="304" spans="1:13">
      <c r="A304" t="s">
        <v>688</v>
      </c>
      <c r="B304" s="1">
        <v>45742</v>
      </c>
      <c r="C304" t="s">
        <v>40</v>
      </c>
      <c r="D304" t="s">
        <v>19</v>
      </c>
      <c r="E304" t="s">
        <v>36</v>
      </c>
      <c r="F304" t="s">
        <v>42</v>
      </c>
      <c r="G304">
        <v>4</v>
      </c>
      <c r="H304" s="32" t="str">
        <f t="shared" si="12"/>
        <v>OK</v>
      </c>
      <c r="I304" s="30">
        <v>9723.5</v>
      </c>
      <c r="J304" s="33" t="str">
        <f t="shared" si="13"/>
        <v>OK</v>
      </c>
      <c r="K304" s="30">
        <v>7118.87</v>
      </c>
      <c r="L304" t="s">
        <v>22</v>
      </c>
      <c r="M304" s="31" t="str">
        <f t="shared" si="14"/>
        <v>OK</v>
      </c>
    </row>
    <row r="305" spans="1:13">
      <c r="A305" t="s">
        <v>335</v>
      </c>
      <c r="B305" s="1">
        <v>45743</v>
      </c>
      <c r="C305" t="s">
        <v>85</v>
      </c>
      <c r="D305" t="s">
        <v>12</v>
      </c>
      <c r="E305" t="s">
        <v>82</v>
      </c>
      <c r="F305" t="s">
        <v>150</v>
      </c>
      <c r="G305">
        <v>7</v>
      </c>
      <c r="H305" s="32" t="str">
        <f t="shared" si="12"/>
        <v>OK</v>
      </c>
      <c r="I305" s="30">
        <v>5358.63</v>
      </c>
      <c r="J305" s="33" t="str">
        <f t="shared" si="13"/>
        <v>OK</v>
      </c>
      <c r="K305" s="30">
        <v>4087.96</v>
      </c>
      <c r="L305" t="s">
        <v>38</v>
      </c>
      <c r="M305" s="31" t="str">
        <f t="shared" si="14"/>
        <v>OK</v>
      </c>
    </row>
    <row r="306" spans="1:13">
      <c r="A306" t="s">
        <v>400</v>
      </c>
      <c r="B306" s="1">
        <v>45744</v>
      </c>
      <c r="C306" t="s">
        <v>108</v>
      </c>
      <c r="D306" t="s">
        <v>19</v>
      </c>
      <c r="E306" t="s">
        <v>36</v>
      </c>
      <c r="F306" t="s">
        <v>1614</v>
      </c>
      <c r="G306">
        <v>1</v>
      </c>
      <c r="H306" s="32" t="str">
        <f t="shared" si="12"/>
        <v>OK</v>
      </c>
      <c r="I306" s="30">
        <v>10106.93</v>
      </c>
      <c r="J306" s="33" t="str">
        <f t="shared" si="13"/>
        <v>OK</v>
      </c>
      <c r="K306" s="30">
        <v>5683.48</v>
      </c>
      <c r="L306" t="s">
        <v>28</v>
      </c>
      <c r="M306" s="31" t="str">
        <f t="shared" si="14"/>
        <v>OK</v>
      </c>
    </row>
    <row r="307" spans="1:13">
      <c r="A307" t="s">
        <v>1574</v>
      </c>
      <c r="B307" s="1">
        <v>45744</v>
      </c>
      <c r="C307" t="s">
        <v>105</v>
      </c>
      <c r="D307" t="s">
        <v>19</v>
      </c>
      <c r="E307" t="s">
        <v>20</v>
      </c>
      <c r="F307" t="s">
        <v>21</v>
      </c>
      <c r="G307">
        <v>2</v>
      </c>
      <c r="H307" s="32" t="str">
        <f t="shared" si="12"/>
        <v>OK</v>
      </c>
      <c r="I307" s="30">
        <v>3307.66</v>
      </c>
      <c r="J307" s="33" t="str">
        <f t="shared" si="13"/>
        <v>OK</v>
      </c>
      <c r="K307" s="30">
        <v>1943.68</v>
      </c>
      <c r="L307" t="s">
        <v>38</v>
      </c>
      <c r="M307" s="31" t="str">
        <f t="shared" si="14"/>
        <v>OK</v>
      </c>
    </row>
    <row r="308" spans="1:13">
      <c r="A308" t="s">
        <v>255</v>
      </c>
      <c r="B308" s="1">
        <v>45745</v>
      </c>
      <c r="C308" t="s">
        <v>162</v>
      </c>
      <c r="D308" t="s">
        <v>12</v>
      </c>
      <c r="E308" t="s">
        <v>36</v>
      </c>
      <c r="F308" t="s">
        <v>42</v>
      </c>
      <c r="G308">
        <v>2</v>
      </c>
      <c r="H308" s="32" t="str">
        <f t="shared" si="12"/>
        <v>OK</v>
      </c>
      <c r="I308" s="30">
        <v>9447.58</v>
      </c>
      <c r="J308" s="33" t="str">
        <f t="shared" si="13"/>
        <v>OK</v>
      </c>
      <c r="K308" s="30">
        <v>6548.97</v>
      </c>
      <c r="L308" t="s">
        <v>22</v>
      </c>
      <c r="M308" s="31" t="str">
        <f t="shared" si="14"/>
        <v>OK</v>
      </c>
    </row>
    <row r="309" spans="1:13">
      <c r="A309" t="s">
        <v>375</v>
      </c>
      <c r="B309" s="1">
        <v>45745</v>
      </c>
      <c r="C309" t="s">
        <v>162</v>
      </c>
      <c r="D309" t="s">
        <v>1617</v>
      </c>
      <c r="E309" t="s">
        <v>82</v>
      </c>
      <c r="F309" t="s">
        <v>97</v>
      </c>
      <c r="G309">
        <v>5</v>
      </c>
      <c r="H309" s="32" t="str">
        <f t="shared" si="12"/>
        <v>OK</v>
      </c>
      <c r="I309" s="30">
        <v>6729.63</v>
      </c>
      <c r="J309" s="33" t="str">
        <f t="shared" si="13"/>
        <v>OK</v>
      </c>
      <c r="K309" s="30">
        <v>5033.47</v>
      </c>
      <c r="L309" t="s">
        <v>28</v>
      </c>
      <c r="M309" s="31" t="str">
        <f t="shared" si="14"/>
        <v>OK</v>
      </c>
    </row>
    <row r="310" spans="1:13">
      <c r="A310" t="s">
        <v>565</v>
      </c>
      <c r="B310" s="1">
        <v>45745</v>
      </c>
      <c r="C310" t="s">
        <v>48</v>
      </c>
      <c r="D310" t="s">
        <v>63</v>
      </c>
      <c r="E310" t="s">
        <v>26</v>
      </c>
      <c r="F310" t="s">
        <v>103</v>
      </c>
      <c r="G310">
        <v>1</v>
      </c>
      <c r="H310" s="32" t="str">
        <f t="shared" si="12"/>
        <v>OK</v>
      </c>
      <c r="I310" s="30">
        <v>2222.71</v>
      </c>
      <c r="J310" s="33" t="str">
        <f t="shared" si="13"/>
        <v>OK</v>
      </c>
      <c r="K310" s="30">
        <v>1352.49</v>
      </c>
      <c r="L310" t="s">
        <v>16</v>
      </c>
      <c r="M310" s="31" t="str">
        <f t="shared" si="14"/>
        <v>OK</v>
      </c>
    </row>
    <row r="311" spans="1:13">
      <c r="A311" t="s">
        <v>1065</v>
      </c>
      <c r="B311" s="1">
        <v>45745</v>
      </c>
      <c r="C311" t="s">
        <v>129</v>
      </c>
      <c r="D311" t="s">
        <v>19</v>
      </c>
      <c r="E311" t="s">
        <v>26</v>
      </c>
      <c r="F311" t="s">
        <v>79</v>
      </c>
      <c r="G311">
        <v>7</v>
      </c>
      <c r="H311" s="32" t="str">
        <f t="shared" si="12"/>
        <v>OK</v>
      </c>
      <c r="I311" s="30">
        <v>3425.59</v>
      </c>
      <c r="J311" s="33" t="str">
        <f t="shared" si="13"/>
        <v>OK</v>
      </c>
      <c r="K311" s="30">
        <v>2628.09</v>
      </c>
      <c r="L311" t="s">
        <v>71</v>
      </c>
      <c r="M311" s="31" t="str">
        <f t="shared" si="14"/>
        <v>OK</v>
      </c>
    </row>
    <row r="312" spans="1:13">
      <c r="A312" t="s">
        <v>439</v>
      </c>
      <c r="B312" s="1">
        <v>45746</v>
      </c>
      <c r="C312" t="s">
        <v>231</v>
      </c>
      <c r="D312" t="s">
        <v>31</v>
      </c>
      <c r="E312" t="s">
        <v>82</v>
      </c>
      <c r="F312" t="s">
        <v>137</v>
      </c>
      <c r="G312">
        <v>5</v>
      </c>
      <c r="H312" s="32" t="str">
        <f t="shared" si="12"/>
        <v>OK</v>
      </c>
      <c r="I312" s="30">
        <v>589.80999999999995</v>
      </c>
      <c r="J312" s="33" t="str">
        <f t="shared" si="13"/>
        <v>OK</v>
      </c>
      <c r="K312" s="30">
        <v>482.94</v>
      </c>
      <c r="L312" t="s">
        <v>71</v>
      </c>
      <c r="M312" s="31" t="str">
        <f t="shared" si="14"/>
        <v>OK</v>
      </c>
    </row>
    <row r="313" spans="1:13">
      <c r="A313" t="s">
        <v>597</v>
      </c>
      <c r="B313" s="1">
        <v>45746</v>
      </c>
      <c r="C313" t="s">
        <v>70</v>
      </c>
      <c r="D313" t="s">
        <v>57</v>
      </c>
      <c r="E313" t="s">
        <v>36</v>
      </c>
      <c r="F313" t="s">
        <v>46</v>
      </c>
      <c r="G313">
        <v>2</v>
      </c>
      <c r="H313" s="32" t="str">
        <f t="shared" si="12"/>
        <v>OK</v>
      </c>
      <c r="J313" s="33" t="str">
        <f t="shared" si="13"/>
        <v>Missing Sales</v>
      </c>
      <c r="K313" s="30">
        <v>5081.91</v>
      </c>
      <c r="L313" t="s">
        <v>38</v>
      </c>
      <c r="M313" s="31" t="str">
        <f t="shared" si="14"/>
        <v>Missing Data</v>
      </c>
    </row>
    <row r="314" spans="1:13">
      <c r="A314" t="s">
        <v>785</v>
      </c>
      <c r="B314" s="1">
        <v>45746</v>
      </c>
      <c r="C314" t="s">
        <v>48</v>
      </c>
      <c r="D314" t="s">
        <v>31</v>
      </c>
      <c r="E314" t="s">
        <v>82</v>
      </c>
      <c r="F314" t="s">
        <v>150</v>
      </c>
      <c r="G314">
        <v>4</v>
      </c>
      <c r="H314" s="32" t="str">
        <f t="shared" si="12"/>
        <v>OK</v>
      </c>
      <c r="I314" s="30">
        <v>6176.19</v>
      </c>
      <c r="J314" s="33" t="str">
        <f t="shared" si="13"/>
        <v>OK</v>
      </c>
      <c r="K314" s="30">
        <v>3806.01</v>
      </c>
      <c r="L314" t="s">
        <v>16</v>
      </c>
      <c r="M314" s="31" t="str">
        <f t="shared" si="14"/>
        <v>OK</v>
      </c>
    </row>
    <row r="315" spans="1:13">
      <c r="A315" t="s">
        <v>452</v>
      </c>
      <c r="B315" s="1">
        <v>45747</v>
      </c>
      <c r="C315" t="s">
        <v>135</v>
      </c>
      <c r="D315" t="s">
        <v>12</v>
      </c>
      <c r="E315" t="s">
        <v>20</v>
      </c>
      <c r="F315" t="s">
        <v>21</v>
      </c>
      <c r="G315">
        <v>6</v>
      </c>
      <c r="H315" s="32" t="str">
        <f t="shared" si="12"/>
        <v>OK</v>
      </c>
      <c r="I315" s="30">
        <v>5879.12</v>
      </c>
      <c r="J315" s="33" t="str">
        <f t="shared" si="13"/>
        <v>OK</v>
      </c>
      <c r="K315" s="30">
        <v>4526.3500000000004</v>
      </c>
      <c r="L315" t="s">
        <v>16</v>
      </c>
      <c r="M315" s="31" t="str">
        <f t="shared" si="14"/>
        <v>OK</v>
      </c>
    </row>
    <row r="316" spans="1:13">
      <c r="A316" t="s">
        <v>457</v>
      </c>
      <c r="B316" s="1">
        <v>45747</v>
      </c>
      <c r="C316" t="s">
        <v>11</v>
      </c>
      <c r="D316" t="s">
        <v>63</v>
      </c>
      <c r="E316" t="s">
        <v>36</v>
      </c>
      <c r="F316" t="s">
        <v>37</v>
      </c>
      <c r="G316">
        <v>1</v>
      </c>
      <c r="H316" s="32" t="str">
        <f t="shared" si="12"/>
        <v>OK</v>
      </c>
      <c r="I316" s="30">
        <v>15473.45</v>
      </c>
      <c r="J316" s="33" t="str">
        <f t="shared" si="13"/>
        <v>OK</v>
      </c>
      <c r="K316" s="30">
        <v>10349.74</v>
      </c>
      <c r="L316" t="s">
        <v>22</v>
      </c>
      <c r="M316" s="31" t="str">
        <f t="shared" si="14"/>
        <v>OK</v>
      </c>
    </row>
    <row r="317" spans="1:13">
      <c r="A317" t="s">
        <v>583</v>
      </c>
      <c r="B317" s="1">
        <v>45747</v>
      </c>
      <c r="C317" t="s">
        <v>18</v>
      </c>
      <c r="D317" t="s">
        <v>63</v>
      </c>
      <c r="E317" t="s">
        <v>82</v>
      </c>
      <c r="F317" t="s">
        <v>137</v>
      </c>
      <c r="G317">
        <v>8</v>
      </c>
      <c r="H317" s="32" t="str">
        <f t="shared" si="12"/>
        <v>OK</v>
      </c>
      <c r="I317" s="30">
        <v>650.55999999999995</v>
      </c>
      <c r="J317" s="33" t="str">
        <f t="shared" si="13"/>
        <v>OK</v>
      </c>
      <c r="K317" s="30">
        <v>369.87</v>
      </c>
      <c r="L317" t="s">
        <v>38</v>
      </c>
      <c r="M317" s="31" t="str">
        <f t="shared" si="14"/>
        <v>OK</v>
      </c>
    </row>
    <row r="318" spans="1:13">
      <c r="A318" t="s">
        <v>834</v>
      </c>
      <c r="B318" s="1">
        <v>45747</v>
      </c>
      <c r="C318" t="s">
        <v>129</v>
      </c>
      <c r="D318" t="s">
        <v>63</v>
      </c>
      <c r="E318" t="s">
        <v>32</v>
      </c>
      <c r="F318" t="s">
        <v>52</v>
      </c>
      <c r="G318">
        <v>1</v>
      </c>
      <c r="H318" s="32" t="str">
        <f t="shared" si="12"/>
        <v>OK</v>
      </c>
      <c r="I318" s="30">
        <v>1571.43</v>
      </c>
      <c r="J318" s="33" t="str">
        <f t="shared" si="13"/>
        <v>OK</v>
      </c>
      <c r="K318" s="30">
        <v>1236.21</v>
      </c>
      <c r="L318" t="s">
        <v>38</v>
      </c>
      <c r="M318" s="31" t="str">
        <f t="shared" si="14"/>
        <v>OK</v>
      </c>
    </row>
    <row r="319" spans="1:13">
      <c r="A319" t="s">
        <v>856</v>
      </c>
      <c r="B319" s="1">
        <v>45747</v>
      </c>
      <c r="C319" t="s">
        <v>105</v>
      </c>
      <c r="D319" t="s">
        <v>31</v>
      </c>
      <c r="E319" t="s">
        <v>82</v>
      </c>
      <c r="F319" t="s">
        <v>150</v>
      </c>
      <c r="G319">
        <v>4</v>
      </c>
      <c r="H319" s="32" t="str">
        <f t="shared" si="12"/>
        <v>OK</v>
      </c>
      <c r="I319" s="30">
        <v>2581.4</v>
      </c>
      <c r="J319" s="33" t="str">
        <f t="shared" si="13"/>
        <v>OK</v>
      </c>
      <c r="K319" s="30">
        <v>1707.65</v>
      </c>
      <c r="L319" t="s">
        <v>28</v>
      </c>
      <c r="M319" s="31" t="str">
        <f t="shared" si="14"/>
        <v>OK</v>
      </c>
    </row>
    <row r="320" spans="1:13">
      <c r="A320" t="s">
        <v>1260</v>
      </c>
      <c r="B320" s="1">
        <v>45747</v>
      </c>
      <c r="C320" t="s">
        <v>56</v>
      </c>
      <c r="D320" t="s">
        <v>12</v>
      </c>
      <c r="E320" t="s">
        <v>20</v>
      </c>
      <c r="F320" t="s">
        <v>86</v>
      </c>
      <c r="G320">
        <v>2</v>
      </c>
      <c r="H320" s="32" t="str">
        <f t="shared" si="12"/>
        <v>OK</v>
      </c>
      <c r="I320" s="30">
        <v>3852.2</v>
      </c>
      <c r="J320" s="33" t="str">
        <f t="shared" si="13"/>
        <v>OK</v>
      </c>
      <c r="K320" s="30">
        <v>2605.0100000000002</v>
      </c>
      <c r="L320" t="s">
        <v>71</v>
      </c>
      <c r="M320" s="31" t="str">
        <f t="shared" si="14"/>
        <v>OK</v>
      </c>
    </row>
    <row r="321" spans="1:13">
      <c r="A321" t="s">
        <v>110</v>
      </c>
      <c r="B321" s="1">
        <v>45748</v>
      </c>
      <c r="C321" t="s">
        <v>108</v>
      </c>
      <c r="D321" t="s">
        <v>63</v>
      </c>
      <c r="E321" t="s">
        <v>26</v>
      </c>
      <c r="F321" t="s">
        <v>103</v>
      </c>
      <c r="G321">
        <v>4</v>
      </c>
      <c r="H321" s="32" t="str">
        <f t="shared" si="12"/>
        <v>OK</v>
      </c>
      <c r="I321" s="30">
        <v>2175.69</v>
      </c>
      <c r="J321" s="33" t="str">
        <f t="shared" si="13"/>
        <v>OK</v>
      </c>
      <c r="K321" s="30">
        <v>1775.47</v>
      </c>
      <c r="L321" t="s">
        <v>22</v>
      </c>
      <c r="M321" s="31" t="str">
        <f t="shared" si="14"/>
        <v>OK</v>
      </c>
    </row>
    <row r="322" spans="1:13">
      <c r="A322" t="s">
        <v>654</v>
      </c>
      <c r="B322" s="1">
        <v>45748</v>
      </c>
      <c r="C322" t="s">
        <v>117</v>
      </c>
      <c r="D322" t="s">
        <v>12</v>
      </c>
      <c r="E322" t="s">
        <v>36</v>
      </c>
      <c r="F322" t="s">
        <v>113</v>
      </c>
      <c r="G322">
        <v>3</v>
      </c>
      <c r="H322" s="32" t="str">
        <f t="shared" ref="H322:H385" si="15">IF(G322="","Blank",IF(G322&lt;0,"Negative Quantity",IF(G322=0,"Zero Quantity",IF(G322&gt;0,"OK",""))))</f>
        <v>OK</v>
      </c>
      <c r="I322" s="30">
        <v>14331.91</v>
      </c>
      <c r="J322" s="33" t="str">
        <f t="shared" ref="J322:J385" si="16">IF(I322="","Missing Sales",IF(I322&lt;0,"Negative Sales","OK"))</f>
        <v>OK</v>
      </c>
      <c r="K322" s="30">
        <v>10176.66</v>
      </c>
      <c r="L322" t="s">
        <v>16</v>
      </c>
      <c r="M322" s="31" t="str">
        <f t="shared" ref="M322:M385" si="17">IF(OR(I322="",K322=""),"Missing Data",IF(I322&lt;K322,"Sales &lt; Cost","OK"))</f>
        <v>OK</v>
      </c>
    </row>
    <row r="323" spans="1:13">
      <c r="A323" t="s">
        <v>957</v>
      </c>
      <c r="B323" s="1">
        <v>45748</v>
      </c>
      <c r="C323" t="s">
        <v>133</v>
      </c>
      <c r="D323" t="s">
        <v>19</v>
      </c>
      <c r="E323" t="s">
        <v>26</v>
      </c>
      <c r="F323" t="s">
        <v>103</v>
      </c>
      <c r="G323">
        <v>1</v>
      </c>
      <c r="H323" s="32" t="str">
        <f t="shared" si="15"/>
        <v>OK</v>
      </c>
      <c r="I323" s="30">
        <v>3333.56</v>
      </c>
      <c r="J323" s="33" t="str">
        <f t="shared" si="16"/>
        <v>OK</v>
      </c>
      <c r="K323" s="30">
        <v>2877.1</v>
      </c>
      <c r="L323" t="s">
        <v>28</v>
      </c>
      <c r="M323" s="31" t="str">
        <f t="shared" si="17"/>
        <v>OK</v>
      </c>
    </row>
    <row r="324" spans="1:13">
      <c r="A324" t="s">
        <v>1127</v>
      </c>
      <c r="B324" s="1">
        <v>45749</v>
      </c>
      <c r="C324" t="s">
        <v>231</v>
      </c>
      <c r="D324" t="s">
        <v>12</v>
      </c>
      <c r="E324" t="s">
        <v>82</v>
      </c>
      <c r="F324" t="s">
        <v>109</v>
      </c>
      <c r="G324">
        <v>7</v>
      </c>
      <c r="H324" s="32" t="str">
        <f t="shared" si="15"/>
        <v>OK</v>
      </c>
      <c r="I324" s="30">
        <v>3901.17</v>
      </c>
      <c r="J324" s="33" t="str">
        <f t="shared" si="16"/>
        <v>OK</v>
      </c>
      <c r="K324" s="30">
        <v>2917.57</v>
      </c>
      <c r="L324" t="s">
        <v>28</v>
      </c>
      <c r="M324" s="31" t="str">
        <f t="shared" si="17"/>
        <v>OK</v>
      </c>
    </row>
    <row r="325" spans="1:13">
      <c r="A325" t="s">
        <v>1370</v>
      </c>
      <c r="B325" s="1">
        <v>45749</v>
      </c>
      <c r="C325" t="s">
        <v>117</v>
      </c>
      <c r="D325" t="s">
        <v>12</v>
      </c>
      <c r="E325" t="s">
        <v>32</v>
      </c>
      <c r="F325" t="s">
        <v>33</v>
      </c>
      <c r="G325">
        <v>8</v>
      </c>
      <c r="H325" s="32" t="str">
        <f t="shared" si="15"/>
        <v>OK</v>
      </c>
      <c r="I325" s="30">
        <v>1617.53</v>
      </c>
      <c r="J325" s="33" t="str">
        <f t="shared" si="16"/>
        <v>OK</v>
      </c>
      <c r="K325" s="30">
        <v>1056.42</v>
      </c>
      <c r="L325" t="s">
        <v>71</v>
      </c>
      <c r="M325" s="31" t="str">
        <f t="shared" si="17"/>
        <v>OK</v>
      </c>
    </row>
    <row r="326" spans="1:13">
      <c r="A326" t="s">
        <v>1591</v>
      </c>
      <c r="B326" s="1">
        <v>45749</v>
      </c>
      <c r="C326" t="s">
        <v>124</v>
      </c>
      <c r="D326" t="s">
        <v>63</v>
      </c>
      <c r="E326" t="s">
        <v>82</v>
      </c>
      <c r="F326" t="s">
        <v>83</v>
      </c>
      <c r="G326">
        <v>6</v>
      </c>
      <c r="H326" s="32" t="str">
        <f t="shared" si="15"/>
        <v>OK</v>
      </c>
      <c r="I326" s="30">
        <v>5102.41</v>
      </c>
      <c r="J326" s="33" t="str">
        <f t="shared" si="16"/>
        <v>OK</v>
      </c>
      <c r="K326" s="30">
        <v>3691.12</v>
      </c>
      <c r="L326" t="s">
        <v>28</v>
      </c>
      <c r="M326" s="31" t="str">
        <f t="shared" si="17"/>
        <v>OK</v>
      </c>
    </row>
    <row r="327" spans="1:13">
      <c r="A327" t="s">
        <v>507</v>
      </c>
      <c r="B327" s="1">
        <v>45750</v>
      </c>
      <c r="C327" t="s">
        <v>124</v>
      </c>
      <c r="D327" t="s">
        <v>63</v>
      </c>
      <c r="E327" t="s">
        <v>26</v>
      </c>
      <c r="F327" t="s">
        <v>106</v>
      </c>
      <c r="G327">
        <v>3</v>
      </c>
      <c r="H327" s="32" t="str">
        <f t="shared" si="15"/>
        <v>OK</v>
      </c>
      <c r="I327" s="30">
        <v>3432.64</v>
      </c>
      <c r="J327" s="33" t="str">
        <f t="shared" si="16"/>
        <v>OK</v>
      </c>
      <c r="K327" s="30">
        <v>2665.05</v>
      </c>
      <c r="L327" t="s">
        <v>16</v>
      </c>
      <c r="M327" s="31" t="str">
        <f t="shared" si="17"/>
        <v>OK</v>
      </c>
    </row>
    <row r="328" spans="1:13">
      <c r="A328" t="s">
        <v>737</v>
      </c>
      <c r="B328" s="1">
        <v>45750</v>
      </c>
      <c r="C328" t="s">
        <v>231</v>
      </c>
      <c r="D328" t="s">
        <v>63</v>
      </c>
      <c r="E328" t="s">
        <v>36</v>
      </c>
      <c r="F328" t="s">
        <v>93</v>
      </c>
      <c r="G328">
        <v>8</v>
      </c>
      <c r="H328" s="32" t="str">
        <f t="shared" si="15"/>
        <v>OK</v>
      </c>
      <c r="I328" s="30">
        <v>4063.98</v>
      </c>
      <c r="J328" s="33" t="str">
        <f t="shared" si="16"/>
        <v>OK</v>
      </c>
      <c r="K328" s="30">
        <v>3391.7</v>
      </c>
      <c r="L328" t="s">
        <v>1617</v>
      </c>
      <c r="M328" s="31" t="str">
        <f t="shared" si="17"/>
        <v>OK</v>
      </c>
    </row>
    <row r="329" spans="1:13">
      <c r="A329" t="s">
        <v>232</v>
      </c>
      <c r="B329" s="1">
        <v>45751</v>
      </c>
      <c r="C329" t="s">
        <v>162</v>
      </c>
      <c r="D329" t="s">
        <v>31</v>
      </c>
      <c r="E329" t="s">
        <v>26</v>
      </c>
      <c r="F329" t="s">
        <v>106</v>
      </c>
      <c r="G329">
        <v>5</v>
      </c>
      <c r="H329" s="32" t="str">
        <f t="shared" si="15"/>
        <v>OK</v>
      </c>
      <c r="I329" s="30">
        <v>1543.11</v>
      </c>
      <c r="J329" s="33" t="str">
        <f t="shared" si="16"/>
        <v>OK</v>
      </c>
      <c r="K329" s="30">
        <v>1230.72</v>
      </c>
      <c r="L329" t="s">
        <v>71</v>
      </c>
      <c r="M329" s="31" t="str">
        <f t="shared" si="17"/>
        <v>OK</v>
      </c>
    </row>
    <row r="330" spans="1:13">
      <c r="A330" t="s">
        <v>809</v>
      </c>
      <c r="B330" s="1">
        <v>45751</v>
      </c>
      <c r="C330" t="s">
        <v>51</v>
      </c>
      <c r="D330" t="s">
        <v>57</v>
      </c>
      <c r="E330" t="s">
        <v>26</v>
      </c>
      <c r="F330" t="s">
        <v>103</v>
      </c>
      <c r="G330">
        <v>5</v>
      </c>
      <c r="H330" s="32" t="str">
        <f t="shared" si="15"/>
        <v>OK</v>
      </c>
      <c r="I330" s="30">
        <v>2746.99</v>
      </c>
      <c r="J330" s="33" t="str">
        <f t="shared" si="16"/>
        <v>OK</v>
      </c>
      <c r="K330" s="30">
        <v>1650.65</v>
      </c>
      <c r="L330" t="s">
        <v>28</v>
      </c>
      <c r="M330" s="31" t="str">
        <f t="shared" si="17"/>
        <v>OK</v>
      </c>
    </row>
    <row r="331" spans="1:13">
      <c r="A331" t="s">
        <v>843</v>
      </c>
      <c r="B331" s="1">
        <v>45751</v>
      </c>
      <c r="C331" t="s">
        <v>54</v>
      </c>
      <c r="D331" t="s">
        <v>63</v>
      </c>
      <c r="E331" t="s">
        <v>82</v>
      </c>
      <c r="F331" t="s">
        <v>137</v>
      </c>
      <c r="G331">
        <v>8</v>
      </c>
      <c r="H331" s="32" t="str">
        <f t="shared" si="15"/>
        <v>OK</v>
      </c>
      <c r="I331" s="30">
        <v>4556.5600000000004</v>
      </c>
      <c r="J331" s="33" t="str">
        <f t="shared" si="16"/>
        <v>OK</v>
      </c>
      <c r="K331" s="30">
        <v>2603.27</v>
      </c>
      <c r="L331" t="s">
        <v>28</v>
      </c>
      <c r="M331" s="31" t="str">
        <f t="shared" si="17"/>
        <v>OK</v>
      </c>
    </row>
    <row r="332" spans="1:13">
      <c r="A332" t="s">
        <v>1330</v>
      </c>
      <c r="B332" s="1">
        <v>45751</v>
      </c>
      <c r="C332" t="s">
        <v>48</v>
      </c>
      <c r="D332" t="s">
        <v>12</v>
      </c>
      <c r="E332" t="s">
        <v>26</v>
      </c>
      <c r="F332" t="s">
        <v>103</v>
      </c>
      <c r="G332">
        <v>7</v>
      </c>
      <c r="H332" s="32" t="str">
        <f t="shared" si="15"/>
        <v>OK</v>
      </c>
      <c r="I332" s="30">
        <v>1395.98</v>
      </c>
      <c r="J332" s="33" t="str">
        <f t="shared" si="16"/>
        <v>OK</v>
      </c>
      <c r="K332" s="30">
        <v>995.46</v>
      </c>
      <c r="L332" t="s">
        <v>28</v>
      </c>
      <c r="M332" s="31" t="str">
        <f t="shared" si="17"/>
        <v>OK</v>
      </c>
    </row>
    <row r="333" spans="1:13">
      <c r="A333" t="s">
        <v>322</v>
      </c>
      <c r="B333" s="1">
        <v>45752</v>
      </c>
      <c r="C333" t="s">
        <v>48</v>
      </c>
      <c r="D333" t="s">
        <v>57</v>
      </c>
      <c r="E333" t="s">
        <v>36</v>
      </c>
      <c r="F333" t="s">
        <v>46</v>
      </c>
      <c r="G333">
        <v>1</v>
      </c>
      <c r="H333" s="32" t="str">
        <f t="shared" si="15"/>
        <v>OK</v>
      </c>
      <c r="I333" s="30">
        <v>13937.85</v>
      </c>
      <c r="J333" s="33" t="str">
        <f t="shared" si="16"/>
        <v>OK</v>
      </c>
      <c r="K333" s="30">
        <v>10480.620000000001</v>
      </c>
      <c r="L333" t="s">
        <v>22</v>
      </c>
      <c r="M333" s="31" t="str">
        <f t="shared" si="17"/>
        <v>OK</v>
      </c>
    </row>
    <row r="334" spans="1:13">
      <c r="A334" t="s">
        <v>606</v>
      </c>
      <c r="B334" s="1">
        <v>45752</v>
      </c>
      <c r="C334" t="s">
        <v>85</v>
      </c>
      <c r="D334" t="s">
        <v>57</v>
      </c>
      <c r="E334" t="s">
        <v>36</v>
      </c>
      <c r="F334" t="s">
        <v>42</v>
      </c>
      <c r="G334">
        <v>5</v>
      </c>
      <c r="H334" s="32" t="str">
        <f t="shared" si="15"/>
        <v>OK</v>
      </c>
      <c r="I334" s="30">
        <v>5937.12</v>
      </c>
      <c r="J334" s="33" t="str">
        <f t="shared" si="16"/>
        <v>OK</v>
      </c>
      <c r="K334" s="30">
        <v>4559.46</v>
      </c>
      <c r="L334" t="s">
        <v>16</v>
      </c>
      <c r="M334" s="31" t="str">
        <f t="shared" si="17"/>
        <v>OK</v>
      </c>
    </row>
    <row r="335" spans="1:13">
      <c r="A335" t="s">
        <v>791</v>
      </c>
      <c r="B335" s="1">
        <v>45752</v>
      </c>
      <c r="C335" t="s">
        <v>40</v>
      </c>
      <c r="D335" t="s">
        <v>12</v>
      </c>
      <c r="E335" t="s">
        <v>82</v>
      </c>
      <c r="F335" t="s">
        <v>83</v>
      </c>
      <c r="G335">
        <v>1</v>
      </c>
      <c r="H335" s="32" t="str">
        <f t="shared" si="15"/>
        <v>OK</v>
      </c>
      <c r="I335" s="30">
        <v>4490.25</v>
      </c>
      <c r="J335" s="33" t="str">
        <f t="shared" si="16"/>
        <v>OK</v>
      </c>
      <c r="K335" s="30">
        <v>3009.12</v>
      </c>
      <c r="L335" t="s">
        <v>38</v>
      </c>
      <c r="M335" s="31" t="str">
        <f t="shared" si="17"/>
        <v>OK</v>
      </c>
    </row>
    <row r="336" spans="1:13">
      <c r="A336" t="s">
        <v>744</v>
      </c>
      <c r="B336" s="1">
        <v>45753</v>
      </c>
      <c r="C336" t="s">
        <v>35</v>
      </c>
      <c r="D336" t="s">
        <v>1617</v>
      </c>
      <c r="E336" t="s">
        <v>20</v>
      </c>
      <c r="F336" t="s">
        <v>86</v>
      </c>
      <c r="G336">
        <v>3</v>
      </c>
      <c r="H336" s="32" t="str">
        <f t="shared" si="15"/>
        <v>OK</v>
      </c>
      <c r="I336" s="30">
        <v>2492.23</v>
      </c>
      <c r="J336" s="33" t="str">
        <f t="shared" si="16"/>
        <v>OK</v>
      </c>
      <c r="K336" s="30">
        <v>1960.66</v>
      </c>
      <c r="L336" t="s">
        <v>16</v>
      </c>
      <c r="M336" s="31" t="str">
        <f t="shared" si="17"/>
        <v>OK</v>
      </c>
    </row>
    <row r="337" spans="1:13">
      <c r="A337" t="s">
        <v>1501</v>
      </c>
      <c r="B337" s="1">
        <v>45753</v>
      </c>
      <c r="C337" t="s">
        <v>220</v>
      </c>
      <c r="D337" t="s">
        <v>63</v>
      </c>
      <c r="E337" t="s">
        <v>26</v>
      </c>
      <c r="F337" t="s">
        <v>79</v>
      </c>
      <c r="G337">
        <v>7</v>
      </c>
      <c r="H337" s="32" t="str">
        <f t="shared" si="15"/>
        <v>OK</v>
      </c>
      <c r="I337" s="30">
        <v>2299.73</v>
      </c>
      <c r="J337" s="33" t="str">
        <f t="shared" si="16"/>
        <v>OK</v>
      </c>
      <c r="K337" s="30">
        <v>1335.39</v>
      </c>
      <c r="L337" t="s">
        <v>38</v>
      </c>
      <c r="M337" s="31" t="str">
        <f t="shared" si="17"/>
        <v>OK</v>
      </c>
    </row>
    <row r="338" spans="1:13">
      <c r="A338" t="s">
        <v>271</v>
      </c>
      <c r="B338" s="1">
        <v>45754</v>
      </c>
      <c r="C338" t="s">
        <v>24</v>
      </c>
      <c r="D338" t="s">
        <v>12</v>
      </c>
      <c r="E338" t="s">
        <v>82</v>
      </c>
      <c r="F338" t="s">
        <v>97</v>
      </c>
      <c r="G338">
        <v>5</v>
      </c>
      <c r="H338" s="32" t="str">
        <f t="shared" si="15"/>
        <v>OK</v>
      </c>
      <c r="I338" s="30">
        <v>5611.28</v>
      </c>
      <c r="J338" s="33" t="str">
        <f t="shared" si="16"/>
        <v>OK</v>
      </c>
      <c r="K338" s="30">
        <v>3692.98</v>
      </c>
      <c r="L338" t="s">
        <v>16</v>
      </c>
      <c r="M338" s="31" t="str">
        <f t="shared" si="17"/>
        <v>OK</v>
      </c>
    </row>
    <row r="339" spans="1:13">
      <c r="A339" t="s">
        <v>337</v>
      </c>
      <c r="B339" s="1">
        <v>45754</v>
      </c>
      <c r="C339" t="s">
        <v>35</v>
      </c>
      <c r="D339" t="s">
        <v>57</v>
      </c>
      <c r="E339" t="s">
        <v>36</v>
      </c>
      <c r="F339" t="s">
        <v>1614</v>
      </c>
      <c r="G339">
        <v>8</v>
      </c>
      <c r="H339" s="32" t="str">
        <f t="shared" si="15"/>
        <v>OK</v>
      </c>
      <c r="I339" s="30">
        <v>12780.76</v>
      </c>
      <c r="J339" s="33" t="str">
        <f t="shared" si="16"/>
        <v>OK</v>
      </c>
      <c r="K339" s="30">
        <v>11170.83</v>
      </c>
      <c r="L339" t="s">
        <v>38</v>
      </c>
      <c r="M339" s="31" t="str">
        <f t="shared" si="17"/>
        <v>OK</v>
      </c>
    </row>
    <row r="340" spans="1:13">
      <c r="A340" t="s">
        <v>763</v>
      </c>
      <c r="B340" s="1">
        <v>45754</v>
      </c>
      <c r="C340" t="s">
        <v>51</v>
      </c>
      <c r="D340" t="s">
        <v>63</v>
      </c>
      <c r="E340" t="s">
        <v>26</v>
      </c>
      <c r="F340" t="s">
        <v>106</v>
      </c>
      <c r="G340">
        <v>2</v>
      </c>
      <c r="H340" s="32" t="str">
        <f t="shared" si="15"/>
        <v>OK</v>
      </c>
      <c r="I340" s="30">
        <v>3157.95</v>
      </c>
      <c r="J340" s="33" t="str">
        <f t="shared" si="16"/>
        <v>OK</v>
      </c>
      <c r="K340" s="30">
        <v>2573.11</v>
      </c>
      <c r="L340" t="s">
        <v>22</v>
      </c>
      <c r="M340" s="31" t="str">
        <f t="shared" si="17"/>
        <v>OK</v>
      </c>
    </row>
    <row r="341" spans="1:13">
      <c r="A341" t="s">
        <v>767</v>
      </c>
      <c r="B341" s="1">
        <v>45754</v>
      </c>
      <c r="C341" t="s">
        <v>115</v>
      </c>
      <c r="D341" t="s">
        <v>19</v>
      </c>
      <c r="E341" t="s">
        <v>82</v>
      </c>
      <c r="F341" t="s">
        <v>109</v>
      </c>
      <c r="G341">
        <v>2</v>
      </c>
      <c r="H341" s="32" t="str">
        <f t="shared" si="15"/>
        <v>OK</v>
      </c>
      <c r="I341" s="30">
        <v>6539.43</v>
      </c>
      <c r="J341" s="33" t="str">
        <f t="shared" si="16"/>
        <v>OK</v>
      </c>
      <c r="K341" s="30">
        <v>4444.5600000000004</v>
      </c>
      <c r="L341" t="s">
        <v>28</v>
      </c>
      <c r="M341" s="31" t="str">
        <f t="shared" si="17"/>
        <v>OK</v>
      </c>
    </row>
    <row r="342" spans="1:13">
      <c r="A342" t="s">
        <v>1280</v>
      </c>
      <c r="B342" s="1">
        <v>45754</v>
      </c>
      <c r="C342" t="s">
        <v>18</v>
      </c>
      <c r="D342" t="s">
        <v>31</v>
      </c>
      <c r="E342" t="s">
        <v>82</v>
      </c>
      <c r="F342" t="s">
        <v>97</v>
      </c>
      <c r="G342">
        <v>7</v>
      </c>
      <c r="H342" s="32" t="str">
        <f t="shared" si="15"/>
        <v>OK</v>
      </c>
      <c r="I342" s="30">
        <v>2350.58</v>
      </c>
      <c r="J342" s="33" t="str">
        <f t="shared" si="16"/>
        <v>OK</v>
      </c>
      <c r="K342" s="30">
        <v>1335.15</v>
      </c>
      <c r="L342" t="s">
        <v>71</v>
      </c>
      <c r="M342" s="31" t="str">
        <f t="shared" si="17"/>
        <v>OK</v>
      </c>
    </row>
    <row r="343" spans="1:13">
      <c r="A343" t="s">
        <v>402</v>
      </c>
      <c r="B343" s="1">
        <v>45755</v>
      </c>
      <c r="C343" t="s">
        <v>135</v>
      </c>
      <c r="D343" t="s">
        <v>12</v>
      </c>
      <c r="E343" t="s">
        <v>32</v>
      </c>
      <c r="F343" t="s">
        <v>52</v>
      </c>
      <c r="G343">
        <v>5</v>
      </c>
      <c r="H343" s="32" t="str">
        <f t="shared" si="15"/>
        <v>OK</v>
      </c>
      <c r="I343" s="30">
        <v>700.71</v>
      </c>
      <c r="J343" s="33" t="str">
        <f t="shared" si="16"/>
        <v>OK</v>
      </c>
      <c r="K343" s="30">
        <v>398.91</v>
      </c>
      <c r="L343" t="s">
        <v>38</v>
      </c>
      <c r="M343" s="31" t="str">
        <f t="shared" si="17"/>
        <v>OK</v>
      </c>
    </row>
    <row r="344" spans="1:13">
      <c r="A344" t="s">
        <v>602</v>
      </c>
      <c r="B344" s="1">
        <v>45755</v>
      </c>
      <c r="C344" t="s">
        <v>162</v>
      </c>
      <c r="D344" t="s">
        <v>12</v>
      </c>
      <c r="E344" t="s">
        <v>32</v>
      </c>
      <c r="F344" t="s">
        <v>1616</v>
      </c>
      <c r="G344">
        <v>3</v>
      </c>
      <c r="H344" s="32" t="str">
        <f t="shared" si="15"/>
        <v>OK</v>
      </c>
      <c r="I344" s="30">
        <v>282.11</v>
      </c>
      <c r="J344" s="33" t="str">
        <f t="shared" si="16"/>
        <v>OK</v>
      </c>
      <c r="K344" s="30">
        <v>157.52000000000001</v>
      </c>
      <c r="L344" t="s">
        <v>38</v>
      </c>
      <c r="M344" s="31" t="str">
        <f t="shared" si="17"/>
        <v>OK</v>
      </c>
    </row>
    <row r="345" spans="1:13">
      <c r="A345" t="s">
        <v>803</v>
      </c>
      <c r="B345" s="1">
        <v>45755</v>
      </c>
      <c r="C345" t="s">
        <v>54</v>
      </c>
      <c r="D345" t="s">
        <v>19</v>
      </c>
      <c r="E345" t="s">
        <v>20</v>
      </c>
      <c r="F345" t="s">
        <v>91</v>
      </c>
      <c r="G345">
        <v>5</v>
      </c>
      <c r="H345" s="32" t="str">
        <f t="shared" si="15"/>
        <v>OK</v>
      </c>
      <c r="I345" s="30">
        <v>4227.7</v>
      </c>
      <c r="J345" s="33" t="str">
        <f t="shared" si="16"/>
        <v>OK</v>
      </c>
      <c r="K345" s="30">
        <v>3331.03</v>
      </c>
      <c r="L345" t="s">
        <v>71</v>
      </c>
      <c r="M345" s="31" t="str">
        <f t="shared" si="17"/>
        <v>OK</v>
      </c>
    </row>
    <row r="346" spans="1:13">
      <c r="A346" t="s">
        <v>1293</v>
      </c>
      <c r="B346" s="1">
        <v>45755</v>
      </c>
      <c r="C346" t="s">
        <v>115</v>
      </c>
      <c r="D346" t="s">
        <v>12</v>
      </c>
      <c r="E346" t="s">
        <v>82</v>
      </c>
      <c r="F346" t="s">
        <v>155</v>
      </c>
      <c r="G346">
        <v>4</v>
      </c>
      <c r="H346" s="32" t="str">
        <f t="shared" si="15"/>
        <v>OK</v>
      </c>
      <c r="I346" s="30">
        <v>5050.76</v>
      </c>
      <c r="J346" s="33" t="str">
        <f t="shared" si="16"/>
        <v>OK</v>
      </c>
      <c r="K346" s="30">
        <v>4320.5</v>
      </c>
      <c r="L346" t="s">
        <v>16</v>
      </c>
      <c r="M346" s="31" t="str">
        <f t="shared" si="17"/>
        <v>OK</v>
      </c>
    </row>
    <row r="347" spans="1:13">
      <c r="A347" t="s">
        <v>200</v>
      </c>
      <c r="B347" s="1">
        <v>45756</v>
      </c>
      <c r="C347" t="s">
        <v>11</v>
      </c>
      <c r="D347" t="s">
        <v>57</v>
      </c>
      <c r="E347" t="s">
        <v>36</v>
      </c>
      <c r="F347" t="s">
        <v>42</v>
      </c>
      <c r="G347">
        <v>6</v>
      </c>
      <c r="H347" s="32" t="str">
        <f t="shared" si="15"/>
        <v>OK</v>
      </c>
      <c r="I347" s="30">
        <v>2944.39</v>
      </c>
      <c r="J347" s="33" t="str">
        <f t="shared" si="16"/>
        <v>OK</v>
      </c>
      <c r="K347" s="30">
        <v>2140.09</v>
      </c>
      <c r="L347" t="s">
        <v>71</v>
      </c>
      <c r="M347" s="31" t="str">
        <f t="shared" si="17"/>
        <v>OK</v>
      </c>
    </row>
    <row r="348" spans="1:13">
      <c r="A348" t="s">
        <v>638</v>
      </c>
      <c r="B348" s="1">
        <v>45756</v>
      </c>
      <c r="C348" t="s">
        <v>162</v>
      </c>
      <c r="D348" t="s">
        <v>63</v>
      </c>
      <c r="E348" t="s">
        <v>20</v>
      </c>
      <c r="F348" t="s">
        <v>86</v>
      </c>
      <c r="G348">
        <v>4</v>
      </c>
      <c r="H348" s="32" t="str">
        <f t="shared" si="15"/>
        <v>OK</v>
      </c>
      <c r="I348" s="30">
        <v>677.26</v>
      </c>
      <c r="J348" s="33" t="str">
        <f t="shared" si="16"/>
        <v>OK</v>
      </c>
      <c r="K348" s="30">
        <v>543.36</v>
      </c>
      <c r="L348" t="s">
        <v>16</v>
      </c>
      <c r="M348" s="31" t="str">
        <f t="shared" si="17"/>
        <v>OK</v>
      </c>
    </row>
    <row r="349" spans="1:13">
      <c r="A349" t="s">
        <v>965</v>
      </c>
      <c r="B349" s="1">
        <v>45756</v>
      </c>
      <c r="C349" t="s">
        <v>59</v>
      </c>
      <c r="D349" t="s">
        <v>57</v>
      </c>
      <c r="E349" t="s">
        <v>26</v>
      </c>
      <c r="F349" t="s">
        <v>106</v>
      </c>
      <c r="G349">
        <v>4</v>
      </c>
      <c r="H349" s="32" t="str">
        <f t="shared" si="15"/>
        <v>OK</v>
      </c>
      <c r="I349" s="30">
        <v>3499.92</v>
      </c>
      <c r="J349" s="33" t="str">
        <f t="shared" si="16"/>
        <v>OK</v>
      </c>
      <c r="K349" s="30">
        <v>2103.91</v>
      </c>
      <c r="L349" t="s">
        <v>22</v>
      </c>
      <c r="M349" s="31" t="str">
        <f t="shared" si="17"/>
        <v>OK</v>
      </c>
    </row>
    <row r="350" spans="1:13">
      <c r="A350" t="s">
        <v>1536</v>
      </c>
      <c r="B350" s="1">
        <v>45756</v>
      </c>
      <c r="C350" t="s">
        <v>85</v>
      </c>
      <c r="D350" t="s">
        <v>12</v>
      </c>
      <c r="E350" t="s">
        <v>26</v>
      </c>
      <c r="F350" t="s">
        <v>106</v>
      </c>
      <c r="G350">
        <v>1</v>
      </c>
      <c r="H350" s="32" t="str">
        <f t="shared" si="15"/>
        <v>OK</v>
      </c>
      <c r="I350" s="30">
        <v>2490.06</v>
      </c>
      <c r="J350" s="33" t="str">
        <f t="shared" si="16"/>
        <v>OK</v>
      </c>
      <c r="K350" s="30">
        <v>1663.85</v>
      </c>
      <c r="L350" t="s">
        <v>71</v>
      </c>
      <c r="M350" s="31" t="str">
        <f t="shared" si="17"/>
        <v>OK</v>
      </c>
    </row>
    <row r="351" spans="1:13">
      <c r="A351" t="s">
        <v>615</v>
      </c>
      <c r="B351" s="1">
        <v>45759</v>
      </c>
      <c r="C351" t="s">
        <v>24</v>
      </c>
      <c r="D351" t="s">
        <v>19</v>
      </c>
      <c r="E351" t="s">
        <v>36</v>
      </c>
      <c r="F351" t="s">
        <v>37</v>
      </c>
      <c r="G351">
        <v>4</v>
      </c>
      <c r="H351" s="32" t="str">
        <f t="shared" si="15"/>
        <v>OK</v>
      </c>
      <c r="I351" s="30">
        <v>5758.13</v>
      </c>
      <c r="J351" s="33" t="str">
        <f t="shared" si="16"/>
        <v>OK</v>
      </c>
      <c r="K351" s="30">
        <v>3583.01</v>
      </c>
      <c r="L351" t="s">
        <v>22</v>
      </c>
      <c r="M351" s="31" t="str">
        <f t="shared" si="17"/>
        <v>OK</v>
      </c>
    </row>
    <row r="352" spans="1:13">
      <c r="A352" t="s">
        <v>1327</v>
      </c>
      <c r="B352" s="1">
        <v>45759</v>
      </c>
      <c r="C352" t="s">
        <v>135</v>
      </c>
      <c r="D352" t="s">
        <v>31</v>
      </c>
      <c r="E352" t="s">
        <v>26</v>
      </c>
      <c r="F352" t="s">
        <v>350</v>
      </c>
      <c r="G352">
        <v>2</v>
      </c>
      <c r="H352" s="32" t="str">
        <f t="shared" si="15"/>
        <v>OK</v>
      </c>
      <c r="I352" s="30">
        <v>1597.11</v>
      </c>
      <c r="J352" s="33" t="str">
        <f t="shared" si="16"/>
        <v>OK</v>
      </c>
      <c r="K352" s="30">
        <v>974.27</v>
      </c>
      <c r="L352" t="s">
        <v>28</v>
      </c>
      <c r="M352" s="31" t="str">
        <f t="shared" si="17"/>
        <v>OK</v>
      </c>
    </row>
    <row r="353" spans="1:13">
      <c r="A353" t="s">
        <v>320</v>
      </c>
      <c r="B353" s="1">
        <v>45760</v>
      </c>
      <c r="C353" t="s">
        <v>105</v>
      </c>
      <c r="D353" t="s">
        <v>12</v>
      </c>
      <c r="E353" t="s">
        <v>20</v>
      </c>
      <c r="F353" t="s">
        <v>191</v>
      </c>
      <c r="G353">
        <v>4</v>
      </c>
      <c r="H353" s="32" t="str">
        <f t="shared" si="15"/>
        <v>OK</v>
      </c>
      <c r="I353" s="30">
        <v>4544.8599999999997</v>
      </c>
      <c r="J353" s="33" t="str">
        <f t="shared" si="16"/>
        <v>OK</v>
      </c>
      <c r="K353" s="30">
        <v>3808.62</v>
      </c>
      <c r="L353" t="s">
        <v>71</v>
      </c>
      <c r="M353" s="31" t="str">
        <f t="shared" si="17"/>
        <v>OK</v>
      </c>
    </row>
    <row r="354" spans="1:13">
      <c r="A354" t="s">
        <v>876</v>
      </c>
      <c r="B354" s="1">
        <v>45760</v>
      </c>
      <c r="C354" t="s">
        <v>67</v>
      </c>
      <c r="D354" t="s">
        <v>19</v>
      </c>
      <c r="E354" t="s">
        <v>20</v>
      </c>
      <c r="F354" t="s">
        <v>21</v>
      </c>
      <c r="G354">
        <v>7</v>
      </c>
      <c r="H354" s="32" t="str">
        <f t="shared" si="15"/>
        <v>OK</v>
      </c>
      <c r="I354" s="30">
        <v>1175.19</v>
      </c>
      <c r="J354" s="33" t="str">
        <f t="shared" si="16"/>
        <v>OK</v>
      </c>
      <c r="K354" s="30">
        <v>971.38</v>
      </c>
      <c r="L354" t="s">
        <v>28</v>
      </c>
      <c r="M354" s="31" t="str">
        <f t="shared" si="17"/>
        <v>OK</v>
      </c>
    </row>
    <row r="355" spans="1:13">
      <c r="A355" t="s">
        <v>1085</v>
      </c>
      <c r="B355" s="1">
        <v>45760</v>
      </c>
      <c r="C355" t="s">
        <v>117</v>
      </c>
      <c r="D355" t="s">
        <v>19</v>
      </c>
      <c r="E355" t="s">
        <v>20</v>
      </c>
      <c r="F355" t="s">
        <v>14</v>
      </c>
      <c r="G355">
        <v>1</v>
      </c>
      <c r="H355" s="32" t="str">
        <f t="shared" si="15"/>
        <v>OK</v>
      </c>
      <c r="I355" s="30">
        <v>2235.7800000000002</v>
      </c>
      <c r="J355" s="33" t="str">
        <f t="shared" si="16"/>
        <v>OK</v>
      </c>
      <c r="K355" s="30">
        <v>1458.46</v>
      </c>
      <c r="L355" t="s">
        <v>28</v>
      </c>
      <c r="M355" s="31" t="str">
        <f t="shared" si="17"/>
        <v>OK</v>
      </c>
    </row>
    <row r="356" spans="1:13">
      <c r="A356" t="s">
        <v>116</v>
      </c>
      <c r="B356" s="1">
        <v>45761</v>
      </c>
      <c r="C356" t="s">
        <v>117</v>
      </c>
      <c r="D356" t="s">
        <v>57</v>
      </c>
      <c r="E356" t="s">
        <v>20</v>
      </c>
      <c r="F356" t="s">
        <v>14</v>
      </c>
      <c r="G356">
        <v>2</v>
      </c>
      <c r="H356" s="32" t="str">
        <f t="shared" si="15"/>
        <v>OK</v>
      </c>
      <c r="I356" s="30">
        <v>3169.54</v>
      </c>
      <c r="J356" s="33" t="str">
        <f t="shared" si="16"/>
        <v>OK</v>
      </c>
      <c r="K356" s="30">
        <v>1846.54</v>
      </c>
      <c r="L356" t="s">
        <v>38</v>
      </c>
      <c r="M356" s="31" t="str">
        <f t="shared" si="17"/>
        <v>OK</v>
      </c>
    </row>
    <row r="357" spans="1:13">
      <c r="A357" t="s">
        <v>658</v>
      </c>
      <c r="B357" s="1">
        <v>45762</v>
      </c>
      <c r="C357" t="s">
        <v>56</v>
      </c>
      <c r="D357" t="s">
        <v>31</v>
      </c>
      <c r="E357" t="s">
        <v>26</v>
      </c>
      <c r="F357" t="s">
        <v>350</v>
      </c>
      <c r="G357">
        <v>6</v>
      </c>
      <c r="H357" s="32" t="str">
        <f t="shared" si="15"/>
        <v>OK</v>
      </c>
      <c r="I357" s="30">
        <v>1025.73</v>
      </c>
      <c r="J357" s="33" t="str">
        <f t="shared" si="16"/>
        <v>OK</v>
      </c>
      <c r="K357" s="30">
        <v>698.12</v>
      </c>
      <c r="L357" t="s">
        <v>22</v>
      </c>
      <c r="M357" s="31" t="str">
        <f t="shared" si="17"/>
        <v>OK</v>
      </c>
    </row>
    <row r="358" spans="1:13">
      <c r="A358" t="s">
        <v>859</v>
      </c>
      <c r="B358" s="1">
        <v>45762</v>
      </c>
      <c r="C358" t="s">
        <v>18</v>
      </c>
      <c r="D358" t="s">
        <v>12</v>
      </c>
      <c r="E358" t="s">
        <v>82</v>
      </c>
      <c r="F358" t="s">
        <v>109</v>
      </c>
      <c r="G358">
        <v>5</v>
      </c>
      <c r="H358" s="32" t="str">
        <f t="shared" si="15"/>
        <v>OK</v>
      </c>
      <c r="I358" s="30">
        <v>4022.08</v>
      </c>
      <c r="J358" s="33" t="str">
        <f t="shared" si="16"/>
        <v>OK</v>
      </c>
      <c r="K358" s="30">
        <v>3039.1</v>
      </c>
      <c r="L358" t="s">
        <v>71</v>
      </c>
      <c r="M358" s="31" t="str">
        <f t="shared" si="17"/>
        <v>OK</v>
      </c>
    </row>
    <row r="359" spans="1:13">
      <c r="A359" t="s">
        <v>416</v>
      </c>
      <c r="B359" s="1">
        <v>45763</v>
      </c>
      <c r="C359" t="s">
        <v>124</v>
      </c>
      <c r="D359" t="s">
        <v>57</v>
      </c>
      <c r="E359" t="s">
        <v>36</v>
      </c>
      <c r="F359" t="s">
        <v>42</v>
      </c>
      <c r="G359">
        <v>6</v>
      </c>
      <c r="H359" s="32" t="str">
        <f t="shared" si="15"/>
        <v>OK</v>
      </c>
      <c r="I359" s="30">
        <v>7536.39</v>
      </c>
      <c r="J359" s="33" t="str">
        <f t="shared" si="16"/>
        <v>OK</v>
      </c>
      <c r="K359" s="30">
        <v>6427.84</v>
      </c>
      <c r="L359" t="s">
        <v>16</v>
      </c>
      <c r="M359" s="31" t="str">
        <f t="shared" si="17"/>
        <v>OK</v>
      </c>
    </row>
    <row r="360" spans="1:13">
      <c r="A360" t="s">
        <v>940</v>
      </c>
      <c r="B360" s="1">
        <v>45763</v>
      </c>
      <c r="C360" t="s">
        <v>162</v>
      </c>
      <c r="D360" t="s">
        <v>57</v>
      </c>
      <c r="E360" t="s">
        <v>36</v>
      </c>
      <c r="F360" t="s">
        <v>37</v>
      </c>
      <c r="G360">
        <v>3</v>
      </c>
      <c r="H360" s="32" t="str">
        <f t="shared" si="15"/>
        <v>OK</v>
      </c>
      <c r="I360" s="30">
        <v>11813.06</v>
      </c>
      <c r="J360" s="33" t="str">
        <f t="shared" si="16"/>
        <v>OK</v>
      </c>
      <c r="K360" s="30">
        <v>10306.06</v>
      </c>
      <c r="L360" t="s">
        <v>28</v>
      </c>
      <c r="M360" s="31" t="str">
        <f t="shared" si="17"/>
        <v>OK</v>
      </c>
    </row>
    <row r="361" spans="1:13">
      <c r="A361" t="s">
        <v>1475</v>
      </c>
      <c r="B361" s="1">
        <v>45763</v>
      </c>
      <c r="C361" t="s">
        <v>175</v>
      </c>
      <c r="D361" t="s">
        <v>63</v>
      </c>
      <c r="E361" t="s">
        <v>32</v>
      </c>
      <c r="F361" t="s">
        <v>1616</v>
      </c>
      <c r="G361">
        <v>8</v>
      </c>
      <c r="H361" s="32" t="str">
        <f t="shared" si="15"/>
        <v>OK</v>
      </c>
      <c r="I361" s="30">
        <v>1804.18</v>
      </c>
      <c r="J361" s="33" t="str">
        <f t="shared" si="16"/>
        <v>OK</v>
      </c>
      <c r="K361" s="30">
        <v>1520.8</v>
      </c>
      <c r="L361" t="s">
        <v>28</v>
      </c>
      <c r="M361" s="31" t="str">
        <f t="shared" si="17"/>
        <v>OK</v>
      </c>
    </row>
    <row r="362" spans="1:13">
      <c r="A362" t="s">
        <v>1277</v>
      </c>
      <c r="B362" s="1">
        <v>45764</v>
      </c>
      <c r="C362" t="s">
        <v>70</v>
      </c>
      <c r="D362" t="s">
        <v>12</v>
      </c>
      <c r="E362" t="s">
        <v>36</v>
      </c>
      <c r="F362" t="s">
        <v>42</v>
      </c>
      <c r="G362">
        <v>7</v>
      </c>
      <c r="H362" s="32" t="str">
        <f t="shared" si="15"/>
        <v>OK</v>
      </c>
      <c r="I362" s="30">
        <v>7980.1</v>
      </c>
      <c r="J362" s="33" t="str">
        <f t="shared" si="16"/>
        <v>OK</v>
      </c>
      <c r="K362" s="30">
        <v>5268.07</v>
      </c>
      <c r="L362" t="s">
        <v>38</v>
      </c>
      <c r="M362" s="31" t="str">
        <f t="shared" si="17"/>
        <v>OK</v>
      </c>
    </row>
    <row r="363" spans="1:13">
      <c r="A363" t="s">
        <v>1329</v>
      </c>
      <c r="B363" s="1">
        <v>45764</v>
      </c>
      <c r="C363" t="s">
        <v>259</v>
      </c>
      <c r="D363" t="s">
        <v>63</v>
      </c>
      <c r="E363" t="s">
        <v>20</v>
      </c>
      <c r="F363" t="s">
        <v>21</v>
      </c>
      <c r="G363">
        <v>1</v>
      </c>
      <c r="H363" s="32" t="str">
        <f t="shared" si="15"/>
        <v>OK</v>
      </c>
      <c r="I363" s="30">
        <v>3041.92</v>
      </c>
      <c r="J363" s="33" t="str">
        <f t="shared" si="16"/>
        <v>OK</v>
      </c>
      <c r="K363" s="30">
        <v>1746.53</v>
      </c>
      <c r="L363" t="s">
        <v>28</v>
      </c>
      <c r="M363" s="31" t="str">
        <f t="shared" si="17"/>
        <v>OK</v>
      </c>
    </row>
    <row r="364" spans="1:13">
      <c r="A364" t="s">
        <v>167</v>
      </c>
      <c r="B364" s="1">
        <v>45765</v>
      </c>
      <c r="C364" t="s">
        <v>35</v>
      </c>
      <c r="D364" t="s">
        <v>1617</v>
      </c>
      <c r="E364" t="s">
        <v>26</v>
      </c>
      <c r="F364" t="s">
        <v>131</v>
      </c>
      <c r="G364">
        <v>7</v>
      </c>
      <c r="H364" s="32" t="str">
        <f t="shared" si="15"/>
        <v>OK</v>
      </c>
      <c r="I364" s="30">
        <v>2258.85</v>
      </c>
      <c r="J364" s="33" t="str">
        <f t="shared" si="16"/>
        <v>OK</v>
      </c>
      <c r="K364" s="30">
        <v>1264.94</v>
      </c>
      <c r="L364" t="s">
        <v>38</v>
      </c>
      <c r="M364" s="31" t="str">
        <f t="shared" si="17"/>
        <v>OK</v>
      </c>
    </row>
    <row r="365" spans="1:13">
      <c r="A365" t="s">
        <v>1038</v>
      </c>
      <c r="B365" s="1">
        <v>45765</v>
      </c>
      <c r="C365" t="s">
        <v>85</v>
      </c>
      <c r="D365" t="s">
        <v>31</v>
      </c>
      <c r="E365" t="s">
        <v>32</v>
      </c>
      <c r="F365" t="s">
        <v>33</v>
      </c>
      <c r="G365">
        <v>6</v>
      </c>
      <c r="H365" s="32" t="str">
        <f t="shared" si="15"/>
        <v>OK</v>
      </c>
      <c r="I365" s="30">
        <v>2030</v>
      </c>
      <c r="J365" s="33" t="str">
        <f t="shared" si="16"/>
        <v>OK</v>
      </c>
      <c r="K365" s="30">
        <v>1552.96</v>
      </c>
      <c r="L365" t="s">
        <v>22</v>
      </c>
      <c r="M365" s="31" t="str">
        <f t="shared" si="17"/>
        <v>OK</v>
      </c>
    </row>
    <row r="366" spans="1:13">
      <c r="A366" t="s">
        <v>1051</v>
      </c>
      <c r="B366" s="1">
        <v>45765</v>
      </c>
      <c r="C366" t="s">
        <v>117</v>
      </c>
      <c r="D366" t="s">
        <v>12</v>
      </c>
      <c r="E366" t="s">
        <v>26</v>
      </c>
      <c r="F366" t="s">
        <v>350</v>
      </c>
      <c r="G366">
        <v>7</v>
      </c>
      <c r="H366" s="32" t="str">
        <f t="shared" si="15"/>
        <v>OK</v>
      </c>
      <c r="I366" s="30">
        <v>1066.99</v>
      </c>
      <c r="J366" s="33" t="str">
        <f t="shared" si="16"/>
        <v>OK</v>
      </c>
      <c r="K366" s="30">
        <v>804.03</v>
      </c>
      <c r="L366" t="s">
        <v>28</v>
      </c>
      <c r="M366" s="31" t="str">
        <f t="shared" si="17"/>
        <v>OK</v>
      </c>
    </row>
    <row r="367" spans="1:13">
      <c r="A367" t="s">
        <v>1554</v>
      </c>
      <c r="B367" s="1">
        <v>45765</v>
      </c>
      <c r="C367" t="s">
        <v>119</v>
      </c>
      <c r="D367" t="s">
        <v>57</v>
      </c>
      <c r="E367" t="s">
        <v>26</v>
      </c>
      <c r="F367" t="s">
        <v>131</v>
      </c>
      <c r="G367">
        <v>7</v>
      </c>
      <c r="H367" s="32" t="str">
        <f t="shared" si="15"/>
        <v>OK</v>
      </c>
      <c r="I367" s="30">
        <v>2521.7800000000002</v>
      </c>
      <c r="J367" s="33" t="str">
        <f t="shared" si="16"/>
        <v>OK</v>
      </c>
      <c r="K367" s="30">
        <v>1392.32</v>
      </c>
      <c r="L367" t="s">
        <v>71</v>
      </c>
      <c r="M367" s="31" t="str">
        <f t="shared" si="17"/>
        <v>OK</v>
      </c>
    </row>
    <row r="368" spans="1:13">
      <c r="A368" t="s">
        <v>443</v>
      </c>
      <c r="B368" s="1">
        <v>45766</v>
      </c>
      <c r="C368" t="s">
        <v>1617</v>
      </c>
      <c r="D368" t="s">
        <v>63</v>
      </c>
      <c r="E368" t="s">
        <v>36</v>
      </c>
      <c r="F368" t="s">
        <v>42</v>
      </c>
      <c r="G368">
        <v>1</v>
      </c>
      <c r="H368" s="32" t="str">
        <f t="shared" si="15"/>
        <v>OK</v>
      </c>
      <c r="I368" s="30">
        <v>1764.89</v>
      </c>
      <c r="J368" s="33" t="str">
        <f t="shared" si="16"/>
        <v>OK</v>
      </c>
      <c r="K368" s="30">
        <v>1164.93</v>
      </c>
      <c r="L368" t="s">
        <v>71</v>
      </c>
      <c r="M368" s="31" t="str">
        <f t="shared" si="17"/>
        <v>OK</v>
      </c>
    </row>
    <row r="369" spans="1:13">
      <c r="A369" t="s">
        <v>492</v>
      </c>
      <c r="B369" s="1">
        <v>45766</v>
      </c>
      <c r="C369" t="s">
        <v>11</v>
      </c>
      <c r="D369" t="s">
        <v>31</v>
      </c>
      <c r="E369" t="s">
        <v>82</v>
      </c>
      <c r="F369" t="s">
        <v>83</v>
      </c>
      <c r="G369">
        <v>4</v>
      </c>
      <c r="H369" s="32" t="str">
        <f t="shared" si="15"/>
        <v>OK</v>
      </c>
      <c r="I369" s="30">
        <v>5105.46</v>
      </c>
      <c r="J369" s="33" t="str">
        <f t="shared" si="16"/>
        <v>OK</v>
      </c>
      <c r="K369" s="30">
        <v>3480.23</v>
      </c>
      <c r="L369" t="s">
        <v>22</v>
      </c>
      <c r="M369" s="31" t="str">
        <f t="shared" si="17"/>
        <v>OK</v>
      </c>
    </row>
    <row r="370" spans="1:13">
      <c r="A370" t="s">
        <v>873</v>
      </c>
      <c r="B370" s="1">
        <v>45766</v>
      </c>
      <c r="C370" t="s">
        <v>70</v>
      </c>
      <c r="D370" t="s">
        <v>19</v>
      </c>
      <c r="E370" t="s">
        <v>82</v>
      </c>
      <c r="F370" t="s">
        <v>109</v>
      </c>
      <c r="G370">
        <v>1</v>
      </c>
      <c r="H370" s="32" t="str">
        <f t="shared" si="15"/>
        <v>OK</v>
      </c>
      <c r="I370" s="30">
        <v>5690.28</v>
      </c>
      <c r="J370" s="33" t="str">
        <f t="shared" si="16"/>
        <v>OK</v>
      </c>
      <c r="K370" s="30">
        <v>3660.98</v>
      </c>
      <c r="L370" t="s">
        <v>16</v>
      </c>
      <c r="M370" s="31" t="str">
        <f t="shared" si="17"/>
        <v>OK</v>
      </c>
    </row>
    <row r="371" spans="1:13">
      <c r="A371" t="s">
        <v>961</v>
      </c>
      <c r="B371" s="1">
        <v>45766</v>
      </c>
      <c r="C371" t="s">
        <v>108</v>
      </c>
      <c r="D371" t="s">
        <v>31</v>
      </c>
      <c r="E371" t="s">
        <v>36</v>
      </c>
      <c r="F371" t="s">
        <v>42</v>
      </c>
      <c r="G371">
        <v>8</v>
      </c>
      <c r="H371" s="32" t="str">
        <f t="shared" si="15"/>
        <v>OK</v>
      </c>
      <c r="I371" s="30">
        <v>8994.3799999999992</v>
      </c>
      <c r="J371" s="33" t="str">
        <f t="shared" si="16"/>
        <v>OK</v>
      </c>
      <c r="K371" s="30">
        <v>7162.62</v>
      </c>
      <c r="L371" t="s">
        <v>38</v>
      </c>
      <c r="M371" s="31" t="str">
        <f t="shared" si="17"/>
        <v>OK</v>
      </c>
    </row>
    <row r="372" spans="1:13">
      <c r="A372" t="s">
        <v>990</v>
      </c>
      <c r="B372" s="1">
        <v>45766</v>
      </c>
      <c r="C372" t="s">
        <v>117</v>
      </c>
      <c r="D372" t="s">
        <v>12</v>
      </c>
      <c r="E372" t="s">
        <v>20</v>
      </c>
      <c r="F372" t="s">
        <v>21</v>
      </c>
      <c r="G372">
        <v>3</v>
      </c>
      <c r="H372" s="32" t="str">
        <f t="shared" si="15"/>
        <v>OK</v>
      </c>
      <c r="I372" s="30">
        <v>4702.88</v>
      </c>
      <c r="J372" s="33" t="str">
        <f t="shared" si="16"/>
        <v>OK</v>
      </c>
      <c r="K372" s="30">
        <v>3035.79</v>
      </c>
      <c r="L372" t="s">
        <v>16</v>
      </c>
      <c r="M372" s="31" t="str">
        <f t="shared" si="17"/>
        <v>OK</v>
      </c>
    </row>
    <row r="373" spans="1:13">
      <c r="A373" t="s">
        <v>34</v>
      </c>
      <c r="B373" s="1">
        <v>45767</v>
      </c>
      <c r="C373" t="s">
        <v>35</v>
      </c>
      <c r="D373" t="s">
        <v>12</v>
      </c>
      <c r="E373" t="s">
        <v>36</v>
      </c>
      <c r="F373" t="s">
        <v>37</v>
      </c>
      <c r="G373">
        <v>8</v>
      </c>
      <c r="H373" s="32" t="str">
        <f t="shared" si="15"/>
        <v>OK</v>
      </c>
      <c r="I373" s="30">
        <v>2232.75</v>
      </c>
      <c r="J373" s="33" t="str">
        <f t="shared" si="16"/>
        <v>OK</v>
      </c>
      <c r="K373" s="30">
        <v>1665.44</v>
      </c>
      <c r="L373" t="s">
        <v>38</v>
      </c>
      <c r="M373" s="31" t="str">
        <f t="shared" si="17"/>
        <v>OK</v>
      </c>
    </row>
    <row r="374" spans="1:13">
      <c r="A374" t="s">
        <v>287</v>
      </c>
      <c r="B374" s="1">
        <v>45767</v>
      </c>
      <c r="C374" t="s">
        <v>54</v>
      </c>
      <c r="D374" t="s">
        <v>57</v>
      </c>
      <c r="E374" t="s">
        <v>82</v>
      </c>
      <c r="F374" t="s">
        <v>97</v>
      </c>
      <c r="G374">
        <v>7</v>
      </c>
      <c r="H374" s="32" t="str">
        <f t="shared" si="15"/>
        <v>OK</v>
      </c>
      <c r="I374" s="30">
        <v>5453.67</v>
      </c>
      <c r="J374" s="33" t="str">
        <f t="shared" si="16"/>
        <v>OK</v>
      </c>
      <c r="K374" s="30">
        <v>4666.32</v>
      </c>
      <c r="L374" t="s">
        <v>22</v>
      </c>
      <c r="M374" s="31" t="str">
        <f t="shared" si="17"/>
        <v>OK</v>
      </c>
    </row>
    <row r="375" spans="1:13">
      <c r="A375" t="s">
        <v>754</v>
      </c>
      <c r="B375" s="1">
        <v>45768</v>
      </c>
      <c r="C375" t="s">
        <v>115</v>
      </c>
      <c r="D375" t="s">
        <v>12</v>
      </c>
      <c r="E375" t="s">
        <v>20</v>
      </c>
      <c r="F375" t="s">
        <v>14</v>
      </c>
      <c r="G375">
        <v>5</v>
      </c>
      <c r="H375" s="32" t="str">
        <f t="shared" si="15"/>
        <v>OK</v>
      </c>
      <c r="I375" s="30">
        <v>3120.97</v>
      </c>
      <c r="J375" s="33" t="str">
        <f t="shared" si="16"/>
        <v>OK</v>
      </c>
      <c r="K375" s="30">
        <v>2365.2399999999998</v>
      </c>
      <c r="L375" t="s">
        <v>28</v>
      </c>
      <c r="M375" s="31" t="str">
        <f t="shared" si="17"/>
        <v>OK</v>
      </c>
    </row>
    <row r="376" spans="1:13">
      <c r="A376" t="s">
        <v>286</v>
      </c>
      <c r="B376" s="1">
        <v>45769</v>
      </c>
      <c r="C376" t="s">
        <v>67</v>
      </c>
      <c r="D376" t="s">
        <v>12</v>
      </c>
      <c r="E376" t="s">
        <v>20</v>
      </c>
      <c r="F376" t="s">
        <v>14</v>
      </c>
      <c r="G376">
        <v>8</v>
      </c>
      <c r="H376" s="32" t="str">
        <f t="shared" si="15"/>
        <v>OK</v>
      </c>
      <c r="I376" s="30">
        <v>2552.6</v>
      </c>
      <c r="J376" s="33" t="str">
        <f t="shared" si="16"/>
        <v>OK</v>
      </c>
      <c r="K376" s="30">
        <v>1924.37</v>
      </c>
      <c r="L376" t="s">
        <v>38</v>
      </c>
      <c r="M376" s="31" t="str">
        <f t="shared" si="17"/>
        <v>OK</v>
      </c>
    </row>
    <row r="377" spans="1:13">
      <c r="A377" t="s">
        <v>614</v>
      </c>
      <c r="B377" s="1">
        <v>45769</v>
      </c>
      <c r="C377" t="s">
        <v>74</v>
      </c>
      <c r="D377" t="s">
        <v>63</v>
      </c>
      <c r="E377" t="s">
        <v>36</v>
      </c>
      <c r="F377" t="s">
        <v>37</v>
      </c>
      <c r="G377">
        <v>3</v>
      </c>
      <c r="H377" s="32" t="str">
        <f t="shared" si="15"/>
        <v>OK</v>
      </c>
      <c r="I377" s="30">
        <v>16072.17</v>
      </c>
      <c r="J377" s="33" t="str">
        <f t="shared" si="16"/>
        <v>OK</v>
      </c>
      <c r="K377" s="30">
        <v>13630.4</v>
      </c>
      <c r="L377" t="s">
        <v>16</v>
      </c>
      <c r="M377" s="31" t="str">
        <f t="shared" si="17"/>
        <v>OK</v>
      </c>
    </row>
    <row r="378" spans="1:13">
      <c r="A378" t="s">
        <v>264</v>
      </c>
      <c r="B378" s="1">
        <v>45770</v>
      </c>
      <c r="C378" t="s">
        <v>51</v>
      </c>
      <c r="D378" t="s">
        <v>57</v>
      </c>
      <c r="E378" t="s">
        <v>82</v>
      </c>
      <c r="F378" t="s">
        <v>83</v>
      </c>
      <c r="G378">
        <v>8</v>
      </c>
      <c r="H378" s="32" t="str">
        <f t="shared" si="15"/>
        <v>OK</v>
      </c>
      <c r="I378" s="30">
        <v>4289.1499999999996</v>
      </c>
      <c r="J378" s="33" t="str">
        <f t="shared" si="16"/>
        <v>OK</v>
      </c>
      <c r="K378" s="30">
        <v>3504.72</v>
      </c>
      <c r="L378" t="s">
        <v>16</v>
      </c>
      <c r="M378" s="31" t="str">
        <f t="shared" si="17"/>
        <v>OK</v>
      </c>
    </row>
    <row r="379" spans="1:13">
      <c r="A379" t="s">
        <v>303</v>
      </c>
      <c r="B379" s="1">
        <v>45770</v>
      </c>
      <c r="C379" t="s">
        <v>67</v>
      </c>
      <c r="D379" t="s">
        <v>12</v>
      </c>
      <c r="E379" t="s">
        <v>26</v>
      </c>
      <c r="F379" t="s">
        <v>79</v>
      </c>
      <c r="G379">
        <v>-2</v>
      </c>
      <c r="H379" s="32" t="str">
        <f t="shared" si="15"/>
        <v>Negative Quantity</v>
      </c>
      <c r="I379" s="30">
        <v>1941.97</v>
      </c>
      <c r="J379" s="33" t="str">
        <f t="shared" si="16"/>
        <v>OK</v>
      </c>
      <c r="K379" s="30">
        <v>1571.96</v>
      </c>
      <c r="L379" t="s">
        <v>71</v>
      </c>
      <c r="M379" s="31" t="str">
        <f t="shared" si="17"/>
        <v>OK</v>
      </c>
    </row>
    <row r="380" spans="1:13">
      <c r="A380" t="s">
        <v>348</v>
      </c>
      <c r="B380" s="1">
        <v>45770</v>
      </c>
      <c r="C380" t="s">
        <v>124</v>
      </c>
      <c r="D380" t="s">
        <v>63</v>
      </c>
      <c r="E380" t="s">
        <v>20</v>
      </c>
      <c r="F380" t="s">
        <v>196</v>
      </c>
      <c r="G380">
        <v>6</v>
      </c>
      <c r="H380" s="32" t="str">
        <f t="shared" si="15"/>
        <v>OK</v>
      </c>
      <c r="I380" s="30">
        <v>5569.55</v>
      </c>
      <c r="J380" s="33" t="str">
        <f t="shared" si="16"/>
        <v>OK</v>
      </c>
      <c r="K380" s="30">
        <v>4631.8599999999997</v>
      </c>
      <c r="L380" t="s">
        <v>28</v>
      </c>
      <c r="M380" s="31" t="str">
        <f t="shared" si="17"/>
        <v>OK</v>
      </c>
    </row>
    <row r="381" spans="1:13">
      <c r="A381" t="s">
        <v>604</v>
      </c>
      <c r="B381" s="1">
        <v>45770</v>
      </c>
      <c r="C381" t="s">
        <v>70</v>
      </c>
      <c r="D381" t="s">
        <v>63</v>
      </c>
      <c r="E381" t="s">
        <v>20</v>
      </c>
      <c r="F381" t="s">
        <v>21</v>
      </c>
      <c r="G381">
        <v>5</v>
      </c>
      <c r="H381" s="32" t="str">
        <f t="shared" si="15"/>
        <v>OK</v>
      </c>
      <c r="I381" s="30">
        <v>3820</v>
      </c>
      <c r="J381" s="33" t="str">
        <f t="shared" si="16"/>
        <v>OK</v>
      </c>
      <c r="K381" s="30">
        <v>3096.3</v>
      </c>
      <c r="L381" t="s">
        <v>38</v>
      </c>
      <c r="M381" s="31" t="str">
        <f t="shared" si="17"/>
        <v>OK</v>
      </c>
    </row>
    <row r="382" spans="1:13">
      <c r="A382" t="s">
        <v>391</v>
      </c>
      <c r="B382" s="1">
        <v>45771</v>
      </c>
      <c r="C382" t="s">
        <v>54</v>
      </c>
      <c r="D382" t="s">
        <v>31</v>
      </c>
      <c r="E382" t="s">
        <v>26</v>
      </c>
      <c r="F382" t="s">
        <v>79</v>
      </c>
      <c r="G382">
        <v>2</v>
      </c>
      <c r="H382" s="32" t="str">
        <f t="shared" si="15"/>
        <v>OK</v>
      </c>
      <c r="I382" s="30">
        <v>2315.06</v>
      </c>
      <c r="J382" s="33" t="str">
        <f t="shared" si="16"/>
        <v>OK</v>
      </c>
      <c r="K382" s="30">
        <v>1627.97</v>
      </c>
      <c r="L382" t="s">
        <v>22</v>
      </c>
      <c r="M382" s="31" t="str">
        <f t="shared" si="17"/>
        <v>OK</v>
      </c>
    </row>
    <row r="383" spans="1:13">
      <c r="A383" t="s">
        <v>401</v>
      </c>
      <c r="B383" s="1">
        <v>45771</v>
      </c>
      <c r="C383" t="s">
        <v>115</v>
      </c>
      <c r="D383" t="s">
        <v>12</v>
      </c>
      <c r="E383" t="s">
        <v>36</v>
      </c>
      <c r="F383" t="s">
        <v>1614</v>
      </c>
      <c r="G383">
        <v>4</v>
      </c>
      <c r="H383" s="32" t="str">
        <f t="shared" si="15"/>
        <v>OK</v>
      </c>
      <c r="I383" s="30">
        <v>8522.81</v>
      </c>
      <c r="J383" s="33" t="str">
        <f t="shared" si="16"/>
        <v>OK</v>
      </c>
      <c r="K383" s="30">
        <v>5787.62</v>
      </c>
      <c r="L383" t="s">
        <v>38</v>
      </c>
      <c r="M383" s="31" t="str">
        <f t="shared" si="17"/>
        <v>OK</v>
      </c>
    </row>
    <row r="384" spans="1:13">
      <c r="A384" t="s">
        <v>1247</v>
      </c>
      <c r="B384" s="1">
        <v>45771</v>
      </c>
      <c r="C384" t="s">
        <v>48</v>
      </c>
      <c r="D384" t="s">
        <v>19</v>
      </c>
      <c r="E384" t="s">
        <v>36</v>
      </c>
      <c r="F384" t="s">
        <v>1614</v>
      </c>
      <c r="G384">
        <v>4</v>
      </c>
      <c r="H384" s="32" t="str">
        <f t="shared" si="15"/>
        <v>OK</v>
      </c>
      <c r="I384" s="30">
        <v>15532.82</v>
      </c>
      <c r="J384" s="33" t="str">
        <f t="shared" si="16"/>
        <v>OK</v>
      </c>
      <c r="K384" s="30">
        <v>8654.2900000000009</v>
      </c>
      <c r="L384" t="s">
        <v>22</v>
      </c>
      <c r="M384" s="31" t="str">
        <f t="shared" si="17"/>
        <v>OK</v>
      </c>
    </row>
    <row r="385" spans="1:13">
      <c r="A385" t="s">
        <v>1100</v>
      </c>
      <c r="B385" s="1">
        <v>45772</v>
      </c>
      <c r="C385" t="s">
        <v>51</v>
      </c>
      <c r="D385" t="s">
        <v>63</v>
      </c>
      <c r="E385" t="s">
        <v>82</v>
      </c>
      <c r="F385" t="s">
        <v>109</v>
      </c>
      <c r="G385">
        <v>1</v>
      </c>
      <c r="H385" s="32" t="str">
        <f t="shared" si="15"/>
        <v>OK</v>
      </c>
      <c r="I385" s="30">
        <v>5390.78</v>
      </c>
      <c r="J385" s="33" t="str">
        <f t="shared" si="16"/>
        <v>OK</v>
      </c>
      <c r="K385" s="30">
        <v>4705.62</v>
      </c>
      <c r="L385" t="s">
        <v>28</v>
      </c>
      <c r="M385" s="31" t="str">
        <f t="shared" si="17"/>
        <v>OK</v>
      </c>
    </row>
    <row r="386" spans="1:13">
      <c r="A386" t="s">
        <v>425</v>
      </c>
      <c r="B386" s="1">
        <v>45773</v>
      </c>
      <c r="C386" t="s">
        <v>24</v>
      </c>
      <c r="D386" t="s">
        <v>19</v>
      </c>
      <c r="E386" t="s">
        <v>26</v>
      </c>
      <c r="F386" t="s">
        <v>103</v>
      </c>
      <c r="G386">
        <v>5</v>
      </c>
      <c r="H386" s="32" t="str">
        <f t="shared" ref="H386:H449" si="18">IF(G386="","Blank",IF(G386&lt;0,"Negative Quantity",IF(G386=0,"Zero Quantity",IF(G386&gt;0,"OK",""))))</f>
        <v>OK</v>
      </c>
      <c r="I386" s="30">
        <v>282.06</v>
      </c>
      <c r="J386" s="33" t="str">
        <f t="shared" ref="J386:J449" si="19">IF(I386="","Missing Sales",IF(I386&lt;0,"Negative Sales","OK"))</f>
        <v>OK</v>
      </c>
      <c r="K386" s="30">
        <v>190.24</v>
      </c>
      <c r="L386" t="s">
        <v>71</v>
      </c>
      <c r="M386" s="31" t="str">
        <f t="shared" ref="M386:M449" si="20">IF(OR(I386="",K386=""),"Missing Data",IF(I386&lt;K386,"Sales &lt; Cost","OK"))</f>
        <v>OK</v>
      </c>
    </row>
    <row r="387" spans="1:13">
      <c r="A387" t="s">
        <v>1278</v>
      </c>
      <c r="B387" s="1">
        <v>45773</v>
      </c>
      <c r="C387" t="s">
        <v>220</v>
      </c>
      <c r="D387" t="s">
        <v>31</v>
      </c>
      <c r="E387" t="s">
        <v>32</v>
      </c>
      <c r="F387" t="s">
        <v>52</v>
      </c>
      <c r="G387">
        <v>5</v>
      </c>
      <c r="H387" s="32" t="str">
        <f t="shared" si="18"/>
        <v>OK</v>
      </c>
      <c r="I387" s="30">
        <v>2172.34</v>
      </c>
      <c r="J387" s="33" t="str">
        <f t="shared" si="19"/>
        <v>OK</v>
      </c>
      <c r="K387" s="30">
        <v>1298.27</v>
      </c>
      <c r="L387" t="s">
        <v>28</v>
      </c>
      <c r="M387" s="31" t="str">
        <f t="shared" si="20"/>
        <v>OK</v>
      </c>
    </row>
    <row r="388" spans="1:13">
      <c r="A388" t="s">
        <v>1395</v>
      </c>
      <c r="B388" s="1">
        <v>45773</v>
      </c>
      <c r="C388" t="s">
        <v>119</v>
      </c>
      <c r="D388" t="s">
        <v>12</v>
      </c>
      <c r="E388" t="s">
        <v>20</v>
      </c>
      <c r="F388" t="s">
        <v>91</v>
      </c>
      <c r="G388">
        <v>1</v>
      </c>
      <c r="H388" s="32" t="str">
        <f t="shared" si="18"/>
        <v>OK</v>
      </c>
      <c r="I388" s="30">
        <v>5577.37</v>
      </c>
      <c r="J388" s="33" t="str">
        <f t="shared" si="19"/>
        <v>OK</v>
      </c>
      <c r="K388" s="30">
        <v>4495.88</v>
      </c>
      <c r="L388" t="s">
        <v>28</v>
      </c>
      <c r="M388" s="31" t="str">
        <f t="shared" si="20"/>
        <v>OK</v>
      </c>
    </row>
    <row r="389" spans="1:13">
      <c r="A389" t="s">
        <v>392</v>
      </c>
      <c r="B389" s="1">
        <v>45774</v>
      </c>
      <c r="C389" t="s">
        <v>24</v>
      </c>
      <c r="D389" t="s">
        <v>19</v>
      </c>
      <c r="E389" t="s">
        <v>32</v>
      </c>
      <c r="F389" t="s">
        <v>1615</v>
      </c>
      <c r="G389">
        <v>2</v>
      </c>
      <c r="H389" s="32" t="str">
        <f t="shared" si="18"/>
        <v>OK</v>
      </c>
      <c r="I389" s="30">
        <v>1216.28</v>
      </c>
      <c r="J389" s="33" t="str">
        <f t="shared" si="19"/>
        <v>OK</v>
      </c>
      <c r="K389" s="30">
        <v>815.77</v>
      </c>
      <c r="L389" t="s">
        <v>22</v>
      </c>
      <c r="M389" s="31" t="str">
        <f t="shared" si="20"/>
        <v>OK</v>
      </c>
    </row>
    <row r="390" spans="1:13">
      <c r="A390" t="s">
        <v>1000</v>
      </c>
      <c r="B390" s="1">
        <v>45774</v>
      </c>
      <c r="C390" t="s">
        <v>48</v>
      </c>
      <c r="D390" t="s">
        <v>12</v>
      </c>
      <c r="E390" t="s">
        <v>20</v>
      </c>
      <c r="F390" t="s">
        <v>14</v>
      </c>
      <c r="G390">
        <v>7</v>
      </c>
      <c r="H390" s="32" t="str">
        <f t="shared" si="18"/>
        <v>OK</v>
      </c>
      <c r="I390" s="30">
        <v>2619.61</v>
      </c>
      <c r="J390" s="33" t="str">
        <f t="shared" si="19"/>
        <v>OK</v>
      </c>
      <c r="K390" s="30">
        <v>1746.21</v>
      </c>
      <c r="L390" t="s">
        <v>22</v>
      </c>
      <c r="M390" s="31" t="str">
        <f t="shared" si="20"/>
        <v>OK</v>
      </c>
    </row>
    <row r="391" spans="1:13">
      <c r="A391" t="s">
        <v>1347</v>
      </c>
      <c r="B391" s="1">
        <v>45774</v>
      </c>
      <c r="C391" t="s">
        <v>105</v>
      </c>
      <c r="D391" t="s">
        <v>57</v>
      </c>
      <c r="E391" t="s">
        <v>32</v>
      </c>
      <c r="F391" t="s">
        <v>33</v>
      </c>
      <c r="G391">
        <v>7</v>
      </c>
      <c r="H391" s="32" t="str">
        <f t="shared" si="18"/>
        <v>OK</v>
      </c>
      <c r="I391" s="30">
        <v>979.54</v>
      </c>
      <c r="J391" s="33" t="str">
        <f t="shared" si="19"/>
        <v>OK</v>
      </c>
      <c r="K391" s="30">
        <v>685.34</v>
      </c>
      <c r="L391" t="s">
        <v>28</v>
      </c>
      <c r="M391" s="31" t="str">
        <f t="shared" si="20"/>
        <v>OK</v>
      </c>
    </row>
    <row r="392" spans="1:13">
      <c r="A392" t="s">
        <v>1438</v>
      </c>
      <c r="B392" s="1">
        <v>45774</v>
      </c>
      <c r="C392" t="s">
        <v>48</v>
      </c>
      <c r="D392" t="s">
        <v>12</v>
      </c>
      <c r="E392" t="s">
        <v>20</v>
      </c>
      <c r="F392" t="s">
        <v>91</v>
      </c>
      <c r="G392">
        <v>5</v>
      </c>
      <c r="H392" s="32" t="str">
        <f t="shared" si="18"/>
        <v>OK</v>
      </c>
      <c r="I392" s="30">
        <v>1189.3900000000001</v>
      </c>
      <c r="J392" s="33" t="str">
        <f t="shared" si="19"/>
        <v>OK</v>
      </c>
      <c r="K392" s="30">
        <v>705.27</v>
      </c>
      <c r="L392" t="s">
        <v>16</v>
      </c>
      <c r="M392" s="31" t="str">
        <f t="shared" si="20"/>
        <v>OK</v>
      </c>
    </row>
    <row r="393" spans="1:13">
      <c r="A393" t="s">
        <v>333</v>
      </c>
      <c r="B393" s="1">
        <v>45775</v>
      </c>
      <c r="C393" t="s">
        <v>1617</v>
      </c>
      <c r="D393" t="s">
        <v>12</v>
      </c>
      <c r="E393" t="s">
        <v>82</v>
      </c>
      <c r="F393" t="s">
        <v>150</v>
      </c>
      <c r="G393">
        <v>4</v>
      </c>
      <c r="H393" s="32" t="str">
        <f t="shared" si="18"/>
        <v>OK</v>
      </c>
      <c r="I393" s="30">
        <v>6348.4</v>
      </c>
      <c r="J393" s="33" t="str">
        <f t="shared" si="19"/>
        <v>OK</v>
      </c>
      <c r="K393" s="30">
        <v>4941.9399999999996</v>
      </c>
      <c r="L393" t="s">
        <v>38</v>
      </c>
      <c r="M393" s="31" t="str">
        <f t="shared" si="20"/>
        <v>OK</v>
      </c>
    </row>
    <row r="394" spans="1:13">
      <c r="A394" t="s">
        <v>788</v>
      </c>
      <c r="B394" s="1">
        <v>45775</v>
      </c>
      <c r="C394" t="s">
        <v>231</v>
      </c>
      <c r="D394" t="s">
        <v>57</v>
      </c>
      <c r="E394" t="s">
        <v>82</v>
      </c>
      <c r="F394" t="s">
        <v>97</v>
      </c>
      <c r="G394">
        <v>2</v>
      </c>
      <c r="H394" s="32" t="str">
        <f t="shared" si="18"/>
        <v>OK</v>
      </c>
      <c r="I394" s="30">
        <v>3117.19</v>
      </c>
      <c r="J394" s="33" t="str">
        <f t="shared" si="19"/>
        <v>OK</v>
      </c>
      <c r="K394" s="30">
        <v>2251.1799999999998</v>
      </c>
      <c r="L394" t="s">
        <v>71</v>
      </c>
      <c r="M394" s="31" t="str">
        <f t="shared" si="20"/>
        <v>OK</v>
      </c>
    </row>
    <row r="395" spans="1:13">
      <c r="A395" t="s">
        <v>919</v>
      </c>
      <c r="B395" s="1">
        <v>45775</v>
      </c>
      <c r="C395" t="s">
        <v>30</v>
      </c>
      <c r="D395" t="s">
        <v>12</v>
      </c>
      <c r="E395" t="s">
        <v>26</v>
      </c>
      <c r="F395" t="s">
        <v>27</v>
      </c>
      <c r="G395">
        <v>1</v>
      </c>
      <c r="H395" s="32" t="str">
        <f t="shared" si="18"/>
        <v>OK</v>
      </c>
      <c r="I395" s="30">
        <v>2866.4</v>
      </c>
      <c r="J395" s="33" t="str">
        <f t="shared" si="19"/>
        <v>OK</v>
      </c>
      <c r="K395" s="30">
        <v>1955.99</v>
      </c>
      <c r="L395" t="s">
        <v>16</v>
      </c>
      <c r="M395" s="31" t="str">
        <f t="shared" si="20"/>
        <v>OK</v>
      </c>
    </row>
    <row r="396" spans="1:13">
      <c r="A396" t="s">
        <v>1087</v>
      </c>
      <c r="B396" s="1">
        <v>45775</v>
      </c>
      <c r="C396" t="s">
        <v>175</v>
      </c>
      <c r="D396" t="s">
        <v>57</v>
      </c>
      <c r="E396" t="s">
        <v>32</v>
      </c>
      <c r="F396" t="s">
        <v>180</v>
      </c>
      <c r="G396">
        <v>7</v>
      </c>
      <c r="H396" s="32" t="str">
        <f t="shared" si="18"/>
        <v>OK</v>
      </c>
      <c r="I396" s="30">
        <v>405.46</v>
      </c>
      <c r="J396" s="33" t="str">
        <f t="shared" si="19"/>
        <v>OK</v>
      </c>
      <c r="K396" s="30">
        <v>330.84</v>
      </c>
      <c r="L396" t="s">
        <v>16</v>
      </c>
      <c r="M396" s="31" t="str">
        <f t="shared" si="20"/>
        <v>OK</v>
      </c>
    </row>
    <row r="397" spans="1:13">
      <c r="A397" t="s">
        <v>1088</v>
      </c>
      <c r="B397" s="1">
        <v>45775</v>
      </c>
      <c r="C397" t="s">
        <v>105</v>
      </c>
      <c r="D397" t="s">
        <v>57</v>
      </c>
      <c r="E397" t="s">
        <v>36</v>
      </c>
      <c r="F397" t="s">
        <v>42</v>
      </c>
      <c r="G397">
        <v>8</v>
      </c>
      <c r="H397" s="32" t="str">
        <f t="shared" si="18"/>
        <v>OK</v>
      </c>
      <c r="I397" s="30">
        <v>14291.17</v>
      </c>
      <c r="J397" s="33" t="str">
        <f t="shared" si="19"/>
        <v>OK</v>
      </c>
      <c r="K397" s="30">
        <v>12336.87</v>
      </c>
      <c r="L397" t="s">
        <v>16</v>
      </c>
      <c r="M397" s="31" t="str">
        <f t="shared" si="20"/>
        <v>OK</v>
      </c>
    </row>
    <row r="398" spans="1:13">
      <c r="A398" t="s">
        <v>1102</v>
      </c>
      <c r="B398" s="1">
        <v>45776</v>
      </c>
      <c r="C398" t="s">
        <v>18</v>
      </c>
      <c r="D398" t="s">
        <v>31</v>
      </c>
      <c r="E398" t="s">
        <v>36</v>
      </c>
      <c r="F398" t="s">
        <v>37</v>
      </c>
      <c r="G398">
        <v>7</v>
      </c>
      <c r="H398" s="32" t="str">
        <f t="shared" si="18"/>
        <v>OK</v>
      </c>
      <c r="I398" s="30">
        <v>4139.7700000000004</v>
      </c>
      <c r="J398" s="33" t="str">
        <f t="shared" si="19"/>
        <v>OK</v>
      </c>
      <c r="K398" s="30">
        <v>2995.72</v>
      </c>
      <c r="L398" t="s">
        <v>71</v>
      </c>
      <c r="M398" s="31" t="str">
        <f t="shared" si="20"/>
        <v>OK</v>
      </c>
    </row>
    <row r="399" spans="1:13">
      <c r="A399" t="s">
        <v>1355</v>
      </c>
      <c r="B399" s="1">
        <v>45776</v>
      </c>
      <c r="C399" t="s">
        <v>121</v>
      </c>
      <c r="D399" t="s">
        <v>57</v>
      </c>
      <c r="E399" t="s">
        <v>36</v>
      </c>
      <c r="F399" t="s">
        <v>37</v>
      </c>
      <c r="G399">
        <v>6</v>
      </c>
      <c r="H399" s="32" t="str">
        <f t="shared" si="18"/>
        <v>OK</v>
      </c>
      <c r="I399" s="30">
        <v>7939.93</v>
      </c>
      <c r="J399" s="33" t="str">
        <f t="shared" si="19"/>
        <v>OK</v>
      </c>
      <c r="K399" s="30">
        <v>5265.14</v>
      </c>
      <c r="L399" t="s">
        <v>22</v>
      </c>
      <c r="M399" s="31" t="str">
        <f t="shared" si="20"/>
        <v>OK</v>
      </c>
    </row>
    <row r="400" spans="1:13">
      <c r="A400" t="s">
        <v>708</v>
      </c>
      <c r="B400" s="1">
        <v>45777</v>
      </c>
      <c r="C400" t="s">
        <v>135</v>
      </c>
      <c r="D400" t="s">
        <v>57</v>
      </c>
      <c r="E400" t="s">
        <v>26</v>
      </c>
      <c r="F400" t="s">
        <v>27</v>
      </c>
      <c r="G400">
        <v>2</v>
      </c>
      <c r="H400" s="32" t="str">
        <f t="shared" si="18"/>
        <v>OK</v>
      </c>
      <c r="I400" s="30">
        <v>1485.41</v>
      </c>
      <c r="J400" s="33" t="str">
        <f t="shared" si="19"/>
        <v>OK</v>
      </c>
      <c r="K400" s="30">
        <v>1039.23</v>
      </c>
      <c r="L400" t="s">
        <v>22</v>
      </c>
      <c r="M400" s="31" t="str">
        <f t="shared" si="20"/>
        <v>OK</v>
      </c>
    </row>
    <row r="401" spans="1:13">
      <c r="A401" t="s">
        <v>1214</v>
      </c>
      <c r="B401" s="1">
        <v>45777</v>
      </c>
      <c r="C401" t="s">
        <v>56</v>
      </c>
      <c r="D401" t="s">
        <v>12</v>
      </c>
      <c r="E401" t="s">
        <v>82</v>
      </c>
      <c r="F401" t="s">
        <v>97</v>
      </c>
      <c r="G401">
        <v>6</v>
      </c>
      <c r="H401" s="32" t="str">
        <f t="shared" si="18"/>
        <v>OK</v>
      </c>
      <c r="I401" s="30">
        <v>2374.73</v>
      </c>
      <c r="J401" s="33" t="str">
        <f t="shared" si="19"/>
        <v>OK</v>
      </c>
      <c r="K401" s="30">
        <v>1828.74</v>
      </c>
      <c r="L401" t="s">
        <v>38</v>
      </c>
      <c r="M401" s="31" t="str">
        <f t="shared" si="20"/>
        <v>OK</v>
      </c>
    </row>
    <row r="402" spans="1:13">
      <c r="A402" t="s">
        <v>1257</v>
      </c>
      <c r="B402" s="1">
        <v>45777</v>
      </c>
      <c r="C402" t="s">
        <v>175</v>
      </c>
      <c r="D402" t="s">
        <v>63</v>
      </c>
      <c r="E402" t="s">
        <v>36</v>
      </c>
      <c r="F402" t="s">
        <v>42</v>
      </c>
      <c r="G402">
        <v>5</v>
      </c>
      <c r="H402" s="32" t="str">
        <f t="shared" si="18"/>
        <v>OK</v>
      </c>
      <c r="I402" s="30">
        <v>14371.86</v>
      </c>
      <c r="J402" s="33" t="str">
        <f t="shared" si="19"/>
        <v>OK</v>
      </c>
      <c r="K402" s="30">
        <v>10868.99</v>
      </c>
      <c r="L402" t="s">
        <v>71</v>
      </c>
      <c r="M402" s="31" t="str">
        <f t="shared" si="20"/>
        <v>OK</v>
      </c>
    </row>
    <row r="403" spans="1:13">
      <c r="A403" t="s">
        <v>23</v>
      </c>
      <c r="B403" s="1">
        <v>45778</v>
      </c>
      <c r="C403" t="s">
        <v>24</v>
      </c>
      <c r="D403" t="s">
        <v>19</v>
      </c>
      <c r="E403" t="s">
        <v>26</v>
      </c>
      <c r="F403" t="s">
        <v>27</v>
      </c>
      <c r="G403">
        <v>5</v>
      </c>
      <c r="H403" s="32" t="str">
        <f t="shared" si="18"/>
        <v>OK</v>
      </c>
      <c r="I403" s="30">
        <v>933.76</v>
      </c>
      <c r="J403" s="33" t="str">
        <f t="shared" si="19"/>
        <v>OK</v>
      </c>
      <c r="K403" s="30">
        <v>787.89</v>
      </c>
      <c r="L403" t="s">
        <v>28</v>
      </c>
      <c r="M403" s="31" t="str">
        <f t="shared" si="20"/>
        <v>OK</v>
      </c>
    </row>
    <row r="404" spans="1:13">
      <c r="A404" t="s">
        <v>652</v>
      </c>
      <c r="B404" s="1">
        <v>45778</v>
      </c>
      <c r="C404" t="s">
        <v>124</v>
      </c>
      <c r="D404" t="s">
        <v>12</v>
      </c>
      <c r="E404" t="s">
        <v>20</v>
      </c>
      <c r="F404" t="s">
        <v>14</v>
      </c>
      <c r="G404">
        <v>7</v>
      </c>
      <c r="H404" s="32" t="str">
        <f t="shared" si="18"/>
        <v>OK</v>
      </c>
      <c r="I404" s="30">
        <v>2284.8200000000002</v>
      </c>
      <c r="J404" s="33" t="str">
        <f t="shared" si="19"/>
        <v>OK</v>
      </c>
      <c r="K404" s="30">
        <v>1382.84</v>
      </c>
      <c r="L404" t="s">
        <v>22</v>
      </c>
      <c r="M404" s="31" t="str">
        <f t="shared" si="20"/>
        <v>OK</v>
      </c>
    </row>
    <row r="405" spans="1:13">
      <c r="A405" t="s">
        <v>682</v>
      </c>
      <c r="B405" s="1">
        <v>45778</v>
      </c>
      <c r="C405" t="s">
        <v>259</v>
      </c>
      <c r="D405" t="s">
        <v>31</v>
      </c>
      <c r="E405" t="s">
        <v>32</v>
      </c>
      <c r="F405" t="s">
        <v>1615</v>
      </c>
      <c r="G405">
        <v>8</v>
      </c>
      <c r="H405" s="32" t="str">
        <f t="shared" si="18"/>
        <v>OK</v>
      </c>
      <c r="I405" s="30">
        <v>887.36</v>
      </c>
      <c r="J405" s="33" t="str">
        <f t="shared" si="19"/>
        <v>OK</v>
      </c>
      <c r="K405" s="30">
        <v>603.66</v>
      </c>
      <c r="L405" t="s">
        <v>16</v>
      </c>
      <c r="M405" s="31" t="str">
        <f t="shared" si="20"/>
        <v>OK</v>
      </c>
    </row>
    <row r="406" spans="1:13">
      <c r="A406" t="s">
        <v>1006</v>
      </c>
      <c r="B406" s="1">
        <v>45778</v>
      </c>
      <c r="C406" t="s">
        <v>30</v>
      </c>
      <c r="D406" t="s">
        <v>31</v>
      </c>
      <c r="E406" t="s">
        <v>32</v>
      </c>
      <c r="F406" t="s">
        <v>33</v>
      </c>
      <c r="G406">
        <v>2</v>
      </c>
      <c r="H406" s="32" t="str">
        <f t="shared" si="18"/>
        <v>OK</v>
      </c>
      <c r="I406" s="30">
        <v>1255.92</v>
      </c>
      <c r="J406" s="33" t="str">
        <f t="shared" si="19"/>
        <v>OK</v>
      </c>
      <c r="K406" s="30">
        <v>1022.84</v>
      </c>
      <c r="L406" t="s">
        <v>28</v>
      </c>
      <c r="M406" s="31" t="str">
        <f t="shared" si="20"/>
        <v>OK</v>
      </c>
    </row>
    <row r="407" spans="1:13">
      <c r="A407" t="s">
        <v>1094</v>
      </c>
      <c r="B407" s="1">
        <v>45778</v>
      </c>
      <c r="C407" t="s">
        <v>18</v>
      </c>
      <c r="D407" t="s">
        <v>57</v>
      </c>
      <c r="E407" t="s">
        <v>20</v>
      </c>
      <c r="F407" t="s">
        <v>191</v>
      </c>
      <c r="G407">
        <v>7</v>
      </c>
      <c r="H407" s="32" t="str">
        <f t="shared" si="18"/>
        <v>OK</v>
      </c>
      <c r="I407" s="30">
        <v>1702.27</v>
      </c>
      <c r="J407" s="33" t="str">
        <f t="shared" si="19"/>
        <v>OK</v>
      </c>
      <c r="K407" s="30">
        <v>1175</v>
      </c>
      <c r="L407" t="s">
        <v>28</v>
      </c>
      <c r="M407" s="31" t="str">
        <f t="shared" si="20"/>
        <v>OK</v>
      </c>
    </row>
    <row r="408" spans="1:13">
      <c r="A408" t="s">
        <v>1360</v>
      </c>
      <c r="B408" s="1">
        <v>45778</v>
      </c>
      <c r="C408" t="s">
        <v>117</v>
      </c>
      <c r="D408" t="s">
        <v>12</v>
      </c>
      <c r="E408" t="s">
        <v>20</v>
      </c>
      <c r="F408" t="s">
        <v>86</v>
      </c>
      <c r="G408">
        <v>5</v>
      </c>
      <c r="H408" s="32" t="str">
        <f t="shared" si="18"/>
        <v>OK</v>
      </c>
      <c r="I408" s="30">
        <v>3758.92</v>
      </c>
      <c r="J408" s="33" t="str">
        <f t="shared" si="19"/>
        <v>OK</v>
      </c>
      <c r="K408" s="30">
        <v>3196.69</v>
      </c>
      <c r="L408" t="s">
        <v>16</v>
      </c>
      <c r="M408" s="31" t="str">
        <f t="shared" si="20"/>
        <v>OK</v>
      </c>
    </row>
    <row r="409" spans="1:13">
      <c r="A409" t="s">
        <v>1032</v>
      </c>
      <c r="B409" s="1">
        <v>45779</v>
      </c>
      <c r="C409" t="s">
        <v>129</v>
      </c>
      <c r="D409" t="s">
        <v>63</v>
      </c>
      <c r="E409" t="s">
        <v>36</v>
      </c>
      <c r="F409" t="s">
        <v>1614</v>
      </c>
      <c r="G409">
        <v>5</v>
      </c>
      <c r="H409" s="32" t="str">
        <f t="shared" si="18"/>
        <v>OK</v>
      </c>
      <c r="I409" s="30">
        <v>2983.61</v>
      </c>
      <c r="J409" s="33" t="str">
        <f t="shared" si="19"/>
        <v>OK</v>
      </c>
      <c r="K409" s="30">
        <v>1875.75</v>
      </c>
      <c r="L409" t="s">
        <v>38</v>
      </c>
      <c r="M409" s="31" t="str">
        <f t="shared" si="20"/>
        <v>OK</v>
      </c>
    </row>
    <row r="410" spans="1:13">
      <c r="A410" t="s">
        <v>1147</v>
      </c>
      <c r="B410" s="1">
        <v>45779</v>
      </c>
      <c r="C410" t="s">
        <v>231</v>
      </c>
      <c r="D410" t="s">
        <v>12</v>
      </c>
      <c r="E410" t="s">
        <v>36</v>
      </c>
      <c r="F410" t="s">
        <v>113</v>
      </c>
      <c r="G410">
        <v>8</v>
      </c>
      <c r="H410" s="32" t="str">
        <f t="shared" si="18"/>
        <v>OK</v>
      </c>
      <c r="I410" s="30">
        <v>7542.85</v>
      </c>
      <c r="J410" s="33" t="str">
        <f t="shared" si="19"/>
        <v>OK</v>
      </c>
      <c r="K410" s="30">
        <v>6413.16</v>
      </c>
      <c r="L410" t="s">
        <v>28</v>
      </c>
      <c r="M410" s="31" t="str">
        <f t="shared" si="20"/>
        <v>OK</v>
      </c>
    </row>
    <row r="411" spans="1:13">
      <c r="A411" t="s">
        <v>1151</v>
      </c>
      <c r="B411" s="1">
        <v>45779</v>
      </c>
      <c r="C411" t="s">
        <v>135</v>
      </c>
      <c r="D411" t="s">
        <v>12</v>
      </c>
      <c r="E411" t="s">
        <v>20</v>
      </c>
      <c r="F411" t="s">
        <v>14</v>
      </c>
      <c r="G411">
        <v>1</v>
      </c>
      <c r="H411" s="32" t="str">
        <f t="shared" si="18"/>
        <v>OK</v>
      </c>
      <c r="I411" s="30">
        <v>2821.34</v>
      </c>
      <c r="J411" s="33" t="str">
        <f t="shared" si="19"/>
        <v>OK</v>
      </c>
      <c r="K411" s="30">
        <v>1733.67</v>
      </c>
      <c r="L411" t="s">
        <v>71</v>
      </c>
      <c r="M411" s="31" t="str">
        <f t="shared" si="20"/>
        <v>OK</v>
      </c>
    </row>
    <row r="412" spans="1:13">
      <c r="A412" t="s">
        <v>1227</v>
      </c>
      <c r="B412" s="1">
        <v>45779</v>
      </c>
      <c r="C412" t="s">
        <v>108</v>
      </c>
      <c r="D412" t="s">
        <v>57</v>
      </c>
      <c r="E412" t="s">
        <v>82</v>
      </c>
      <c r="F412" t="s">
        <v>83</v>
      </c>
      <c r="G412">
        <v>5</v>
      </c>
      <c r="H412" s="32" t="str">
        <f t="shared" si="18"/>
        <v>OK</v>
      </c>
      <c r="I412" s="30">
        <v>4973.38</v>
      </c>
      <c r="J412" s="33" t="str">
        <f t="shared" si="19"/>
        <v>OK</v>
      </c>
      <c r="K412" s="30">
        <v>2812.46</v>
      </c>
      <c r="L412" t="s">
        <v>28</v>
      </c>
      <c r="M412" s="31" t="str">
        <f t="shared" si="20"/>
        <v>OK</v>
      </c>
    </row>
    <row r="413" spans="1:13">
      <c r="A413" t="s">
        <v>1464</v>
      </c>
      <c r="B413" s="1">
        <v>45779</v>
      </c>
      <c r="C413" t="s">
        <v>11</v>
      </c>
      <c r="D413" t="s">
        <v>63</v>
      </c>
      <c r="E413" t="s">
        <v>36</v>
      </c>
      <c r="F413" t="s">
        <v>93</v>
      </c>
      <c r="G413">
        <v>6</v>
      </c>
      <c r="H413" s="32" t="str">
        <f t="shared" si="18"/>
        <v>OK</v>
      </c>
      <c r="I413" s="30">
        <v>8627.6</v>
      </c>
      <c r="J413" s="33" t="str">
        <f t="shared" si="19"/>
        <v>OK</v>
      </c>
      <c r="K413" s="30">
        <v>7452</v>
      </c>
      <c r="L413" t="s">
        <v>71</v>
      </c>
      <c r="M413" s="31" t="str">
        <f t="shared" si="20"/>
        <v>OK</v>
      </c>
    </row>
    <row r="414" spans="1:13">
      <c r="A414" t="s">
        <v>1609</v>
      </c>
      <c r="B414" s="1">
        <v>45779</v>
      </c>
      <c r="C414" t="s">
        <v>59</v>
      </c>
      <c r="D414" t="s">
        <v>57</v>
      </c>
      <c r="E414" t="s">
        <v>36</v>
      </c>
      <c r="F414" t="s">
        <v>113</v>
      </c>
      <c r="G414">
        <v>5</v>
      </c>
      <c r="H414" s="32" t="str">
        <f t="shared" si="18"/>
        <v>OK</v>
      </c>
      <c r="I414" s="30">
        <v>1568.45</v>
      </c>
      <c r="J414" s="33" t="str">
        <f t="shared" si="19"/>
        <v>OK</v>
      </c>
      <c r="K414" s="30">
        <v>939.32</v>
      </c>
      <c r="L414" t="s">
        <v>22</v>
      </c>
      <c r="M414" s="31" t="str">
        <f t="shared" si="20"/>
        <v>OK</v>
      </c>
    </row>
    <row r="415" spans="1:13">
      <c r="A415" t="s">
        <v>458</v>
      </c>
      <c r="B415" s="1">
        <v>45780</v>
      </c>
      <c r="C415" t="s">
        <v>70</v>
      </c>
      <c r="D415" t="s">
        <v>19</v>
      </c>
      <c r="E415" t="s">
        <v>20</v>
      </c>
      <c r="F415" t="s">
        <v>91</v>
      </c>
      <c r="G415">
        <v>7</v>
      </c>
      <c r="H415" s="32" t="str">
        <f t="shared" si="18"/>
        <v>OK</v>
      </c>
      <c r="I415" s="30">
        <v>1784.59</v>
      </c>
      <c r="J415" s="33" t="str">
        <f t="shared" si="19"/>
        <v>OK</v>
      </c>
      <c r="K415" s="30">
        <v>1438.25</v>
      </c>
      <c r="L415" t="s">
        <v>16</v>
      </c>
      <c r="M415" s="31" t="str">
        <f t="shared" si="20"/>
        <v>OK</v>
      </c>
    </row>
    <row r="416" spans="1:13">
      <c r="A416" t="s">
        <v>1010</v>
      </c>
      <c r="B416" s="1">
        <v>45780</v>
      </c>
      <c r="C416" t="s">
        <v>124</v>
      </c>
      <c r="D416" t="s">
        <v>31</v>
      </c>
      <c r="E416" t="s">
        <v>26</v>
      </c>
      <c r="F416" t="s">
        <v>27</v>
      </c>
      <c r="G416">
        <v>5</v>
      </c>
      <c r="H416" s="32" t="str">
        <f t="shared" si="18"/>
        <v>OK</v>
      </c>
      <c r="I416" s="30">
        <v>778.97</v>
      </c>
      <c r="J416" s="33" t="str">
        <f t="shared" si="19"/>
        <v>OK</v>
      </c>
      <c r="K416" s="30">
        <v>455.8</v>
      </c>
      <c r="L416" t="s">
        <v>71</v>
      </c>
      <c r="M416" s="31" t="str">
        <f t="shared" si="20"/>
        <v>OK</v>
      </c>
    </row>
    <row r="417" spans="1:13">
      <c r="A417" t="s">
        <v>1407</v>
      </c>
      <c r="B417" s="1">
        <v>45780</v>
      </c>
      <c r="C417" t="s">
        <v>24</v>
      </c>
      <c r="D417" t="s">
        <v>57</v>
      </c>
      <c r="E417" t="s">
        <v>26</v>
      </c>
      <c r="F417" t="s">
        <v>106</v>
      </c>
      <c r="G417">
        <v>6</v>
      </c>
      <c r="H417" s="32" t="str">
        <f t="shared" si="18"/>
        <v>OK</v>
      </c>
      <c r="I417" s="30">
        <v>2880.84</v>
      </c>
      <c r="J417" s="33" t="str">
        <f t="shared" si="19"/>
        <v>OK</v>
      </c>
      <c r="K417" s="30">
        <v>2212.77</v>
      </c>
      <c r="L417" t="s">
        <v>38</v>
      </c>
      <c r="M417" s="31" t="str">
        <f t="shared" si="20"/>
        <v>OK</v>
      </c>
    </row>
    <row r="418" spans="1:13">
      <c r="A418" t="s">
        <v>709</v>
      </c>
      <c r="B418" s="1">
        <v>45781</v>
      </c>
      <c r="C418" t="s">
        <v>115</v>
      </c>
      <c r="D418" t="s">
        <v>12</v>
      </c>
      <c r="E418" t="s">
        <v>26</v>
      </c>
      <c r="F418" t="s">
        <v>106</v>
      </c>
      <c r="G418">
        <v>4</v>
      </c>
      <c r="H418" s="32" t="str">
        <f t="shared" si="18"/>
        <v>OK</v>
      </c>
      <c r="I418" s="30">
        <v>3366.41</v>
      </c>
      <c r="J418" s="33" t="str">
        <f t="shared" si="19"/>
        <v>OK</v>
      </c>
      <c r="K418" s="30">
        <v>2609.7800000000002</v>
      </c>
      <c r="L418" t="s">
        <v>22</v>
      </c>
      <c r="M418" s="31" t="str">
        <f t="shared" si="20"/>
        <v>OK</v>
      </c>
    </row>
    <row r="419" spans="1:13">
      <c r="A419" t="s">
        <v>1055</v>
      </c>
      <c r="B419" s="1">
        <v>45781</v>
      </c>
      <c r="C419" t="s">
        <v>105</v>
      </c>
      <c r="D419" t="s">
        <v>63</v>
      </c>
      <c r="E419" t="s">
        <v>32</v>
      </c>
      <c r="F419" t="s">
        <v>1615</v>
      </c>
      <c r="G419">
        <v>8</v>
      </c>
      <c r="H419" s="32" t="str">
        <f t="shared" si="18"/>
        <v>OK</v>
      </c>
      <c r="I419" s="30">
        <v>1685.58</v>
      </c>
      <c r="J419" s="33" t="str">
        <f t="shared" si="19"/>
        <v>OK</v>
      </c>
      <c r="K419" s="30">
        <v>1200.08</v>
      </c>
      <c r="L419" t="s">
        <v>16</v>
      </c>
      <c r="M419" s="31" t="str">
        <f t="shared" si="20"/>
        <v>OK</v>
      </c>
    </row>
    <row r="420" spans="1:13">
      <c r="A420" t="s">
        <v>1467</v>
      </c>
      <c r="B420" s="1">
        <v>45781</v>
      </c>
      <c r="C420" t="s">
        <v>24</v>
      </c>
      <c r="D420" t="s">
        <v>12</v>
      </c>
      <c r="E420" t="s">
        <v>82</v>
      </c>
      <c r="F420" t="s">
        <v>109</v>
      </c>
      <c r="G420">
        <v>4</v>
      </c>
      <c r="H420" s="32" t="str">
        <f t="shared" si="18"/>
        <v>OK</v>
      </c>
      <c r="I420" s="30">
        <v>4490.55</v>
      </c>
      <c r="J420" s="33" t="str">
        <f t="shared" si="19"/>
        <v>OK</v>
      </c>
      <c r="K420" s="30">
        <v>2843.86</v>
      </c>
      <c r="L420" t="s">
        <v>22</v>
      </c>
      <c r="M420" s="31" t="str">
        <f t="shared" si="20"/>
        <v>OK</v>
      </c>
    </row>
    <row r="421" spans="1:13">
      <c r="A421" t="s">
        <v>590</v>
      </c>
      <c r="B421" s="1">
        <v>45782</v>
      </c>
      <c r="C421" t="s">
        <v>59</v>
      </c>
      <c r="D421" t="s">
        <v>12</v>
      </c>
      <c r="E421" t="s">
        <v>32</v>
      </c>
      <c r="F421" t="s">
        <v>180</v>
      </c>
      <c r="G421">
        <v>1</v>
      </c>
      <c r="H421" s="32" t="str">
        <f t="shared" si="18"/>
        <v>OK</v>
      </c>
      <c r="I421" s="30">
        <v>494.14</v>
      </c>
      <c r="J421" s="33" t="str">
        <f t="shared" si="19"/>
        <v>OK</v>
      </c>
      <c r="K421" s="30">
        <v>368.37</v>
      </c>
      <c r="L421" t="s">
        <v>71</v>
      </c>
      <c r="M421" s="31" t="str">
        <f t="shared" si="20"/>
        <v>OK</v>
      </c>
    </row>
    <row r="422" spans="1:13">
      <c r="A422" t="s">
        <v>1164</v>
      </c>
      <c r="B422" s="1">
        <v>45782</v>
      </c>
      <c r="C422" t="s">
        <v>74</v>
      </c>
      <c r="D422" t="s">
        <v>19</v>
      </c>
      <c r="E422" t="s">
        <v>32</v>
      </c>
      <c r="F422" t="s">
        <v>1615</v>
      </c>
      <c r="G422">
        <v>6</v>
      </c>
      <c r="H422" s="32" t="str">
        <f t="shared" si="18"/>
        <v>OK</v>
      </c>
      <c r="I422" s="30">
        <v>1064.93</v>
      </c>
      <c r="J422" s="33" t="str">
        <f t="shared" si="19"/>
        <v>OK</v>
      </c>
      <c r="K422" s="30">
        <v>872.65</v>
      </c>
      <c r="L422" t="s">
        <v>28</v>
      </c>
      <c r="M422" s="31" t="str">
        <f t="shared" si="20"/>
        <v>OK</v>
      </c>
    </row>
    <row r="423" spans="1:13">
      <c r="A423" t="s">
        <v>1314</v>
      </c>
      <c r="B423" s="1">
        <v>45782</v>
      </c>
      <c r="C423" t="s">
        <v>115</v>
      </c>
      <c r="D423" t="s">
        <v>31</v>
      </c>
      <c r="E423" t="s">
        <v>82</v>
      </c>
      <c r="F423" t="s">
        <v>109</v>
      </c>
      <c r="G423">
        <v>1</v>
      </c>
      <c r="H423" s="32" t="str">
        <f t="shared" si="18"/>
        <v>OK</v>
      </c>
      <c r="I423" s="30">
        <v>4820.8999999999996</v>
      </c>
      <c r="J423" s="33" t="str">
        <f t="shared" si="19"/>
        <v>OK</v>
      </c>
      <c r="K423" s="30">
        <v>3496.33</v>
      </c>
      <c r="L423" t="s">
        <v>71</v>
      </c>
      <c r="M423" s="31" t="str">
        <f t="shared" si="20"/>
        <v>OK</v>
      </c>
    </row>
    <row r="424" spans="1:13">
      <c r="A424" t="s">
        <v>1489</v>
      </c>
      <c r="B424" s="1">
        <v>45782</v>
      </c>
      <c r="C424" t="s">
        <v>51</v>
      </c>
      <c r="D424" t="s">
        <v>31</v>
      </c>
      <c r="E424" t="s">
        <v>82</v>
      </c>
      <c r="F424" t="s">
        <v>109</v>
      </c>
      <c r="G424">
        <v>2</v>
      </c>
      <c r="H424" s="32" t="str">
        <f t="shared" si="18"/>
        <v>OK</v>
      </c>
      <c r="I424" s="30">
        <v>2157.3000000000002</v>
      </c>
      <c r="J424" s="33" t="str">
        <f t="shared" si="19"/>
        <v>OK</v>
      </c>
      <c r="K424" s="30">
        <v>1492.68</v>
      </c>
      <c r="L424" t="s">
        <v>38</v>
      </c>
      <c r="M424" s="31" t="str">
        <f t="shared" si="20"/>
        <v>OK</v>
      </c>
    </row>
    <row r="425" spans="1:13">
      <c r="A425" t="s">
        <v>456</v>
      </c>
      <c r="B425" s="1">
        <v>45783</v>
      </c>
      <c r="C425" t="s">
        <v>105</v>
      </c>
      <c r="D425" t="s">
        <v>57</v>
      </c>
      <c r="E425" t="s">
        <v>26</v>
      </c>
      <c r="F425" t="s">
        <v>79</v>
      </c>
      <c r="G425">
        <v>3</v>
      </c>
      <c r="H425" s="32" t="str">
        <f t="shared" si="18"/>
        <v>OK</v>
      </c>
      <c r="I425" s="30">
        <v>886.96</v>
      </c>
      <c r="J425" s="33" t="str">
        <f t="shared" si="19"/>
        <v>OK</v>
      </c>
      <c r="K425" s="30">
        <v>539.37</v>
      </c>
      <c r="L425" t="s">
        <v>22</v>
      </c>
      <c r="M425" s="31" t="str">
        <f t="shared" si="20"/>
        <v>OK</v>
      </c>
    </row>
    <row r="426" spans="1:13">
      <c r="A426" t="s">
        <v>986</v>
      </c>
      <c r="B426" s="1">
        <v>45783</v>
      </c>
      <c r="C426" t="s">
        <v>11</v>
      </c>
      <c r="D426" t="s">
        <v>57</v>
      </c>
      <c r="E426" t="s">
        <v>26</v>
      </c>
      <c r="F426" t="s">
        <v>79</v>
      </c>
      <c r="G426">
        <v>3</v>
      </c>
      <c r="H426" s="32" t="str">
        <f t="shared" si="18"/>
        <v>OK</v>
      </c>
      <c r="I426" s="30">
        <v>481.54</v>
      </c>
      <c r="J426" s="33" t="str">
        <f t="shared" si="19"/>
        <v>OK</v>
      </c>
      <c r="K426" s="30">
        <v>362.3</v>
      </c>
      <c r="L426" t="s">
        <v>22</v>
      </c>
      <c r="M426" s="31" t="str">
        <f t="shared" si="20"/>
        <v>OK</v>
      </c>
    </row>
    <row r="427" spans="1:13">
      <c r="A427" t="s">
        <v>1008</v>
      </c>
      <c r="B427" s="1">
        <v>45783</v>
      </c>
      <c r="C427" t="s">
        <v>220</v>
      </c>
      <c r="D427" t="s">
        <v>12</v>
      </c>
      <c r="E427" t="s">
        <v>32</v>
      </c>
      <c r="F427" t="s">
        <v>101</v>
      </c>
      <c r="G427">
        <v>6</v>
      </c>
      <c r="H427" s="32" t="str">
        <f t="shared" si="18"/>
        <v>OK</v>
      </c>
      <c r="I427" s="30">
        <v>985.75</v>
      </c>
      <c r="J427" s="33" t="str">
        <f t="shared" si="19"/>
        <v>OK</v>
      </c>
      <c r="K427" s="30">
        <v>691.73</v>
      </c>
      <c r="L427" t="s">
        <v>38</v>
      </c>
      <c r="M427" s="31" t="str">
        <f t="shared" si="20"/>
        <v>OK</v>
      </c>
    </row>
    <row r="428" spans="1:13">
      <c r="A428" t="s">
        <v>1024</v>
      </c>
      <c r="B428" s="1">
        <v>45783</v>
      </c>
      <c r="C428" t="s">
        <v>121</v>
      </c>
      <c r="D428" t="s">
        <v>12</v>
      </c>
      <c r="E428" t="s">
        <v>26</v>
      </c>
      <c r="F428" t="s">
        <v>106</v>
      </c>
      <c r="G428">
        <v>7</v>
      </c>
      <c r="H428" s="32" t="str">
        <f t="shared" si="18"/>
        <v>OK</v>
      </c>
      <c r="I428" s="30">
        <v>1216.6600000000001</v>
      </c>
      <c r="J428" s="33" t="str">
        <f t="shared" si="19"/>
        <v>OK</v>
      </c>
      <c r="K428" s="30">
        <v>698.46</v>
      </c>
      <c r="L428" t="s">
        <v>16</v>
      </c>
      <c r="M428" s="31" t="str">
        <f t="shared" si="20"/>
        <v>OK</v>
      </c>
    </row>
    <row r="429" spans="1:13">
      <c r="A429" t="s">
        <v>1251</v>
      </c>
      <c r="B429" s="1">
        <v>45783</v>
      </c>
      <c r="C429" t="s">
        <v>54</v>
      </c>
      <c r="D429" t="s">
        <v>12</v>
      </c>
      <c r="E429" t="s">
        <v>20</v>
      </c>
      <c r="F429" t="s">
        <v>196</v>
      </c>
      <c r="G429">
        <v>3</v>
      </c>
      <c r="H429" s="32" t="str">
        <f t="shared" si="18"/>
        <v>OK</v>
      </c>
      <c r="I429" s="30">
        <v>3042.43</v>
      </c>
      <c r="J429" s="33" t="str">
        <f t="shared" si="19"/>
        <v>OK</v>
      </c>
      <c r="K429" s="30">
        <v>1944.36</v>
      </c>
      <c r="L429" t="s">
        <v>38</v>
      </c>
      <c r="M429" s="31" t="str">
        <f t="shared" si="20"/>
        <v>OK</v>
      </c>
    </row>
    <row r="430" spans="1:13">
      <c r="A430" t="s">
        <v>451</v>
      </c>
      <c r="B430" s="1">
        <v>45784</v>
      </c>
      <c r="C430" t="s">
        <v>70</v>
      </c>
      <c r="D430" t="s">
        <v>12</v>
      </c>
      <c r="E430" t="s">
        <v>32</v>
      </c>
      <c r="F430" t="s">
        <v>1615</v>
      </c>
      <c r="G430">
        <v>6</v>
      </c>
      <c r="H430" s="32" t="str">
        <f t="shared" si="18"/>
        <v>OK</v>
      </c>
      <c r="I430" s="30">
        <v>2293.6999999999998</v>
      </c>
      <c r="J430" s="33" t="str">
        <f t="shared" si="19"/>
        <v>OK</v>
      </c>
      <c r="K430" s="30">
        <v>1927.05</v>
      </c>
      <c r="L430" t="s">
        <v>28</v>
      </c>
      <c r="M430" s="31" t="str">
        <f t="shared" si="20"/>
        <v>OK</v>
      </c>
    </row>
    <row r="431" spans="1:13">
      <c r="A431" t="s">
        <v>585</v>
      </c>
      <c r="B431" s="1">
        <v>45784</v>
      </c>
      <c r="C431" t="s">
        <v>105</v>
      </c>
      <c r="D431" t="s">
        <v>63</v>
      </c>
      <c r="E431" t="s">
        <v>32</v>
      </c>
      <c r="F431" t="s">
        <v>101</v>
      </c>
      <c r="G431">
        <v>5</v>
      </c>
      <c r="H431" s="32" t="str">
        <f t="shared" si="18"/>
        <v>OK</v>
      </c>
      <c r="I431" s="30">
        <v>1961.37</v>
      </c>
      <c r="J431" s="33" t="str">
        <f t="shared" si="19"/>
        <v>OK</v>
      </c>
      <c r="K431" s="30">
        <v>1416.17</v>
      </c>
      <c r="L431" t="s">
        <v>71</v>
      </c>
      <c r="M431" s="31" t="str">
        <f t="shared" si="20"/>
        <v>OK</v>
      </c>
    </row>
    <row r="432" spans="1:13">
      <c r="A432" t="s">
        <v>773</v>
      </c>
      <c r="B432" s="1">
        <v>45784</v>
      </c>
      <c r="C432" t="s">
        <v>135</v>
      </c>
      <c r="D432" t="s">
        <v>57</v>
      </c>
      <c r="E432" t="s">
        <v>32</v>
      </c>
      <c r="F432" t="s">
        <v>1615</v>
      </c>
      <c r="G432">
        <v>2</v>
      </c>
      <c r="H432" s="32" t="str">
        <f t="shared" si="18"/>
        <v>OK</v>
      </c>
      <c r="I432" s="30">
        <v>954.05</v>
      </c>
      <c r="J432" s="33" t="str">
        <f t="shared" si="19"/>
        <v>OK</v>
      </c>
      <c r="K432" s="30">
        <v>708.08</v>
      </c>
      <c r="L432" t="s">
        <v>22</v>
      </c>
      <c r="M432" s="31" t="str">
        <f t="shared" si="20"/>
        <v>OK</v>
      </c>
    </row>
    <row r="433" spans="1:13">
      <c r="A433" t="s">
        <v>1072</v>
      </c>
      <c r="B433" s="1">
        <v>45784</v>
      </c>
      <c r="C433" t="s">
        <v>51</v>
      </c>
      <c r="D433" t="s">
        <v>12</v>
      </c>
      <c r="E433" t="s">
        <v>36</v>
      </c>
      <c r="F433" t="s">
        <v>37</v>
      </c>
      <c r="G433">
        <v>0</v>
      </c>
      <c r="H433" s="32" t="str">
        <f t="shared" si="18"/>
        <v>Zero Quantity</v>
      </c>
      <c r="I433" s="30">
        <v>6604.04</v>
      </c>
      <c r="J433" s="33" t="str">
        <f t="shared" si="19"/>
        <v>OK</v>
      </c>
      <c r="K433" s="30">
        <v>4489.57</v>
      </c>
      <c r="L433" t="s">
        <v>71</v>
      </c>
      <c r="M433" s="31" t="str">
        <f t="shared" si="20"/>
        <v>OK</v>
      </c>
    </row>
    <row r="434" spans="1:13">
      <c r="A434" t="s">
        <v>1462</v>
      </c>
      <c r="B434" s="1">
        <v>45784</v>
      </c>
      <c r="C434" t="s">
        <v>70</v>
      </c>
      <c r="D434" t="s">
        <v>31</v>
      </c>
      <c r="E434" t="s">
        <v>32</v>
      </c>
      <c r="F434" t="s">
        <v>180</v>
      </c>
      <c r="G434">
        <v>4</v>
      </c>
      <c r="H434" s="32" t="str">
        <f t="shared" si="18"/>
        <v>OK</v>
      </c>
      <c r="I434" s="30">
        <v>347.26</v>
      </c>
      <c r="J434" s="33" t="str">
        <f t="shared" si="19"/>
        <v>OK</v>
      </c>
      <c r="K434" s="30">
        <v>193.4</v>
      </c>
      <c r="L434" t="s">
        <v>38</v>
      </c>
      <c r="M434" s="31" t="str">
        <f t="shared" si="20"/>
        <v>OK</v>
      </c>
    </row>
    <row r="435" spans="1:13">
      <c r="A435" t="s">
        <v>130</v>
      </c>
      <c r="B435" s="1">
        <v>45785</v>
      </c>
      <c r="C435" t="s">
        <v>24</v>
      </c>
      <c r="D435" t="s">
        <v>12</v>
      </c>
      <c r="E435" t="s">
        <v>26</v>
      </c>
      <c r="F435" t="s">
        <v>131</v>
      </c>
      <c r="G435">
        <v>7</v>
      </c>
      <c r="H435" s="32" t="str">
        <f t="shared" si="18"/>
        <v>OK</v>
      </c>
      <c r="I435" s="30">
        <v>2547.06</v>
      </c>
      <c r="J435" s="33" t="str">
        <f t="shared" si="19"/>
        <v>OK</v>
      </c>
      <c r="K435" s="30">
        <v>1554.79</v>
      </c>
      <c r="L435" t="s">
        <v>22</v>
      </c>
      <c r="M435" s="31" t="str">
        <f t="shared" si="20"/>
        <v>OK</v>
      </c>
    </row>
    <row r="436" spans="1:13">
      <c r="A436" t="s">
        <v>520</v>
      </c>
      <c r="B436" s="1">
        <v>45785</v>
      </c>
      <c r="C436" t="s">
        <v>30</v>
      </c>
      <c r="D436" t="s">
        <v>63</v>
      </c>
      <c r="E436" t="s">
        <v>20</v>
      </c>
      <c r="F436" t="s">
        <v>196</v>
      </c>
      <c r="G436">
        <v>5</v>
      </c>
      <c r="H436" s="32" t="str">
        <f t="shared" si="18"/>
        <v>OK</v>
      </c>
      <c r="I436" s="30">
        <v>2069.44</v>
      </c>
      <c r="J436" s="33" t="str">
        <f t="shared" si="19"/>
        <v>OK</v>
      </c>
      <c r="K436" s="30">
        <v>1444.32</v>
      </c>
      <c r="L436" t="s">
        <v>71</v>
      </c>
      <c r="M436" s="31" t="str">
        <f t="shared" si="20"/>
        <v>OK</v>
      </c>
    </row>
    <row r="437" spans="1:13">
      <c r="A437" t="s">
        <v>1106</v>
      </c>
      <c r="B437" s="1">
        <v>45785</v>
      </c>
      <c r="C437" t="s">
        <v>119</v>
      </c>
      <c r="D437" t="s">
        <v>63</v>
      </c>
      <c r="E437" t="s">
        <v>36</v>
      </c>
      <c r="F437" t="s">
        <v>37</v>
      </c>
      <c r="G437">
        <v>7</v>
      </c>
      <c r="H437" s="32" t="str">
        <f t="shared" si="18"/>
        <v>OK</v>
      </c>
      <c r="I437" s="30">
        <v>14087.95</v>
      </c>
      <c r="J437" s="33" t="str">
        <f t="shared" si="19"/>
        <v>OK</v>
      </c>
      <c r="K437" s="30">
        <v>9807.7099999999991</v>
      </c>
      <c r="L437" t="s">
        <v>16</v>
      </c>
      <c r="M437" s="31" t="str">
        <f t="shared" si="20"/>
        <v>OK</v>
      </c>
    </row>
    <row r="438" spans="1:13">
      <c r="A438" t="s">
        <v>1611</v>
      </c>
      <c r="B438" s="1">
        <v>45785</v>
      </c>
      <c r="C438" t="s">
        <v>48</v>
      </c>
      <c r="D438" t="s">
        <v>19</v>
      </c>
      <c r="E438" t="s">
        <v>26</v>
      </c>
      <c r="F438" t="s">
        <v>79</v>
      </c>
      <c r="G438">
        <v>4</v>
      </c>
      <c r="H438" s="32" t="str">
        <f t="shared" si="18"/>
        <v>OK</v>
      </c>
      <c r="I438" s="30">
        <v>1082.79</v>
      </c>
      <c r="J438" s="33" t="str">
        <f t="shared" si="19"/>
        <v>OK</v>
      </c>
      <c r="K438" s="30">
        <v>702.84</v>
      </c>
      <c r="L438" t="s">
        <v>38</v>
      </c>
      <c r="M438" s="31" t="str">
        <f t="shared" si="20"/>
        <v>OK</v>
      </c>
    </row>
    <row r="439" spans="1:13">
      <c r="A439" t="s">
        <v>449</v>
      </c>
      <c r="B439" s="1">
        <v>45786</v>
      </c>
      <c r="C439" t="s">
        <v>117</v>
      </c>
      <c r="D439" t="s">
        <v>12</v>
      </c>
      <c r="E439" t="s">
        <v>36</v>
      </c>
      <c r="F439" t="s">
        <v>113</v>
      </c>
      <c r="G439">
        <v>8</v>
      </c>
      <c r="H439" s="32" t="str">
        <f t="shared" si="18"/>
        <v>OK</v>
      </c>
      <c r="I439" s="30">
        <v>1220.8800000000001</v>
      </c>
      <c r="J439" s="33" t="str">
        <f t="shared" si="19"/>
        <v>OK</v>
      </c>
      <c r="K439" s="30">
        <v>872</v>
      </c>
      <c r="L439" t="s">
        <v>16</v>
      </c>
      <c r="M439" s="31" t="str">
        <f t="shared" si="20"/>
        <v>OK</v>
      </c>
    </row>
    <row r="440" spans="1:13">
      <c r="A440" t="s">
        <v>473</v>
      </c>
      <c r="B440" s="1">
        <v>45786</v>
      </c>
      <c r="C440" t="s">
        <v>129</v>
      </c>
      <c r="D440" t="s">
        <v>12</v>
      </c>
      <c r="E440" t="s">
        <v>82</v>
      </c>
      <c r="F440" t="s">
        <v>97</v>
      </c>
      <c r="G440">
        <v>8</v>
      </c>
      <c r="H440" s="32" t="str">
        <f t="shared" si="18"/>
        <v>OK</v>
      </c>
      <c r="J440" s="33" t="str">
        <f t="shared" si="19"/>
        <v>Missing Sales</v>
      </c>
      <c r="K440" s="30">
        <v>3921.07</v>
      </c>
      <c r="L440" t="s">
        <v>16</v>
      </c>
      <c r="M440" s="31" t="str">
        <f t="shared" si="20"/>
        <v>Missing Data</v>
      </c>
    </row>
    <row r="441" spans="1:13">
      <c r="A441" t="s">
        <v>673</v>
      </c>
      <c r="B441" s="1">
        <v>45786</v>
      </c>
      <c r="C441" t="s">
        <v>124</v>
      </c>
      <c r="D441" t="s">
        <v>31</v>
      </c>
      <c r="E441" t="s">
        <v>26</v>
      </c>
      <c r="F441" t="s">
        <v>27</v>
      </c>
      <c r="G441">
        <v>4</v>
      </c>
      <c r="H441" s="32" t="str">
        <f t="shared" si="18"/>
        <v>OK</v>
      </c>
      <c r="I441" s="30">
        <v>2313.94</v>
      </c>
      <c r="J441" s="33" t="str">
        <f t="shared" si="19"/>
        <v>OK</v>
      </c>
      <c r="K441" s="30">
        <v>1693.29</v>
      </c>
      <c r="L441" t="s">
        <v>71</v>
      </c>
      <c r="M441" s="31" t="str">
        <f t="shared" si="20"/>
        <v>OK</v>
      </c>
    </row>
    <row r="442" spans="1:13">
      <c r="A442" t="s">
        <v>786</v>
      </c>
      <c r="B442" s="1">
        <v>45786</v>
      </c>
      <c r="C442" t="s">
        <v>48</v>
      </c>
      <c r="D442" t="s">
        <v>12</v>
      </c>
      <c r="E442" t="s">
        <v>20</v>
      </c>
      <c r="F442" t="s">
        <v>91</v>
      </c>
      <c r="G442">
        <v>2</v>
      </c>
      <c r="H442" s="32" t="str">
        <f t="shared" si="18"/>
        <v>OK</v>
      </c>
      <c r="I442" s="30">
        <v>1658.14</v>
      </c>
      <c r="J442" s="33" t="str">
        <f t="shared" si="19"/>
        <v>OK</v>
      </c>
      <c r="K442" s="30">
        <v>1129.23</v>
      </c>
      <c r="L442" t="s">
        <v>16</v>
      </c>
      <c r="M442" s="31" t="str">
        <f t="shared" si="20"/>
        <v>OK</v>
      </c>
    </row>
    <row r="443" spans="1:13">
      <c r="A443" t="s">
        <v>154</v>
      </c>
      <c r="B443" s="1">
        <v>45787</v>
      </c>
      <c r="C443" t="s">
        <v>18</v>
      </c>
      <c r="D443" t="s">
        <v>63</v>
      </c>
      <c r="E443" t="s">
        <v>82</v>
      </c>
      <c r="F443" t="s">
        <v>155</v>
      </c>
      <c r="G443">
        <v>6</v>
      </c>
      <c r="H443" s="32" t="str">
        <f t="shared" si="18"/>
        <v>OK</v>
      </c>
      <c r="I443" s="30">
        <v>6306.43</v>
      </c>
      <c r="J443" s="33" t="str">
        <f t="shared" si="19"/>
        <v>OK</v>
      </c>
      <c r="K443" s="30">
        <v>4401.88</v>
      </c>
      <c r="L443" t="s">
        <v>16</v>
      </c>
      <c r="M443" s="31" t="str">
        <f t="shared" si="20"/>
        <v>OK</v>
      </c>
    </row>
    <row r="444" spans="1:13">
      <c r="A444" t="s">
        <v>1328</v>
      </c>
      <c r="B444" s="1">
        <v>45787</v>
      </c>
      <c r="C444" t="s">
        <v>1617</v>
      </c>
      <c r="D444" t="s">
        <v>63</v>
      </c>
      <c r="E444" t="s">
        <v>26</v>
      </c>
      <c r="F444" t="s">
        <v>106</v>
      </c>
      <c r="G444">
        <v>4</v>
      </c>
      <c r="H444" s="32" t="str">
        <f t="shared" si="18"/>
        <v>OK</v>
      </c>
      <c r="I444" s="30">
        <v>1766.77</v>
      </c>
      <c r="J444" s="33" t="str">
        <f t="shared" si="19"/>
        <v>OK</v>
      </c>
      <c r="K444" s="30">
        <v>1366.55</v>
      </c>
      <c r="L444" t="s">
        <v>38</v>
      </c>
      <c r="M444" s="31" t="str">
        <f t="shared" si="20"/>
        <v>OK</v>
      </c>
    </row>
    <row r="445" spans="1:13">
      <c r="A445" t="s">
        <v>1539</v>
      </c>
      <c r="B445" s="1">
        <v>45787</v>
      </c>
      <c r="C445" t="s">
        <v>117</v>
      </c>
      <c r="D445" t="s">
        <v>63</v>
      </c>
      <c r="E445" t="s">
        <v>36</v>
      </c>
      <c r="F445" t="s">
        <v>1614</v>
      </c>
      <c r="G445">
        <v>6</v>
      </c>
      <c r="H445" s="32" t="str">
        <f t="shared" si="18"/>
        <v>OK</v>
      </c>
      <c r="I445" s="30">
        <v>2882.26</v>
      </c>
      <c r="J445" s="33" t="str">
        <f t="shared" si="19"/>
        <v>OK</v>
      </c>
      <c r="K445" s="30">
        <v>2320.0500000000002</v>
      </c>
      <c r="L445" t="s">
        <v>38</v>
      </c>
      <c r="M445" s="31" t="str">
        <f t="shared" si="20"/>
        <v>OK</v>
      </c>
    </row>
    <row r="446" spans="1:13">
      <c r="A446" t="s">
        <v>469</v>
      </c>
      <c r="B446" s="1">
        <v>45788</v>
      </c>
      <c r="C446" t="s">
        <v>135</v>
      </c>
      <c r="D446" t="s">
        <v>19</v>
      </c>
      <c r="E446" t="s">
        <v>36</v>
      </c>
      <c r="F446" t="s">
        <v>93</v>
      </c>
      <c r="G446">
        <v>1</v>
      </c>
      <c r="H446" s="32" t="str">
        <f t="shared" si="18"/>
        <v>OK</v>
      </c>
      <c r="I446" s="30">
        <v>13653.26</v>
      </c>
      <c r="J446" s="33" t="str">
        <f t="shared" si="19"/>
        <v>OK</v>
      </c>
      <c r="K446" s="30">
        <v>10114.92</v>
      </c>
      <c r="L446" t="s">
        <v>16</v>
      </c>
      <c r="M446" s="31" t="str">
        <f t="shared" si="20"/>
        <v>OK</v>
      </c>
    </row>
    <row r="447" spans="1:13">
      <c r="A447" t="s">
        <v>1284</v>
      </c>
      <c r="B447" s="1">
        <v>45788</v>
      </c>
      <c r="C447" t="s">
        <v>11</v>
      </c>
      <c r="D447" t="s">
        <v>57</v>
      </c>
      <c r="E447" t="s">
        <v>20</v>
      </c>
      <c r="F447" t="s">
        <v>196</v>
      </c>
      <c r="G447">
        <v>1</v>
      </c>
      <c r="H447" s="32" t="str">
        <f t="shared" si="18"/>
        <v>OK</v>
      </c>
      <c r="I447" s="30">
        <v>2318.1</v>
      </c>
      <c r="J447" s="33" t="str">
        <f t="shared" si="19"/>
        <v>OK</v>
      </c>
      <c r="K447" s="30">
        <v>1817.85</v>
      </c>
      <c r="L447" t="s">
        <v>71</v>
      </c>
      <c r="M447" s="31" t="str">
        <f t="shared" si="20"/>
        <v>OK</v>
      </c>
    </row>
    <row r="448" spans="1:13">
      <c r="A448" t="s">
        <v>240</v>
      </c>
      <c r="B448" s="1">
        <v>45789</v>
      </c>
      <c r="C448" t="s">
        <v>115</v>
      </c>
      <c r="D448" t="s">
        <v>12</v>
      </c>
      <c r="E448" t="s">
        <v>32</v>
      </c>
      <c r="F448" t="s">
        <v>1616</v>
      </c>
      <c r="G448">
        <v>4</v>
      </c>
      <c r="H448" s="32" t="str">
        <f t="shared" si="18"/>
        <v>OK</v>
      </c>
      <c r="I448" s="30">
        <v>2078.75</v>
      </c>
      <c r="J448" s="33" t="str">
        <f t="shared" si="19"/>
        <v>OK</v>
      </c>
      <c r="K448" s="30">
        <v>1294.67</v>
      </c>
      <c r="L448" t="s">
        <v>22</v>
      </c>
      <c r="M448" s="31" t="str">
        <f t="shared" si="20"/>
        <v>OK</v>
      </c>
    </row>
    <row r="449" spans="1:13">
      <c r="A449" t="s">
        <v>620</v>
      </c>
      <c r="B449" s="1">
        <v>45789</v>
      </c>
      <c r="C449" t="s">
        <v>59</v>
      </c>
      <c r="D449" t="s">
        <v>12</v>
      </c>
      <c r="E449" t="s">
        <v>32</v>
      </c>
      <c r="F449" t="s">
        <v>1616</v>
      </c>
      <c r="G449">
        <v>3</v>
      </c>
      <c r="H449" s="32" t="str">
        <f t="shared" si="18"/>
        <v>OK</v>
      </c>
      <c r="I449" s="30">
        <v>232.39</v>
      </c>
      <c r="J449" s="33" t="str">
        <f t="shared" si="19"/>
        <v>OK</v>
      </c>
      <c r="K449" s="30">
        <v>153.66999999999999</v>
      </c>
      <c r="L449" t="s">
        <v>22</v>
      </c>
      <c r="M449" s="31" t="str">
        <f t="shared" si="20"/>
        <v>OK</v>
      </c>
    </row>
    <row r="450" spans="1:13">
      <c r="A450" t="s">
        <v>634</v>
      </c>
      <c r="B450" s="1">
        <v>45789</v>
      </c>
      <c r="C450" t="s">
        <v>220</v>
      </c>
      <c r="D450" t="s">
        <v>19</v>
      </c>
      <c r="E450" t="s">
        <v>20</v>
      </c>
      <c r="F450" t="s">
        <v>91</v>
      </c>
      <c r="G450">
        <v>8</v>
      </c>
      <c r="H450" s="32" t="str">
        <f t="shared" ref="H450:H513" si="21">IF(G450="","Blank",IF(G450&lt;0,"Negative Quantity",IF(G450=0,"Zero Quantity",IF(G450&gt;0,"OK",""))))</f>
        <v>OK</v>
      </c>
      <c r="I450" s="30">
        <v>5733.27</v>
      </c>
      <c r="J450" s="33" t="str">
        <f t="shared" ref="J450:J513" si="22">IF(I450="","Missing Sales",IF(I450&lt;0,"Negative Sales","OK"))</f>
        <v>OK</v>
      </c>
      <c r="K450" s="30">
        <v>4422.0600000000004</v>
      </c>
      <c r="L450" t="s">
        <v>71</v>
      </c>
      <c r="M450" s="31" t="str">
        <f t="shared" ref="M450:M513" si="23">IF(OR(I450="",K450=""),"Missing Data",IF(I450&lt;K450,"Sales &lt; Cost","OK"))</f>
        <v>OK</v>
      </c>
    </row>
    <row r="451" spans="1:13">
      <c r="A451" t="s">
        <v>942</v>
      </c>
      <c r="B451" s="1">
        <v>45789</v>
      </c>
      <c r="C451" t="s">
        <v>129</v>
      </c>
      <c r="D451" t="s">
        <v>31</v>
      </c>
      <c r="E451" t="s">
        <v>26</v>
      </c>
      <c r="F451" t="s">
        <v>103</v>
      </c>
      <c r="G451">
        <v>8</v>
      </c>
      <c r="H451" s="32" t="str">
        <f t="shared" si="21"/>
        <v>OK</v>
      </c>
      <c r="I451" s="30">
        <v>3394</v>
      </c>
      <c r="J451" s="33" t="str">
        <f t="shared" si="22"/>
        <v>OK</v>
      </c>
      <c r="K451" s="30">
        <v>2197.2600000000002</v>
      </c>
      <c r="L451" t="s">
        <v>22</v>
      </c>
      <c r="M451" s="31" t="str">
        <f t="shared" si="23"/>
        <v>OK</v>
      </c>
    </row>
    <row r="452" spans="1:13">
      <c r="A452" t="s">
        <v>430</v>
      </c>
      <c r="B452" s="1">
        <v>45790</v>
      </c>
      <c r="C452" t="s">
        <v>40</v>
      </c>
      <c r="D452" t="s">
        <v>12</v>
      </c>
      <c r="E452" t="s">
        <v>82</v>
      </c>
      <c r="F452" t="s">
        <v>97</v>
      </c>
      <c r="G452">
        <v>4</v>
      </c>
      <c r="H452" s="32" t="str">
        <f t="shared" si="21"/>
        <v>OK</v>
      </c>
      <c r="I452" s="30">
        <v>5892.71</v>
      </c>
      <c r="J452" s="33" t="str">
        <f t="shared" si="22"/>
        <v>OK</v>
      </c>
      <c r="K452" s="30">
        <v>3832.03</v>
      </c>
      <c r="L452" t="s">
        <v>28</v>
      </c>
      <c r="M452" s="31" t="str">
        <f t="shared" si="23"/>
        <v>OK</v>
      </c>
    </row>
    <row r="453" spans="1:13">
      <c r="A453" t="s">
        <v>800</v>
      </c>
      <c r="B453" s="1">
        <v>45790</v>
      </c>
      <c r="C453" t="s">
        <v>129</v>
      </c>
      <c r="D453" t="s">
        <v>12</v>
      </c>
      <c r="E453" t="s">
        <v>36</v>
      </c>
      <c r="F453" t="s">
        <v>1614</v>
      </c>
      <c r="G453">
        <v>6</v>
      </c>
      <c r="H453" s="32" t="str">
        <f t="shared" si="21"/>
        <v>OK</v>
      </c>
      <c r="I453" s="30">
        <v>3017.2</v>
      </c>
      <c r="J453" s="33" t="str">
        <f t="shared" si="22"/>
        <v>OK</v>
      </c>
      <c r="K453" s="30">
        <v>2412.75</v>
      </c>
      <c r="L453" t="s">
        <v>16</v>
      </c>
      <c r="M453" s="31" t="str">
        <f t="shared" si="23"/>
        <v>OK</v>
      </c>
    </row>
    <row r="454" spans="1:13">
      <c r="A454" t="s">
        <v>1003</v>
      </c>
      <c r="B454" s="1">
        <v>45790</v>
      </c>
      <c r="C454" t="s">
        <v>121</v>
      </c>
      <c r="D454" t="s">
        <v>12</v>
      </c>
      <c r="E454" t="s">
        <v>32</v>
      </c>
      <c r="F454" t="s">
        <v>52</v>
      </c>
      <c r="G454">
        <v>3</v>
      </c>
      <c r="H454" s="32" t="str">
        <f t="shared" si="21"/>
        <v>OK</v>
      </c>
      <c r="I454" s="30">
        <v>2377.92</v>
      </c>
      <c r="J454" s="33" t="str">
        <f t="shared" si="22"/>
        <v>OK</v>
      </c>
      <c r="K454" s="30">
        <v>2013.78</v>
      </c>
      <c r="L454" t="s">
        <v>16</v>
      </c>
      <c r="M454" s="31" t="str">
        <f t="shared" si="23"/>
        <v>OK</v>
      </c>
    </row>
    <row r="455" spans="1:13">
      <c r="A455" t="s">
        <v>1107</v>
      </c>
      <c r="B455" s="1">
        <v>45790</v>
      </c>
      <c r="C455" t="s">
        <v>119</v>
      </c>
      <c r="D455" t="s">
        <v>12</v>
      </c>
      <c r="E455" t="s">
        <v>20</v>
      </c>
      <c r="F455" t="s">
        <v>196</v>
      </c>
      <c r="G455">
        <v>6</v>
      </c>
      <c r="H455" s="32" t="str">
        <f t="shared" si="21"/>
        <v>OK</v>
      </c>
      <c r="I455" s="30">
        <v>5509.42</v>
      </c>
      <c r="J455" s="33" t="str">
        <f t="shared" si="22"/>
        <v>OK</v>
      </c>
      <c r="K455" s="30">
        <v>4692.25</v>
      </c>
      <c r="L455" t="s">
        <v>16</v>
      </c>
      <c r="M455" s="31" t="str">
        <f t="shared" si="23"/>
        <v>OK</v>
      </c>
    </row>
    <row r="456" spans="1:13">
      <c r="A456" t="s">
        <v>1206</v>
      </c>
      <c r="B456" s="1">
        <v>45790</v>
      </c>
      <c r="C456" t="s">
        <v>115</v>
      </c>
      <c r="D456" t="s">
        <v>19</v>
      </c>
      <c r="E456" t="s">
        <v>26</v>
      </c>
      <c r="F456" t="s">
        <v>79</v>
      </c>
      <c r="G456">
        <v>3</v>
      </c>
      <c r="H456" s="32" t="str">
        <f t="shared" si="21"/>
        <v>OK</v>
      </c>
      <c r="I456" s="30">
        <v>2032.83</v>
      </c>
      <c r="J456" s="33" t="str">
        <f t="shared" si="22"/>
        <v>OK</v>
      </c>
      <c r="K456" s="30">
        <v>1277.1400000000001</v>
      </c>
      <c r="L456" t="s">
        <v>28</v>
      </c>
      <c r="M456" s="31" t="str">
        <f t="shared" si="23"/>
        <v>OK</v>
      </c>
    </row>
    <row r="457" spans="1:13">
      <c r="A457" t="s">
        <v>243</v>
      </c>
      <c r="B457" s="1">
        <v>45793</v>
      </c>
      <c r="C457" t="s">
        <v>105</v>
      </c>
      <c r="D457" t="s">
        <v>63</v>
      </c>
      <c r="E457" t="s">
        <v>32</v>
      </c>
      <c r="F457" t="s">
        <v>1615</v>
      </c>
      <c r="G457">
        <v>6</v>
      </c>
      <c r="H457" s="32" t="str">
        <f t="shared" si="21"/>
        <v>OK</v>
      </c>
      <c r="I457" s="30">
        <v>2423.46</v>
      </c>
      <c r="J457" s="33" t="str">
        <f t="shared" si="22"/>
        <v>OK</v>
      </c>
      <c r="K457" s="30">
        <v>2029.75</v>
      </c>
      <c r="L457" t="s">
        <v>71</v>
      </c>
      <c r="M457" s="31" t="str">
        <f t="shared" si="23"/>
        <v>OK</v>
      </c>
    </row>
    <row r="458" spans="1:13">
      <c r="A458" t="s">
        <v>1533</v>
      </c>
      <c r="B458" s="1">
        <v>45793</v>
      </c>
      <c r="C458" t="s">
        <v>59</v>
      </c>
      <c r="D458" t="s">
        <v>63</v>
      </c>
      <c r="E458" t="s">
        <v>36</v>
      </c>
      <c r="F458" t="s">
        <v>93</v>
      </c>
      <c r="G458">
        <v>8</v>
      </c>
      <c r="H458" s="32" t="str">
        <f t="shared" si="21"/>
        <v>OK</v>
      </c>
      <c r="I458" s="30">
        <v>5777.76</v>
      </c>
      <c r="J458" s="33" t="str">
        <f t="shared" si="22"/>
        <v>OK</v>
      </c>
      <c r="K458" s="30">
        <v>4505.93</v>
      </c>
      <c r="L458" t="s">
        <v>38</v>
      </c>
      <c r="M458" s="31" t="str">
        <f t="shared" si="23"/>
        <v>OK</v>
      </c>
    </row>
    <row r="459" spans="1:13">
      <c r="A459" t="s">
        <v>405</v>
      </c>
      <c r="B459" s="1">
        <v>45794</v>
      </c>
      <c r="C459" t="s">
        <v>119</v>
      </c>
      <c r="D459" t="s">
        <v>19</v>
      </c>
      <c r="E459" t="s">
        <v>36</v>
      </c>
      <c r="F459" t="s">
        <v>113</v>
      </c>
      <c r="G459">
        <v>1</v>
      </c>
      <c r="H459" s="32" t="str">
        <f t="shared" si="21"/>
        <v>OK</v>
      </c>
      <c r="I459" s="30">
        <v>13456.54</v>
      </c>
      <c r="J459" s="33" t="str">
        <f t="shared" si="22"/>
        <v>OK</v>
      </c>
      <c r="K459" s="30">
        <v>11106.63</v>
      </c>
      <c r="L459" t="s">
        <v>16</v>
      </c>
      <c r="M459" s="31" t="str">
        <f t="shared" si="23"/>
        <v>OK</v>
      </c>
    </row>
    <row r="460" spans="1:13">
      <c r="A460" t="s">
        <v>406</v>
      </c>
      <c r="B460" s="1">
        <v>45794</v>
      </c>
      <c r="C460" t="s">
        <v>74</v>
      </c>
      <c r="D460" t="s">
        <v>19</v>
      </c>
      <c r="E460" t="s">
        <v>36</v>
      </c>
      <c r="F460" t="s">
        <v>113</v>
      </c>
      <c r="G460">
        <v>3</v>
      </c>
      <c r="H460" s="32" t="str">
        <f t="shared" si="21"/>
        <v>OK</v>
      </c>
      <c r="I460" s="30">
        <v>15493.28</v>
      </c>
      <c r="J460" s="33" t="str">
        <f t="shared" si="22"/>
        <v>OK</v>
      </c>
      <c r="K460" s="30">
        <v>12988.32</v>
      </c>
      <c r="L460" t="s">
        <v>38</v>
      </c>
      <c r="M460" s="31" t="str">
        <f t="shared" si="23"/>
        <v>OK</v>
      </c>
    </row>
    <row r="461" spans="1:13">
      <c r="A461" t="s">
        <v>706</v>
      </c>
      <c r="B461" s="1">
        <v>45794</v>
      </c>
      <c r="C461" t="s">
        <v>35</v>
      </c>
      <c r="D461" t="s">
        <v>63</v>
      </c>
      <c r="E461" t="s">
        <v>36</v>
      </c>
      <c r="F461" t="s">
        <v>46</v>
      </c>
      <c r="G461">
        <v>3</v>
      </c>
      <c r="H461" s="32" t="str">
        <f t="shared" si="21"/>
        <v>OK</v>
      </c>
      <c r="I461" s="30">
        <v>16763.2</v>
      </c>
      <c r="J461" s="33" t="str">
        <f t="shared" si="22"/>
        <v>OK</v>
      </c>
      <c r="K461" s="30">
        <v>11643.36</v>
      </c>
      <c r="L461" t="s">
        <v>28</v>
      </c>
      <c r="M461" s="31" t="str">
        <f t="shared" si="23"/>
        <v>OK</v>
      </c>
    </row>
    <row r="462" spans="1:13">
      <c r="A462" t="s">
        <v>1276</v>
      </c>
      <c r="B462" s="1">
        <v>45794</v>
      </c>
      <c r="C462" t="s">
        <v>115</v>
      </c>
      <c r="D462" t="s">
        <v>57</v>
      </c>
      <c r="E462" t="s">
        <v>20</v>
      </c>
      <c r="F462" t="s">
        <v>86</v>
      </c>
      <c r="G462">
        <v>5</v>
      </c>
      <c r="H462" s="32" t="str">
        <f t="shared" si="21"/>
        <v>OK</v>
      </c>
      <c r="I462" s="30">
        <v>4605.4399999999996</v>
      </c>
      <c r="J462" s="33" t="str">
        <f t="shared" si="22"/>
        <v>OK</v>
      </c>
      <c r="K462" s="30">
        <v>3113.67</v>
      </c>
      <c r="L462" t="s">
        <v>28</v>
      </c>
      <c r="M462" s="31" t="str">
        <f t="shared" si="23"/>
        <v>OK</v>
      </c>
    </row>
    <row r="463" spans="1:13">
      <c r="A463" t="s">
        <v>1477</v>
      </c>
      <c r="B463" s="1">
        <v>45794</v>
      </c>
      <c r="C463" t="s">
        <v>135</v>
      </c>
      <c r="D463" t="s">
        <v>12</v>
      </c>
      <c r="E463" t="s">
        <v>36</v>
      </c>
      <c r="F463" t="s">
        <v>37</v>
      </c>
      <c r="G463">
        <v>1</v>
      </c>
      <c r="H463" s="32" t="str">
        <f t="shared" si="21"/>
        <v>OK</v>
      </c>
      <c r="I463" s="30">
        <v>12277.01</v>
      </c>
      <c r="J463" s="33" t="str">
        <f t="shared" si="22"/>
        <v>OK</v>
      </c>
      <c r="K463" s="30">
        <v>9949.76</v>
      </c>
      <c r="L463" t="s">
        <v>16</v>
      </c>
      <c r="M463" s="31" t="str">
        <f t="shared" si="23"/>
        <v>OK</v>
      </c>
    </row>
    <row r="464" spans="1:13">
      <c r="A464" t="s">
        <v>345</v>
      </c>
      <c r="B464" s="1">
        <v>45795</v>
      </c>
      <c r="C464" t="s">
        <v>18</v>
      </c>
      <c r="D464" t="s">
        <v>63</v>
      </c>
      <c r="E464" t="s">
        <v>20</v>
      </c>
      <c r="F464" t="s">
        <v>191</v>
      </c>
      <c r="G464">
        <v>6</v>
      </c>
      <c r="H464" s="32" t="str">
        <f t="shared" si="21"/>
        <v>OK</v>
      </c>
      <c r="I464" s="30">
        <v>5055.8900000000003</v>
      </c>
      <c r="J464" s="33" t="str">
        <f t="shared" si="22"/>
        <v>OK</v>
      </c>
      <c r="K464" s="30">
        <v>3344.26</v>
      </c>
      <c r="L464" t="s">
        <v>38</v>
      </c>
      <c r="M464" s="31" t="str">
        <f t="shared" si="23"/>
        <v>OK</v>
      </c>
    </row>
    <row r="465" spans="1:13">
      <c r="A465" t="s">
        <v>347</v>
      </c>
      <c r="B465" s="1">
        <v>45795</v>
      </c>
      <c r="C465" t="s">
        <v>74</v>
      </c>
      <c r="D465" t="s">
        <v>19</v>
      </c>
      <c r="E465" t="s">
        <v>32</v>
      </c>
      <c r="F465" t="s">
        <v>1615</v>
      </c>
      <c r="G465">
        <v>2</v>
      </c>
      <c r="H465" s="32" t="str">
        <f t="shared" si="21"/>
        <v>OK</v>
      </c>
      <c r="I465" s="30">
        <v>1057.03</v>
      </c>
      <c r="J465" s="33" t="str">
        <f t="shared" si="22"/>
        <v>OK</v>
      </c>
      <c r="K465" s="30">
        <v>700.92</v>
      </c>
      <c r="L465" t="s">
        <v>16</v>
      </c>
      <c r="M465" s="31" t="str">
        <f t="shared" si="23"/>
        <v>OK</v>
      </c>
    </row>
    <row r="466" spans="1:13">
      <c r="A466" t="s">
        <v>971</v>
      </c>
      <c r="B466" s="1">
        <v>45795</v>
      </c>
      <c r="C466" t="s">
        <v>59</v>
      </c>
      <c r="D466" t="s">
        <v>57</v>
      </c>
      <c r="E466" t="s">
        <v>26</v>
      </c>
      <c r="F466" t="s">
        <v>350</v>
      </c>
      <c r="G466">
        <v>8</v>
      </c>
      <c r="H466" s="32" t="str">
        <f t="shared" si="21"/>
        <v>OK</v>
      </c>
      <c r="I466" s="30">
        <v>724.29</v>
      </c>
      <c r="J466" s="33" t="str">
        <f t="shared" si="22"/>
        <v>OK</v>
      </c>
      <c r="K466" s="30">
        <v>438.32</v>
      </c>
      <c r="L466" t="s">
        <v>22</v>
      </c>
      <c r="M466" s="31" t="str">
        <f t="shared" si="23"/>
        <v>OK</v>
      </c>
    </row>
    <row r="467" spans="1:13">
      <c r="A467" t="s">
        <v>1012</v>
      </c>
      <c r="B467" s="1">
        <v>45795</v>
      </c>
      <c r="C467" t="s">
        <v>56</v>
      </c>
      <c r="D467" t="s">
        <v>19</v>
      </c>
      <c r="E467" t="s">
        <v>82</v>
      </c>
      <c r="F467" t="s">
        <v>150</v>
      </c>
      <c r="G467">
        <v>7</v>
      </c>
      <c r="H467" s="32" t="str">
        <f t="shared" si="21"/>
        <v>OK</v>
      </c>
      <c r="I467" s="30">
        <v>6268.33</v>
      </c>
      <c r="J467" s="33" t="str">
        <f t="shared" si="22"/>
        <v>OK</v>
      </c>
      <c r="K467" s="30">
        <v>3689.48</v>
      </c>
      <c r="L467" t="s">
        <v>38</v>
      </c>
      <c r="M467" s="31" t="str">
        <f t="shared" si="23"/>
        <v>OK</v>
      </c>
    </row>
    <row r="468" spans="1:13">
      <c r="A468" t="s">
        <v>1256</v>
      </c>
      <c r="B468" s="1">
        <v>45795</v>
      </c>
      <c r="C468" t="s">
        <v>51</v>
      </c>
      <c r="D468" t="s">
        <v>57</v>
      </c>
      <c r="E468" t="s">
        <v>36</v>
      </c>
      <c r="F468" t="s">
        <v>42</v>
      </c>
      <c r="G468">
        <v>4</v>
      </c>
      <c r="H468" s="32" t="str">
        <f t="shared" si="21"/>
        <v>OK</v>
      </c>
      <c r="I468" s="30">
        <v>13117.01</v>
      </c>
      <c r="J468" s="33" t="str">
        <f t="shared" si="22"/>
        <v>OK</v>
      </c>
      <c r="K468" s="30">
        <v>9654.14</v>
      </c>
      <c r="L468" t="s">
        <v>38</v>
      </c>
      <c r="M468" s="31" t="str">
        <f t="shared" si="23"/>
        <v>OK</v>
      </c>
    </row>
    <row r="469" spans="1:13">
      <c r="A469" t="s">
        <v>819</v>
      </c>
      <c r="B469" s="1">
        <v>45796</v>
      </c>
      <c r="C469" t="s">
        <v>259</v>
      </c>
      <c r="D469" t="s">
        <v>57</v>
      </c>
      <c r="E469" t="s">
        <v>82</v>
      </c>
      <c r="F469" t="s">
        <v>155</v>
      </c>
      <c r="G469">
        <v>8</v>
      </c>
      <c r="H469" s="32" t="str">
        <f t="shared" si="21"/>
        <v>OK</v>
      </c>
      <c r="I469" s="30">
        <v>3468.17</v>
      </c>
      <c r="J469" s="33" t="str">
        <f t="shared" si="22"/>
        <v>OK</v>
      </c>
      <c r="K469" s="30">
        <v>2852.54</v>
      </c>
      <c r="L469" t="s">
        <v>38</v>
      </c>
      <c r="M469" s="31" t="str">
        <f t="shared" si="23"/>
        <v>OK</v>
      </c>
    </row>
    <row r="470" spans="1:13">
      <c r="A470" t="s">
        <v>778</v>
      </c>
      <c r="B470" s="1">
        <v>45797</v>
      </c>
      <c r="C470" t="s">
        <v>162</v>
      </c>
      <c r="D470" t="s">
        <v>31</v>
      </c>
      <c r="E470" t="s">
        <v>32</v>
      </c>
      <c r="F470" t="s">
        <v>33</v>
      </c>
      <c r="G470">
        <v>4</v>
      </c>
      <c r="H470" s="32" t="str">
        <f t="shared" si="21"/>
        <v>OK</v>
      </c>
      <c r="I470" s="30">
        <v>1936.37</v>
      </c>
      <c r="J470" s="33" t="str">
        <f t="shared" si="22"/>
        <v>OK</v>
      </c>
      <c r="K470" s="30">
        <v>1137.73</v>
      </c>
      <c r="L470" t="s">
        <v>28</v>
      </c>
      <c r="M470" s="31" t="str">
        <f t="shared" si="23"/>
        <v>OK</v>
      </c>
    </row>
    <row r="471" spans="1:13">
      <c r="A471" t="s">
        <v>790</v>
      </c>
      <c r="B471" s="1">
        <v>45797</v>
      </c>
      <c r="C471" t="s">
        <v>220</v>
      </c>
      <c r="D471" t="s">
        <v>12</v>
      </c>
      <c r="E471" t="s">
        <v>26</v>
      </c>
      <c r="F471" t="s">
        <v>106</v>
      </c>
      <c r="G471">
        <v>2</v>
      </c>
      <c r="H471" s="32" t="str">
        <f t="shared" si="21"/>
        <v>OK</v>
      </c>
      <c r="I471" s="30">
        <v>1104.5899999999999</v>
      </c>
      <c r="J471" s="33" t="str">
        <f t="shared" si="22"/>
        <v>OK</v>
      </c>
      <c r="K471" s="30">
        <v>962.94</v>
      </c>
      <c r="L471" t="s">
        <v>16</v>
      </c>
      <c r="M471" s="31" t="str">
        <f t="shared" si="23"/>
        <v>OK</v>
      </c>
    </row>
    <row r="472" spans="1:13">
      <c r="A472" t="s">
        <v>865</v>
      </c>
      <c r="B472" s="1">
        <v>45797</v>
      </c>
      <c r="C472" t="s">
        <v>11</v>
      </c>
      <c r="D472" t="s">
        <v>12</v>
      </c>
      <c r="E472" t="s">
        <v>82</v>
      </c>
      <c r="F472" t="s">
        <v>97</v>
      </c>
      <c r="G472">
        <v>7</v>
      </c>
      <c r="H472" s="32" t="str">
        <f t="shared" si="21"/>
        <v>OK</v>
      </c>
      <c r="I472" s="30">
        <v>2750.24</v>
      </c>
      <c r="J472" s="33" t="str">
        <f t="shared" si="22"/>
        <v>OK</v>
      </c>
      <c r="K472" s="30">
        <v>2117.69</v>
      </c>
      <c r="L472" t="s">
        <v>28</v>
      </c>
      <c r="M472" s="31" t="str">
        <f t="shared" si="23"/>
        <v>OK</v>
      </c>
    </row>
    <row r="473" spans="1:13">
      <c r="A473" t="s">
        <v>1402</v>
      </c>
      <c r="B473" s="1">
        <v>45797</v>
      </c>
      <c r="C473" t="s">
        <v>108</v>
      </c>
      <c r="D473" t="s">
        <v>63</v>
      </c>
      <c r="E473" t="s">
        <v>32</v>
      </c>
      <c r="F473" t="s">
        <v>1615</v>
      </c>
      <c r="G473">
        <v>8</v>
      </c>
      <c r="H473" s="32" t="str">
        <f t="shared" si="21"/>
        <v>OK</v>
      </c>
      <c r="I473" s="30">
        <v>510.76</v>
      </c>
      <c r="J473" s="33" t="str">
        <f t="shared" si="22"/>
        <v>OK</v>
      </c>
      <c r="K473" s="30">
        <v>440.79</v>
      </c>
      <c r="L473" t="s">
        <v>38</v>
      </c>
      <c r="M473" s="31" t="str">
        <f t="shared" si="23"/>
        <v>OK</v>
      </c>
    </row>
    <row r="474" spans="1:13">
      <c r="A474" t="s">
        <v>830</v>
      </c>
      <c r="B474" s="1">
        <v>45798</v>
      </c>
      <c r="C474" t="s">
        <v>35</v>
      </c>
      <c r="D474" t="s">
        <v>19</v>
      </c>
      <c r="E474" t="s">
        <v>32</v>
      </c>
      <c r="F474" t="s">
        <v>180</v>
      </c>
      <c r="G474">
        <v>2</v>
      </c>
      <c r="H474" s="32" t="str">
        <f t="shared" si="21"/>
        <v>OK</v>
      </c>
      <c r="I474" s="30">
        <v>2093.35</v>
      </c>
      <c r="J474" s="33" t="str">
        <f t="shared" si="22"/>
        <v>OK</v>
      </c>
      <c r="K474" s="30">
        <v>1801.04</v>
      </c>
      <c r="L474" t="s">
        <v>28</v>
      </c>
      <c r="M474" s="31" t="str">
        <f t="shared" si="23"/>
        <v>OK</v>
      </c>
    </row>
    <row r="475" spans="1:13">
      <c r="A475" t="s">
        <v>905</v>
      </c>
      <c r="B475" s="1">
        <v>45798</v>
      </c>
      <c r="C475" t="s">
        <v>108</v>
      </c>
      <c r="D475" t="s">
        <v>19</v>
      </c>
      <c r="E475" t="s">
        <v>32</v>
      </c>
      <c r="F475" t="s">
        <v>33</v>
      </c>
      <c r="G475">
        <v>2</v>
      </c>
      <c r="H475" s="32" t="str">
        <f t="shared" si="21"/>
        <v>OK</v>
      </c>
      <c r="I475" s="30">
        <v>1764.4</v>
      </c>
      <c r="J475" s="33" t="str">
        <f t="shared" si="22"/>
        <v>OK</v>
      </c>
      <c r="K475" s="30">
        <v>1242.0899999999999</v>
      </c>
      <c r="L475" t="s">
        <v>22</v>
      </c>
      <c r="M475" s="31" t="str">
        <f t="shared" si="23"/>
        <v>OK</v>
      </c>
    </row>
    <row r="476" spans="1:13">
      <c r="A476" t="s">
        <v>946</v>
      </c>
      <c r="B476" s="1">
        <v>45798</v>
      </c>
      <c r="C476" t="s">
        <v>35</v>
      </c>
      <c r="D476" t="s">
        <v>12</v>
      </c>
      <c r="E476" t="s">
        <v>36</v>
      </c>
      <c r="F476" t="s">
        <v>42</v>
      </c>
      <c r="G476">
        <v>4</v>
      </c>
      <c r="H476" s="32" t="str">
        <f t="shared" si="21"/>
        <v>OK</v>
      </c>
      <c r="I476" s="30">
        <v>4716.8999999999996</v>
      </c>
      <c r="J476" s="33" t="str">
        <f t="shared" si="22"/>
        <v>OK</v>
      </c>
      <c r="K476" s="30">
        <v>3740.67</v>
      </c>
      <c r="L476" t="s">
        <v>38</v>
      </c>
      <c r="M476" s="31" t="str">
        <f t="shared" si="23"/>
        <v>OK</v>
      </c>
    </row>
    <row r="477" spans="1:13">
      <c r="A477" t="s">
        <v>1466</v>
      </c>
      <c r="B477" s="1">
        <v>45798</v>
      </c>
      <c r="C477" t="s">
        <v>231</v>
      </c>
      <c r="D477" t="s">
        <v>12</v>
      </c>
      <c r="E477" t="s">
        <v>26</v>
      </c>
      <c r="F477" t="s">
        <v>103</v>
      </c>
      <c r="G477">
        <v>0</v>
      </c>
      <c r="H477" s="32" t="str">
        <f t="shared" si="21"/>
        <v>Zero Quantity</v>
      </c>
      <c r="I477" s="30">
        <v>2377.41</v>
      </c>
      <c r="J477" s="33" t="str">
        <f t="shared" si="22"/>
        <v>OK</v>
      </c>
      <c r="K477" s="30">
        <v>1504.02</v>
      </c>
      <c r="L477" t="s">
        <v>22</v>
      </c>
      <c r="M477" s="31" t="str">
        <f t="shared" si="23"/>
        <v>OK</v>
      </c>
    </row>
    <row r="478" spans="1:13">
      <c r="A478" t="s">
        <v>270</v>
      </c>
      <c r="B478" s="1">
        <v>45799</v>
      </c>
      <c r="C478" t="s">
        <v>74</v>
      </c>
      <c r="D478" t="s">
        <v>57</v>
      </c>
      <c r="E478" t="s">
        <v>20</v>
      </c>
      <c r="F478" t="s">
        <v>21</v>
      </c>
      <c r="G478">
        <v>6</v>
      </c>
      <c r="H478" s="32" t="str">
        <f t="shared" si="21"/>
        <v>OK</v>
      </c>
      <c r="I478" s="30">
        <v>4750.33</v>
      </c>
      <c r="J478" s="33" t="str">
        <f t="shared" si="22"/>
        <v>OK</v>
      </c>
      <c r="K478" s="30">
        <v>3664.74</v>
      </c>
      <c r="L478" t="s">
        <v>22</v>
      </c>
      <c r="M478" s="31" t="str">
        <f t="shared" si="23"/>
        <v>OK</v>
      </c>
    </row>
    <row r="479" spans="1:13">
      <c r="A479" t="s">
        <v>657</v>
      </c>
      <c r="B479" s="1">
        <v>45799</v>
      </c>
      <c r="C479" t="s">
        <v>24</v>
      </c>
      <c r="D479" t="s">
        <v>31</v>
      </c>
      <c r="E479" t="s">
        <v>26</v>
      </c>
      <c r="F479" t="s">
        <v>350</v>
      </c>
      <c r="G479">
        <v>4</v>
      </c>
      <c r="H479" s="32" t="str">
        <f t="shared" si="21"/>
        <v>OK</v>
      </c>
      <c r="I479" s="30">
        <v>2220.6799999999998</v>
      </c>
      <c r="J479" s="33" t="str">
        <f t="shared" si="22"/>
        <v>OK</v>
      </c>
      <c r="K479" s="30">
        <v>1363.93</v>
      </c>
      <c r="L479" t="s">
        <v>28</v>
      </c>
      <c r="M479" s="31" t="str">
        <f t="shared" si="23"/>
        <v>OK</v>
      </c>
    </row>
    <row r="480" spans="1:13">
      <c r="A480" t="s">
        <v>900</v>
      </c>
      <c r="B480" s="1">
        <v>45799</v>
      </c>
      <c r="C480" t="s">
        <v>74</v>
      </c>
      <c r="D480" t="s">
        <v>19</v>
      </c>
      <c r="E480" t="s">
        <v>82</v>
      </c>
      <c r="F480" t="s">
        <v>155</v>
      </c>
      <c r="G480">
        <v>1</v>
      </c>
      <c r="H480" s="32" t="str">
        <f t="shared" si="21"/>
        <v>OK</v>
      </c>
      <c r="I480" s="30">
        <v>3809.74</v>
      </c>
      <c r="J480" s="33" t="str">
        <f t="shared" si="22"/>
        <v>OK</v>
      </c>
      <c r="K480" s="30">
        <v>2335.56</v>
      </c>
      <c r="L480" t="s">
        <v>71</v>
      </c>
      <c r="M480" s="31" t="str">
        <f t="shared" si="23"/>
        <v>OK</v>
      </c>
    </row>
    <row r="481" spans="1:13">
      <c r="A481" t="s">
        <v>1078</v>
      </c>
      <c r="B481" s="1">
        <v>45799</v>
      </c>
      <c r="C481" t="s">
        <v>74</v>
      </c>
      <c r="D481" t="s">
        <v>57</v>
      </c>
      <c r="E481" t="s">
        <v>82</v>
      </c>
      <c r="F481" t="s">
        <v>150</v>
      </c>
      <c r="G481">
        <v>3</v>
      </c>
      <c r="H481" s="32" t="str">
        <f t="shared" si="21"/>
        <v>OK</v>
      </c>
      <c r="I481" s="30">
        <v>6917.68</v>
      </c>
      <c r="J481" s="33" t="str">
        <f t="shared" si="22"/>
        <v>OK</v>
      </c>
      <c r="K481" s="30">
        <v>5037.95</v>
      </c>
      <c r="L481" t="s">
        <v>71</v>
      </c>
      <c r="M481" s="31" t="str">
        <f t="shared" si="23"/>
        <v>OK</v>
      </c>
    </row>
    <row r="482" spans="1:13">
      <c r="A482" t="s">
        <v>1241</v>
      </c>
      <c r="B482" s="1">
        <v>45799</v>
      </c>
      <c r="C482" t="s">
        <v>85</v>
      </c>
      <c r="D482" t="s">
        <v>63</v>
      </c>
      <c r="E482" t="s">
        <v>82</v>
      </c>
      <c r="F482" t="s">
        <v>137</v>
      </c>
      <c r="G482">
        <v>7</v>
      </c>
      <c r="H482" s="32" t="str">
        <f t="shared" si="21"/>
        <v>OK</v>
      </c>
      <c r="I482" s="30">
        <v>3835.92</v>
      </c>
      <c r="J482" s="33" t="str">
        <f t="shared" si="22"/>
        <v>OK</v>
      </c>
      <c r="K482" s="30">
        <v>3019.23</v>
      </c>
      <c r="L482" t="s">
        <v>71</v>
      </c>
      <c r="M482" s="31" t="str">
        <f t="shared" si="23"/>
        <v>OK</v>
      </c>
    </row>
    <row r="483" spans="1:13">
      <c r="A483" t="s">
        <v>89</v>
      </c>
      <c r="B483" s="1">
        <v>45800</v>
      </c>
      <c r="C483" t="s">
        <v>40</v>
      </c>
      <c r="D483" t="s">
        <v>12</v>
      </c>
      <c r="E483" t="s">
        <v>20</v>
      </c>
      <c r="F483" t="s">
        <v>91</v>
      </c>
      <c r="G483">
        <v>6</v>
      </c>
      <c r="H483" s="32" t="str">
        <f t="shared" si="21"/>
        <v>OK</v>
      </c>
      <c r="I483" s="30">
        <v>2437.12</v>
      </c>
      <c r="J483" s="33" t="str">
        <f t="shared" si="22"/>
        <v>OK</v>
      </c>
      <c r="K483" s="30">
        <v>2028.16</v>
      </c>
      <c r="L483" t="s">
        <v>38</v>
      </c>
      <c r="M483" s="31" t="str">
        <f t="shared" si="23"/>
        <v>OK</v>
      </c>
    </row>
    <row r="484" spans="1:13">
      <c r="A484" t="s">
        <v>207</v>
      </c>
      <c r="B484" s="1">
        <v>45800</v>
      </c>
      <c r="C484" t="s">
        <v>11</v>
      </c>
      <c r="D484" t="s">
        <v>19</v>
      </c>
      <c r="E484" t="s">
        <v>20</v>
      </c>
      <c r="F484" t="s">
        <v>14</v>
      </c>
      <c r="G484">
        <v>8</v>
      </c>
      <c r="H484" s="32" t="str">
        <f t="shared" si="21"/>
        <v>OK</v>
      </c>
      <c r="I484" s="30">
        <v>1841.25</v>
      </c>
      <c r="J484" s="33" t="str">
        <f t="shared" si="22"/>
        <v>OK</v>
      </c>
      <c r="K484" s="30">
        <v>1295.05</v>
      </c>
      <c r="L484" t="s">
        <v>38</v>
      </c>
      <c r="M484" s="31" t="str">
        <f t="shared" si="23"/>
        <v>OK</v>
      </c>
    </row>
    <row r="485" spans="1:13">
      <c r="A485" t="s">
        <v>404</v>
      </c>
      <c r="B485" s="1">
        <v>45800</v>
      </c>
      <c r="C485" t="s">
        <v>220</v>
      </c>
      <c r="D485" t="s">
        <v>57</v>
      </c>
      <c r="E485" t="s">
        <v>32</v>
      </c>
      <c r="F485" t="s">
        <v>101</v>
      </c>
      <c r="G485">
        <v>3</v>
      </c>
      <c r="H485" s="32" t="str">
        <f t="shared" si="21"/>
        <v>OK</v>
      </c>
      <c r="I485" s="30">
        <v>695.22</v>
      </c>
      <c r="J485" s="33" t="str">
        <f t="shared" si="22"/>
        <v>OK</v>
      </c>
      <c r="K485" s="30">
        <v>557.53</v>
      </c>
      <c r="L485" t="s">
        <v>16</v>
      </c>
      <c r="M485" s="31" t="str">
        <f t="shared" si="23"/>
        <v>OK</v>
      </c>
    </row>
    <row r="486" spans="1:13">
      <c r="A486" t="s">
        <v>1217</v>
      </c>
      <c r="B486" s="1">
        <v>45800</v>
      </c>
      <c r="C486" t="s">
        <v>54</v>
      </c>
      <c r="D486" t="s">
        <v>12</v>
      </c>
      <c r="E486" t="s">
        <v>20</v>
      </c>
      <c r="F486" t="s">
        <v>196</v>
      </c>
      <c r="G486">
        <v>4</v>
      </c>
      <c r="H486" s="32" t="str">
        <f t="shared" si="21"/>
        <v>OK</v>
      </c>
      <c r="I486" s="30">
        <v>769.05</v>
      </c>
      <c r="J486" s="33" t="str">
        <f t="shared" si="22"/>
        <v>OK</v>
      </c>
      <c r="K486" s="30">
        <v>460.6</v>
      </c>
      <c r="L486" t="s">
        <v>22</v>
      </c>
      <c r="M486" s="31" t="str">
        <f t="shared" si="23"/>
        <v>OK</v>
      </c>
    </row>
    <row r="487" spans="1:13">
      <c r="A487" t="s">
        <v>1375</v>
      </c>
      <c r="B487" s="1">
        <v>45800</v>
      </c>
      <c r="C487" t="s">
        <v>54</v>
      </c>
      <c r="D487" t="s">
        <v>63</v>
      </c>
      <c r="E487" t="s">
        <v>20</v>
      </c>
      <c r="F487" t="s">
        <v>86</v>
      </c>
      <c r="G487">
        <v>5</v>
      </c>
      <c r="H487" s="32" t="str">
        <f t="shared" si="21"/>
        <v>OK</v>
      </c>
      <c r="I487" s="30">
        <v>1736.77</v>
      </c>
      <c r="J487" s="33" t="str">
        <f t="shared" si="22"/>
        <v>OK</v>
      </c>
      <c r="K487" s="30">
        <v>1512.83</v>
      </c>
      <c r="L487" t="s">
        <v>22</v>
      </c>
      <c r="M487" s="31" t="str">
        <f t="shared" si="23"/>
        <v>OK</v>
      </c>
    </row>
    <row r="488" spans="1:13">
      <c r="A488" t="s">
        <v>1389</v>
      </c>
      <c r="B488" s="1">
        <v>45800</v>
      </c>
      <c r="C488" t="s">
        <v>129</v>
      </c>
      <c r="D488" t="s">
        <v>12</v>
      </c>
      <c r="E488" t="s">
        <v>20</v>
      </c>
      <c r="F488" t="s">
        <v>14</v>
      </c>
      <c r="G488">
        <v>7</v>
      </c>
      <c r="H488" s="32" t="str">
        <f t="shared" si="21"/>
        <v>OK</v>
      </c>
      <c r="I488" s="30">
        <v>3428.26</v>
      </c>
      <c r="J488" s="33" t="str">
        <f t="shared" si="22"/>
        <v>OK</v>
      </c>
      <c r="K488" s="30">
        <v>2243.3200000000002</v>
      </c>
      <c r="L488" t="s">
        <v>28</v>
      </c>
      <c r="M488" s="31" t="str">
        <f t="shared" si="23"/>
        <v>OK</v>
      </c>
    </row>
    <row r="489" spans="1:13">
      <c r="A489" t="s">
        <v>1529</v>
      </c>
      <c r="B489" s="1">
        <v>45800</v>
      </c>
      <c r="C489" t="s">
        <v>35</v>
      </c>
      <c r="D489" t="s">
        <v>12</v>
      </c>
      <c r="E489" t="s">
        <v>32</v>
      </c>
      <c r="F489" t="s">
        <v>1615</v>
      </c>
      <c r="G489">
        <v>6</v>
      </c>
      <c r="H489" s="32" t="str">
        <f t="shared" si="21"/>
        <v>OK</v>
      </c>
      <c r="I489" s="30">
        <v>1245.8</v>
      </c>
      <c r="J489" s="33" t="str">
        <f t="shared" si="22"/>
        <v>OK</v>
      </c>
      <c r="K489" s="30">
        <v>885.83</v>
      </c>
      <c r="L489" t="s">
        <v>38</v>
      </c>
      <c r="M489" s="31" t="str">
        <f t="shared" si="23"/>
        <v>OK</v>
      </c>
    </row>
    <row r="490" spans="1:13">
      <c r="A490" t="s">
        <v>729</v>
      </c>
      <c r="B490" s="1">
        <v>45801</v>
      </c>
      <c r="C490" t="s">
        <v>119</v>
      </c>
      <c r="D490" t="s">
        <v>19</v>
      </c>
      <c r="E490" t="s">
        <v>20</v>
      </c>
      <c r="F490" t="s">
        <v>91</v>
      </c>
      <c r="G490">
        <v>3</v>
      </c>
      <c r="H490" s="32" t="str">
        <f t="shared" si="21"/>
        <v>OK</v>
      </c>
      <c r="I490" s="30">
        <v>1907.93</v>
      </c>
      <c r="J490" s="33" t="str">
        <f t="shared" si="22"/>
        <v>OK</v>
      </c>
      <c r="K490" s="30">
        <v>1059.21</v>
      </c>
      <c r="L490" t="s">
        <v>38</v>
      </c>
      <c r="M490" s="31" t="str">
        <f t="shared" si="23"/>
        <v>OK</v>
      </c>
    </row>
    <row r="491" spans="1:13">
      <c r="A491" t="s">
        <v>888</v>
      </c>
      <c r="B491" s="1">
        <v>45801</v>
      </c>
      <c r="C491" t="s">
        <v>121</v>
      </c>
      <c r="D491" t="s">
        <v>12</v>
      </c>
      <c r="E491" t="s">
        <v>26</v>
      </c>
      <c r="F491" t="s">
        <v>350</v>
      </c>
      <c r="G491">
        <v>6</v>
      </c>
      <c r="H491" s="32" t="str">
        <f t="shared" si="21"/>
        <v>OK</v>
      </c>
      <c r="I491" s="30">
        <v>2562.65</v>
      </c>
      <c r="J491" s="33" t="str">
        <f t="shared" si="22"/>
        <v>OK</v>
      </c>
      <c r="K491" s="30">
        <v>1618.31</v>
      </c>
      <c r="L491" t="s">
        <v>16</v>
      </c>
      <c r="M491" s="31" t="str">
        <f t="shared" si="23"/>
        <v>OK</v>
      </c>
    </row>
    <row r="492" spans="1:13">
      <c r="A492" t="s">
        <v>107</v>
      </c>
      <c r="B492" s="1">
        <v>45802</v>
      </c>
      <c r="C492" t="s">
        <v>108</v>
      </c>
      <c r="D492" t="s">
        <v>57</v>
      </c>
      <c r="E492" t="s">
        <v>82</v>
      </c>
      <c r="F492" t="s">
        <v>109</v>
      </c>
      <c r="G492">
        <v>4</v>
      </c>
      <c r="H492" s="32" t="str">
        <f t="shared" si="21"/>
        <v>OK</v>
      </c>
      <c r="I492" s="30">
        <v>3160.98</v>
      </c>
      <c r="J492" s="33" t="str">
        <f t="shared" si="22"/>
        <v>OK</v>
      </c>
      <c r="K492" s="30">
        <v>2164.6799999999998</v>
      </c>
      <c r="L492" t="s">
        <v>71</v>
      </c>
      <c r="M492" s="31" t="str">
        <f t="shared" si="23"/>
        <v>OK</v>
      </c>
    </row>
    <row r="493" spans="1:13">
      <c r="A493" t="s">
        <v>444</v>
      </c>
      <c r="B493" s="1">
        <v>45802</v>
      </c>
      <c r="C493" t="s">
        <v>133</v>
      </c>
      <c r="D493" t="s">
        <v>57</v>
      </c>
      <c r="E493" t="s">
        <v>82</v>
      </c>
      <c r="F493" t="s">
        <v>137</v>
      </c>
      <c r="G493">
        <v>7</v>
      </c>
      <c r="H493" s="32" t="str">
        <f t="shared" si="21"/>
        <v>OK</v>
      </c>
      <c r="I493" s="30">
        <v>3477.25</v>
      </c>
      <c r="J493" s="33" t="str">
        <f t="shared" si="22"/>
        <v>OK</v>
      </c>
      <c r="K493" s="30">
        <v>2656.89</v>
      </c>
      <c r="L493" t="s">
        <v>22</v>
      </c>
      <c r="M493" s="31" t="str">
        <f t="shared" si="23"/>
        <v>OK</v>
      </c>
    </row>
    <row r="494" spans="1:13">
      <c r="A494" t="s">
        <v>1020</v>
      </c>
      <c r="B494" s="1">
        <v>45802</v>
      </c>
      <c r="C494" t="s">
        <v>74</v>
      </c>
      <c r="D494" t="s">
        <v>31</v>
      </c>
      <c r="E494" t="s">
        <v>26</v>
      </c>
      <c r="F494" t="s">
        <v>27</v>
      </c>
      <c r="G494">
        <v>5</v>
      </c>
      <c r="H494" s="32" t="str">
        <f t="shared" si="21"/>
        <v>OK</v>
      </c>
      <c r="I494" s="30">
        <v>2971.8</v>
      </c>
      <c r="J494" s="33" t="str">
        <f t="shared" si="22"/>
        <v>OK</v>
      </c>
      <c r="K494" s="30">
        <v>2203.2199999999998</v>
      </c>
      <c r="L494" t="s">
        <v>28</v>
      </c>
      <c r="M494" s="31" t="str">
        <f t="shared" si="23"/>
        <v>OK</v>
      </c>
    </row>
    <row r="495" spans="1:13">
      <c r="A495" t="s">
        <v>1131</v>
      </c>
      <c r="B495" s="1">
        <v>45802</v>
      </c>
      <c r="C495" t="s">
        <v>56</v>
      </c>
      <c r="D495" t="s">
        <v>63</v>
      </c>
      <c r="E495" t="s">
        <v>20</v>
      </c>
      <c r="F495" t="s">
        <v>91</v>
      </c>
      <c r="G495">
        <v>1</v>
      </c>
      <c r="H495" s="32" t="str">
        <f t="shared" si="21"/>
        <v>OK</v>
      </c>
      <c r="I495" s="30">
        <v>2205.88</v>
      </c>
      <c r="J495" s="33" t="str">
        <f t="shared" si="22"/>
        <v>OK</v>
      </c>
      <c r="K495" s="30">
        <v>1857.65</v>
      </c>
      <c r="L495" t="s">
        <v>28</v>
      </c>
      <c r="M495" s="31" t="str">
        <f t="shared" si="23"/>
        <v>OK</v>
      </c>
    </row>
    <row r="496" spans="1:13">
      <c r="A496" t="s">
        <v>279</v>
      </c>
      <c r="B496" s="1">
        <v>45803</v>
      </c>
      <c r="C496" t="s">
        <v>124</v>
      </c>
      <c r="D496" t="s">
        <v>63</v>
      </c>
      <c r="E496" t="s">
        <v>26</v>
      </c>
      <c r="F496" t="s">
        <v>27</v>
      </c>
      <c r="G496">
        <v>6</v>
      </c>
      <c r="H496" s="32" t="str">
        <f t="shared" si="21"/>
        <v>OK</v>
      </c>
      <c r="I496" s="30">
        <v>1391.9</v>
      </c>
      <c r="J496" s="33" t="str">
        <f t="shared" si="22"/>
        <v>OK</v>
      </c>
      <c r="K496" s="30">
        <v>1214.55</v>
      </c>
      <c r="L496" t="s">
        <v>1617</v>
      </c>
      <c r="M496" s="31" t="str">
        <f t="shared" si="23"/>
        <v>OK</v>
      </c>
    </row>
    <row r="497" spans="1:13">
      <c r="A497" t="s">
        <v>806</v>
      </c>
      <c r="B497" s="1">
        <v>45803</v>
      </c>
      <c r="C497" t="s">
        <v>259</v>
      </c>
      <c r="D497" t="s">
        <v>57</v>
      </c>
      <c r="E497" t="s">
        <v>20</v>
      </c>
      <c r="F497" t="s">
        <v>91</v>
      </c>
      <c r="G497">
        <v>3</v>
      </c>
      <c r="H497" s="32" t="str">
        <f t="shared" si="21"/>
        <v>OK</v>
      </c>
      <c r="I497" s="30">
        <v>5814.61</v>
      </c>
      <c r="J497" s="33" t="str">
        <f t="shared" si="22"/>
        <v>OK</v>
      </c>
      <c r="K497" s="30">
        <v>4635.88</v>
      </c>
      <c r="L497" t="s">
        <v>22</v>
      </c>
      <c r="M497" s="31" t="str">
        <f t="shared" si="23"/>
        <v>OK</v>
      </c>
    </row>
    <row r="498" spans="1:13">
      <c r="A498" t="s">
        <v>924</v>
      </c>
      <c r="B498" s="1">
        <v>45803</v>
      </c>
      <c r="C498" t="s">
        <v>115</v>
      </c>
      <c r="D498" t="s">
        <v>19</v>
      </c>
      <c r="E498" t="s">
        <v>36</v>
      </c>
      <c r="F498" t="s">
        <v>46</v>
      </c>
      <c r="G498">
        <v>3</v>
      </c>
      <c r="H498" s="32" t="str">
        <f t="shared" si="21"/>
        <v>OK</v>
      </c>
      <c r="I498" s="30">
        <v>15177.71</v>
      </c>
      <c r="J498" s="33" t="str">
        <f t="shared" si="22"/>
        <v>OK</v>
      </c>
      <c r="K498" s="30">
        <v>12103.91</v>
      </c>
      <c r="L498" t="s">
        <v>22</v>
      </c>
      <c r="M498" s="31" t="str">
        <f t="shared" si="23"/>
        <v>OK</v>
      </c>
    </row>
    <row r="499" spans="1:13">
      <c r="A499" t="s">
        <v>77</v>
      </c>
      <c r="B499" s="1">
        <v>45804</v>
      </c>
      <c r="C499" t="s">
        <v>48</v>
      </c>
      <c r="D499" t="s">
        <v>12</v>
      </c>
      <c r="E499" t="s">
        <v>26</v>
      </c>
      <c r="F499" t="s">
        <v>79</v>
      </c>
      <c r="G499">
        <v>6</v>
      </c>
      <c r="H499" s="32" t="str">
        <f t="shared" si="21"/>
        <v>OK</v>
      </c>
      <c r="I499" s="30">
        <v>3095.06</v>
      </c>
      <c r="J499" s="33" t="str">
        <f t="shared" si="22"/>
        <v>OK</v>
      </c>
      <c r="K499" s="30">
        <v>1979.17</v>
      </c>
      <c r="L499" t="s">
        <v>28</v>
      </c>
      <c r="M499" s="31" t="str">
        <f t="shared" si="23"/>
        <v>OK</v>
      </c>
    </row>
    <row r="500" spans="1:13">
      <c r="A500" t="s">
        <v>394</v>
      </c>
      <c r="B500" s="1">
        <v>45804</v>
      </c>
      <c r="C500" t="s">
        <v>175</v>
      </c>
      <c r="D500" t="s">
        <v>63</v>
      </c>
      <c r="E500" t="s">
        <v>20</v>
      </c>
      <c r="F500" t="s">
        <v>196</v>
      </c>
      <c r="G500">
        <v>8</v>
      </c>
      <c r="H500" s="32" t="str">
        <f t="shared" si="21"/>
        <v>OK</v>
      </c>
      <c r="I500" s="30">
        <v>1600.98</v>
      </c>
      <c r="J500" s="33" t="str">
        <f t="shared" si="22"/>
        <v>OK</v>
      </c>
      <c r="K500" s="30">
        <v>952.25</v>
      </c>
      <c r="L500" t="s">
        <v>16</v>
      </c>
      <c r="M500" s="31" t="str">
        <f t="shared" si="23"/>
        <v>OK</v>
      </c>
    </row>
    <row r="501" spans="1:13">
      <c r="A501" t="s">
        <v>398</v>
      </c>
      <c r="B501" s="1">
        <v>45804</v>
      </c>
      <c r="C501" t="s">
        <v>85</v>
      </c>
      <c r="D501" t="s">
        <v>57</v>
      </c>
      <c r="E501" t="s">
        <v>20</v>
      </c>
      <c r="F501" t="s">
        <v>14</v>
      </c>
      <c r="G501">
        <v>8</v>
      </c>
      <c r="H501" s="32" t="str">
        <f t="shared" si="21"/>
        <v>OK</v>
      </c>
      <c r="I501" s="30">
        <v>4328.3999999999996</v>
      </c>
      <c r="J501" s="33" t="str">
        <f t="shared" si="22"/>
        <v>OK</v>
      </c>
      <c r="K501" s="30">
        <v>2578.87</v>
      </c>
      <c r="L501" t="s">
        <v>28</v>
      </c>
      <c r="M501" s="31" t="str">
        <f t="shared" si="23"/>
        <v>OK</v>
      </c>
    </row>
    <row r="502" spans="1:13">
      <c r="A502" t="s">
        <v>734</v>
      </c>
      <c r="B502" s="1">
        <v>45805</v>
      </c>
      <c r="C502" t="s">
        <v>67</v>
      </c>
      <c r="D502" t="s">
        <v>63</v>
      </c>
      <c r="E502" t="s">
        <v>82</v>
      </c>
      <c r="F502" t="s">
        <v>155</v>
      </c>
      <c r="G502">
        <v>7</v>
      </c>
      <c r="H502" s="32" t="str">
        <f t="shared" si="21"/>
        <v>OK</v>
      </c>
      <c r="I502" s="30">
        <v>4418.37</v>
      </c>
      <c r="J502" s="33" t="str">
        <f t="shared" si="22"/>
        <v>OK</v>
      </c>
      <c r="K502" s="30">
        <v>2891.56</v>
      </c>
      <c r="L502" t="s">
        <v>38</v>
      </c>
      <c r="M502" s="31" t="str">
        <f t="shared" si="23"/>
        <v>OK</v>
      </c>
    </row>
    <row r="503" spans="1:13">
      <c r="A503" t="s">
        <v>1158</v>
      </c>
      <c r="B503" s="1">
        <v>45805</v>
      </c>
      <c r="C503" t="s">
        <v>35</v>
      </c>
      <c r="D503" t="s">
        <v>12</v>
      </c>
      <c r="E503" t="s">
        <v>82</v>
      </c>
      <c r="F503" t="s">
        <v>109</v>
      </c>
      <c r="G503">
        <v>5</v>
      </c>
      <c r="H503" s="32" t="str">
        <f t="shared" si="21"/>
        <v>OK</v>
      </c>
      <c r="I503" s="30">
        <v>713.71</v>
      </c>
      <c r="J503" s="33" t="str">
        <f t="shared" si="22"/>
        <v>OK</v>
      </c>
      <c r="K503" s="30">
        <v>627.17999999999995</v>
      </c>
      <c r="L503" t="s">
        <v>28</v>
      </c>
      <c r="M503" s="31" t="str">
        <f t="shared" si="23"/>
        <v>OK</v>
      </c>
    </row>
    <row r="504" spans="1:13">
      <c r="A504" t="s">
        <v>1196</v>
      </c>
      <c r="B504" s="1">
        <v>45805</v>
      </c>
      <c r="C504" t="s">
        <v>220</v>
      </c>
      <c r="D504" t="s">
        <v>57</v>
      </c>
      <c r="E504" t="s">
        <v>26</v>
      </c>
      <c r="F504" t="s">
        <v>27</v>
      </c>
      <c r="G504">
        <v>2</v>
      </c>
      <c r="H504" s="32" t="str">
        <f t="shared" si="21"/>
        <v>OK</v>
      </c>
      <c r="I504" s="30">
        <v>1375.68</v>
      </c>
      <c r="J504" s="33" t="str">
        <f t="shared" si="22"/>
        <v>OK</v>
      </c>
      <c r="K504" s="30">
        <v>957.45</v>
      </c>
      <c r="L504" t="s">
        <v>22</v>
      </c>
      <c r="M504" s="31" t="str">
        <f t="shared" si="23"/>
        <v>OK</v>
      </c>
    </row>
    <row r="505" spans="1:13">
      <c r="A505" t="s">
        <v>512</v>
      </c>
      <c r="B505" s="1">
        <v>45806</v>
      </c>
      <c r="C505" t="s">
        <v>70</v>
      </c>
      <c r="D505" t="s">
        <v>12</v>
      </c>
      <c r="E505" t="s">
        <v>82</v>
      </c>
      <c r="F505" t="s">
        <v>150</v>
      </c>
      <c r="G505">
        <v>2</v>
      </c>
      <c r="H505" s="32" t="str">
        <f t="shared" si="21"/>
        <v>OK</v>
      </c>
      <c r="I505" s="30">
        <v>2054.54</v>
      </c>
      <c r="J505" s="33" t="str">
        <f t="shared" si="22"/>
        <v>OK</v>
      </c>
      <c r="K505" s="30">
        <v>1263.8499999999999</v>
      </c>
      <c r="L505" t="s">
        <v>38</v>
      </c>
      <c r="M505" s="31" t="str">
        <f t="shared" si="23"/>
        <v>OK</v>
      </c>
    </row>
    <row r="506" spans="1:13">
      <c r="A506" t="s">
        <v>372</v>
      </c>
      <c r="B506" s="1">
        <v>45807</v>
      </c>
      <c r="C506" t="s">
        <v>35</v>
      </c>
      <c r="D506" t="s">
        <v>19</v>
      </c>
      <c r="E506" t="s">
        <v>36</v>
      </c>
      <c r="F506" t="s">
        <v>1614</v>
      </c>
      <c r="G506">
        <v>2</v>
      </c>
      <c r="H506" s="32" t="str">
        <f t="shared" si="21"/>
        <v>OK</v>
      </c>
      <c r="I506" s="30">
        <v>9687.1200000000008</v>
      </c>
      <c r="J506" s="33" t="str">
        <f t="shared" si="22"/>
        <v>OK</v>
      </c>
      <c r="K506" s="30">
        <v>7778.04</v>
      </c>
      <c r="L506" t="s">
        <v>71</v>
      </c>
      <c r="M506" s="31" t="str">
        <f t="shared" si="23"/>
        <v>OK</v>
      </c>
    </row>
    <row r="507" spans="1:13">
      <c r="A507" t="s">
        <v>685</v>
      </c>
      <c r="B507" s="1">
        <v>45807</v>
      </c>
      <c r="C507" t="s">
        <v>24</v>
      </c>
      <c r="D507" t="s">
        <v>19</v>
      </c>
      <c r="E507" t="s">
        <v>20</v>
      </c>
      <c r="F507" t="s">
        <v>91</v>
      </c>
      <c r="G507">
        <v>8</v>
      </c>
      <c r="H507" s="32" t="str">
        <f t="shared" si="21"/>
        <v>OK</v>
      </c>
      <c r="I507" s="30">
        <v>4690.8100000000004</v>
      </c>
      <c r="J507" s="33" t="str">
        <f t="shared" si="22"/>
        <v>OK</v>
      </c>
      <c r="K507" s="30">
        <v>3351.44</v>
      </c>
      <c r="L507" t="s">
        <v>16</v>
      </c>
      <c r="M507" s="31" t="str">
        <f t="shared" si="23"/>
        <v>OK</v>
      </c>
    </row>
    <row r="508" spans="1:13">
      <c r="A508" t="s">
        <v>1452</v>
      </c>
      <c r="B508" s="1">
        <v>45807</v>
      </c>
      <c r="C508" t="s">
        <v>162</v>
      </c>
      <c r="D508" t="s">
        <v>12</v>
      </c>
      <c r="E508" t="s">
        <v>20</v>
      </c>
      <c r="F508" t="s">
        <v>191</v>
      </c>
      <c r="G508">
        <v>7</v>
      </c>
      <c r="H508" s="32" t="str">
        <f t="shared" si="21"/>
        <v>OK</v>
      </c>
      <c r="I508" s="30">
        <v>823.47</v>
      </c>
      <c r="J508" s="33" t="str">
        <f t="shared" si="22"/>
        <v>OK</v>
      </c>
      <c r="K508" s="30">
        <v>673.08</v>
      </c>
      <c r="L508" t="s">
        <v>71</v>
      </c>
      <c r="M508" s="31" t="str">
        <f t="shared" si="23"/>
        <v>OK</v>
      </c>
    </row>
    <row r="509" spans="1:13">
      <c r="A509" t="s">
        <v>503</v>
      </c>
      <c r="B509" s="1">
        <v>45808</v>
      </c>
      <c r="C509" t="s">
        <v>220</v>
      </c>
      <c r="D509" t="s">
        <v>12</v>
      </c>
      <c r="E509" t="s">
        <v>26</v>
      </c>
      <c r="F509" t="s">
        <v>27</v>
      </c>
      <c r="G509">
        <v>7</v>
      </c>
      <c r="H509" s="32" t="str">
        <f t="shared" si="21"/>
        <v>OK</v>
      </c>
      <c r="I509" s="30">
        <v>764.01</v>
      </c>
      <c r="J509" s="33" t="str">
        <f t="shared" si="22"/>
        <v>OK</v>
      </c>
      <c r="K509" s="30">
        <v>421.02</v>
      </c>
      <c r="L509" t="s">
        <v>22</v>
      </c>
      <c r="M509" s="31" t="str">
        <f t="shared" si="23"/>
        <v>OK</v>
      </c>
    </row>
    <row r="510" spans="1:13">
      <c r="A510" t="s">
        <v>779</v>
      </c>
      <c r="B510" s="1">
        <v>45808</v>
      </c>
      <c r="C510" t="s">
        <v>220</v>
      </c>
      <c r="D510" t="s">
        <v>63</v>
      </c>
      <c r="E510" t="s">
        <v>32</v>
      </c>
      <c r="F510" t="s">
        <v>52</v>
      </c>
      <c r="G510">
        <v>8</v>
      </c>
      <c r="H510" s="32" t="str">
        <f t="shared" si="21"/>
        <v>OK</v>
      </c>
      <c r="I510" s="30">
        <v>1327.58</v>
      </c>
      <c r="J510" s="33" t="str">
        <f t="shared" si="22"/>
        <v>OK</v>
      </c>
      <c r="K510" s="30">
        <v>844.8</v>
      </c>
      <c r="L510" t="s">
        <v>22</v>
      </c>
      <c r="M510" s="31" t="str">
        <f t="shared" si="23"/>
        <v>OK</v>
      </c>
    </row>
    <row r="511" spans="1:13">
      <c r="A511" t="s">
        <v>1156</v>
      </c>
      <c r="B511" s="1">
        <v>45808</v>
      </c>
      <c r="C511" t="s">
        <v>115</v>
      </c>
      <c r="D511" t="s">
        <v>63</v>
      </c>
      <c r="E511" t="s">
        <v>36</v>
      </c>
      <c r="F511" t="s">
        <v>113</v>
      </c>
      <c r="G511">
        <v>6</v>
      </c>
      <c r="H511" s="32" t="str">
        <f t="shared" si="21"/>
        <v>OK</v>
      </c>
      <c r="I511" s="30">
        <v>10772.72</v>
      </c>
      <c r="J511" s="33" t="str">
        <f t="shared" si="22"/>
        <v>OK</v>
      </c>
      <c r="K511" s="30">
        <v>8429.75</v>
      </c>
      <c r="L511" t="s">
        <v>16</v>
      </c>
      <c r="M511" s="31" t="str">
        <f t="shared" si="23"/>
        <v>OK</v>
      </c>
    </row>
    <row r="512" spans="1:13">
      <c r="A512" t="s">
        <v>1344</v>
      </c>
      <c r="B512" s="1">
        <v>45809</v>
      </c>
      <c r="C512" t="s">
        <v>119</v>
      </c>
      <c r="D512" t="s">
        <v>57</v>
      </c>
      <c r="E512" t="s">
        <v>82</v>
      </c>
      <c r="F512" t="s">
        <v>83</v>
      </c>
      <c r="G512">
        <v>1</v>
      </c>
      <c r="H512" s="32" t="str">
        <f t="shared" si="21"/>
        <v>OK</v>
      </c>
      <c r="I512" s="30">
        <v>4036.56</v>
      </c>
      <c r="J512" s="33" t="str">
        <f t="shared" si="22"/>
        <v>OK</v>
      </c>
      <c r="K512" s="30">
        <v>3442.01</v>
      </c>
      <c r="L512" t="s">
        <v>38</v>
      </c>
      <c r="M512" s="31" t="str">
        <f t="shared" si="23"/>
        <v>OK</v>
      </c>
    </row>
    <row r="513" spans="1:13">
      <c r="A513" t="s">
        <v>1089</v>
      </c>
      <c r="B513" s="1">
        <v>45810</v>
      </c>
      <c r="C513" t="s">
        <v>117</v>
      </c>
      <c r="D513" t="s">
        <v>12</v>
      </c>
      <c r="E513" t="s">
        <v>26</v>
      </c>
      <c r="F513" t="s">
        <v>79</v>
      </c>
      <c r="G513">
        <v>2</v>
      </c>
      <c r="H513" s="32" t="str">
        <f t="shared" si="21"/>
        <v>OK</v>
      </c>
      <c r="I513" s="30">
        <v>3176.87</v>
      </c>
      <c r="J513" s="33" t="str">
        <f t="shared" si="22"/>
        <v>OK</v>
      </c>
      <c r="K513" s="30">
        <v>2173.9699999999998</v>
      </c>
      <c r="L513" t="s">
        <v>22</v>
      </c>
      <c r="M513" s="31" t="str">
        <f t="shared" si="23"/>
        <v>OK</v>
      </c>
    </row>
    <row r="514" spans="1:13">
      <c r="A514" t="s">
        <v>184</v>
      </c>
      <c r="B514" s="1">
        <v>45811</v>
      </c>
      <c r="C514" t="s">
        <v>30</v>
      </c>
      <c r="D514" t="s">
        <v>12</v>
      </c>
      <c r="E514" t="s">
        <v>20</v>
      </c>
      <c r="F514" t="s">
        <v>86</v>
      </c>
      <c r="G514">
        <v>4</v>
      </c>
      <c r="H514" s="32" t="str">
        <f t="shared" ref="H514:H577" si="24">IF(G514="","Blank",IF(G514&lt;0,"Negative Quantity",IF(G514=0,"Zero Quantity",IF(G514&gt;0,"OK",""))))</f>
        <v>OK</v>
      </c>
      <c r="I514" s="30">
        <v>5765.83</v>
      </c>
      <c r="J514" s="33" t="str">
        <f t="shared" ref="J514:J577" si="25">IF(I514="","Missing Sales",IF(I514&lt;0,"Negative Sales","OK"))</f>
        <v>OK</v>
      </c>
      <c r="K514" s="30">
        <v>4316.92</v>
      </c>
      <c r="L514" t="s">
        <v>71</v>
      </c>
      <c r="M514" s="31" t="str">
        <f t="shared" ref="M514:M577" si="26">IF(OR(I514="",K514=""),"Missing Data",IF(I514&lt;K514,"Sales &lt; Cost","OK"))</f>
        <v>OK</v>
      </c>
    </row>
    <row r="515" spans="1:13">
      <c r="A515" t="s">
        <v>547</v>
      </c>
      <c r="B515" s="1">
        <v>45811</v>
      </c>
      <c r="C515" t="s">
        <v>54</v>
      </c>
      <c r="D515" t="s">
        <v>19</v>
      </c>
      <c r="E515" t="s">
        <v>36</v>
      </c>
      <c r="F515" t="s">
        <v>42</v>
      </c>
      <c r="G515">
        <v>5</v>
      </c>
      <c r="H515" s="32" t="str">
        <f t="shared" si="24"/>
        <v>OK</v>
      </c>
      <c r="I515" s="30">
        <v>12303.87</v>
      </c>
      <c r="J515" s="33" t="str">
        <f t="shared" si="25"/>
        <v>OK</v>
      </c>
      <c r="K515" s="30">
        <v>8091.52</v>
      </c>
      <c r="L515" t="s">
        <v>22</v>
      </c>
      <c r="M515" s="31" t="str">
        <f t="shared" si="26"/>
        <v>OK</v>
      </c>
    </row>
    <row r="516" spans="1:13">
      <c r="A516" t="s">
        <v>723</v>
      </c>
      <c r="B516" s="1">
        <v>45811</v>
      </c>
      <c r="C516" t="s">
        <v>35</v>
      </c>
      <c r="D516" t="s">
        <v>63</v>
      </c>
      <c r="E516" t="s">
        <v>26</v>
      </c>
      <c r="F516" t="s">
        <v>79</v>
      </c>
      <c r="G516">
        <v>3</v>
      </c>
      <c r="H516" s="32" t="str">
        <f t="shared" si="24"/>
        <v>OK</v>
      </c>
      <c r="I516" s="30">
        <v>2982.08</v>
      </c>
      <c r="J516" s="33" t="str">
        <f t="shared" si="25"/>
        <v>OK</v>
      </c>
      <c r="K516" s="30">
        <v>2502.69</v>
      </c>
      <c r="L516" t="s">
        <v>71</v>
      </c>
      <c r="M516" s="31" t="str">
        <f t="shared" si="26"/>
        <v>OK</v>
      </c>
    </row>
    <row r="517" spans="1:13">
      <c r="A517" t="s">
        <v>798</v>
      </c>
      <c r="B517" s="1">
        <v>45811</v>
      </c>
      <c r="C517" t="s">
        <v>119</v>
      </c>
      <c r="D517" t="s">
        <v>12</v>
      </c>
      <c r="E517" t="s">
        <v>82</v>
      </c>
      <c r="F517" t="s">
        <v>155</v>
      </c>
      <c r="G517">
        <v>1</v>
      </c>
      <c r="H517" s="32" t="str">
        <f t="shared" si="24"/>
        <v>OK</v>
      </c>
      <c r="I517" s="30">
        <v>5223.21</v>
      </c>
      <c r="J517" s="33" t="str">
        <f t="shared" si="25"/>
        <v>OK</v>
      </c>
      <c r="K517" s="30">
        <v>3866.08</v>
      </c>
      <c r="L517" t="s">
        <v>16</v>
      </c>
      <c r="M517" s="31" t="str">
        <f t="shared" si="26"/>
        <v>OK</v>
      </c>
    </row>
    <row r="518" spans="1:13">
      <c r="A518" t="s">
        <v>1482</v>
      </c>
      <c r="B518" s="1">
        <v>45811</v>
      </c>
      <c r="C518" t="s">
        <v>51</v>
      </c>
      <c r="D518" t="s">
        <v>12</v>
      </c>
      <c r="E518" t="s">
        <v>26</v>
      </c>
      <c r="F518" t="s">
        <v>106</v>
      </c>
      <c r="G518">
        <v>5</v>
      </c>
      <c r="H518" s="32" t="str">
        <f t="shared" si="24"/>
        <v>OK</v>
      </c>
      <c r="I518" s="30">
        <v>2076.9499999999998</v>
      </c>
      <c r="J518" s="33" t="str">
        <f t="shared" si="25"/>
        <v>OK</v>
      </c>
      <c r="K518" s="30">
        <v>1531.51</v>
      </c>
      <c r="L518" t="s">
        <v>28</v>
      </c>
      <c r="M518" s="31" t="str">
        <f t="shared" si="26"/>
        <v>OK</v>
      </c>
    </row>
    <row r="519" spans="1:13">
      <c r="A519" t="s">
        <v>1576</v>
      </c>
      <c r="B519" s="1">
        <v>45811</v>
      </c>
      <c r="C519" t="s">
        <v>30</v>
      </c>
      <c r="D519" t="s">
        <v>63</v>
      </c>
      <c r="E519" t="s">
        <v>32</v>
      </c>
      <c r="F519" t="s">
        <v>101</v>
      </c>
      <c r="G519">
        <v>-2</v>
      </c>
      <c r="H519" s="32" t="str">
        <f t="shared" si="24"/>
        <v>Negative Quantity</v>
      </c>
      <c r="I519" s="30">
        <v>1185.19</v>
      </c>
      <c r="J519" s="33" t="str">
        <f t="shared" si="25"/>
        <v>OK</v>
      </c>
      <c r="K519" s="30">
        <v>723.11</v>
      </c>
      <c r="L519" t="s">
        <v>22</v>
      </c>
      <c r="M519" s="31" t="str">
        <f t="shared" si="26"/>
        <v>OK</v>
      </c>
    </row>
    <row r="520" spans="1:13">
      <c r="A520" t="s">
        <v>1584</v>
      </c>
      <c r="B520" s="1">
        <v>45811</v>
      </c>
      <c r="C520" t="s">
        <v>40</v>
      </c>
      <c r="D520" t="s">
        <v>12</v>
      </c>
      <c r="E520" t="s">
        <v>20</v>
      </c>
      <c r="F520" t="s">
        <v>21</v>
      </c>
      <c r="G520">
        <v>8</v>
      </c>
      <c r="H520" s="32" t="str">
        <f t="shared" si="24"/>
        <v>OK</v>
      </c>
      <c r="I520" s="30">
        <v>1182.97</v>
      </c>
      <c r="J520" s="33" t="str">
        <f t="shared" si="25"/>
        <v>OK</v>
      </c>
      <c r="K520" s="30">
        <v>910.59</v>
      </c>
      <c r="L520" t="s">
        <v>22</v>
      </c>
      <c r="M520" s="31" t="str">
        <f t="shared" si="26"/>
        <v>OK</v>
      </c>
    </row>
    <row r="521" spans="1:13">
      <c r="A521" t="s">
        <v>186</v>
      </c>
      <c r="B521" s="1">
        <v>45812</v>
      </c>
      <c r="C521" t="s">
        <v>35</v>
      </c>
      <c r="D521" t="s">
        <v>63</v>
      </c>
      <c r="E521" t="s">
        <v>26</v>
      </c>
      <c r="F521" t="s">
        <v>106</v>
      </c>
      <c r="G521">
        <v>4</v>
      </c>
      <c r="H521" s="32" t="str">
        <f t="shared" si="24"/>
        <v>OK</v>
      </c>
      <c r="I521" s="30">
        <v>3497.96</v>
      </c>
      <c r="J521" s="33" t="str">
        <f t="shared" si="25"/>
        <v>OK</v>
      </c>
      <c r="K521" s="30">
        <v>2908.91</v>
      </c>
      <c r="L521" t="s">
        <v>16</v>
      </c>
      <c r="M521" s="31" t="str">
        <f t="shared" si="26"/>
        <v>OK</v>
      </c>
    </row>
    <row r="522" spans="1:13">
      <c r="A522" t="s">
        <v>349</v>
      </c>
      <c r="B522" s="1">
        <v>45812</v>
      </c>
      <c r="C522" t="s">
        <v>18</v>
      </c>
      <c r="D522" t="s">
        <v>12</v>
      </c>
      <c r="E522" t="s">
        <v>26</v>
      </c>
      <c r="F522" t="s">
        <v>350</v>
      </c>
      <c r="G522">
        <v>5</v>
      </c>
      <c r="H522" s="32" t="str">
        <f t="shared" si="24"/>
        <v>OK</v>
      </c>
      <c r="I522" s="30">
        <v>869.59</v>
      </c>
      <c r="J522" s="33" t="str">
        <f t="shared" si="25"/>
        <v>OK</v>
      </c>
      <c r="K522" s="30">
        <v>651.61</v>
      </c>
      <c r="L522" t="s">
        <v>71</v>
      </c>
      <c r="M522" s="31" t="str">
        <f t="shared" si="26"/>
        <v>OK</v>
      </c>
    </row>
    <row r="523" spans="1:13">
      <c r="A523" t="s">
        <v>278</v>
      </c>
      <c r="B523" s="1">
        <v>45813</v>
      </c>
      <c r="C523" t="s">
        <v>133</v>
      </c>
      <c r="D523" t="s">
        <v>31</v>
      </c>
      <c r="E523" t="s">
        <v>26</v>
      </c>
      <c r="F523" t="s">
        <v>103</v>
      </c>
      <c r="G523">
        <v>2</v>
      </c>
      <c r="H523" s="32" t="str">
        <f t="shared" si="24"/>
        <v>OK</v>
      </c>
      <c r="I523" s="30">
        <v>2720.56</v>
      </c>
      <c r="J523" s="33" t="str">
        <f t="shared" si="25"/>
        <v>OK</v>
      </c>
      <c r="K523" s="30">
        <v>2089.8200000000002</v>
      </c>
      <c r="L523" t="s">
        <v>38</v>
      </c>
      <c r="M523" s="31" t="str">
        <f t="shared" si="26"/>
        <v>OK</v>
      </c>
    </row>
    <row r="524" spans="1:13">
      <c r="A524" t="s">
        <v>358</v>
      </c>
      <c r="B524" s="1">
        <v>45813</v>
      </c>
      <c r="C524" t="s">
        <v>162</v>
      </c>
      <c r="D524" t="s">
        <v>12</v>
      </c>
      <c r="E524" t="s">
        <v>32</v>
      </c>
      <c r="F524" t="s">
        <v>33</v>
      </c>
      <c r="G524">
        <v>4</v>
      </c>
      <c r="H524" s="32" t="str">
        <f t="shared" si="24"/>
        <v>OK</v>
      </c>
      <c r="I524" s="30">
        <v>681.7</v>
      </c>
      <c r="J524" s="33" t="str">
        <f t="shared" si="25"/>
        <v>OK</v>
      </c>
      <c r="K524" s="30">
        <v>385.52</v>
      </c>
      <c r="L524" t="s">
        <v>16</v>
      </c>
      <c r="M524" s="31" t="str">
        <f t="shared" si="26"/>
        <v>OK</v>
      </c>
    </row>
    <row r="525" spans="1:13">
      <c r="A525" t="s">
        <v>724</v>
      </c>
      <c r="B525" s="1">
        <v>45813</v>
      </c>
      <c r="C525" t="s">
        <v>70</v>
      </c>
      <c r="D525" t="s">
        <v>31</v>
      </c>
      <c r="E525" t="s">
        <v>82</v>
      </c>
      <c r="F525" t="s">
        <v>137</v>
      </c>
      <c r="G525">
        <v>4</v>
      </c>
      <c r="H525" s="32" t="str">
        <f t="shared" si="24"/>
        <v>OK</v>
      </c>
      <c r="I525" s="30">
        <v>2356</v>
      </c>
      <c r="J525" s="33" t="str">
        <f t="shared" si="25"/>
        <v>OK</v>
      </c>
      <c r="K525" s="30">
        <v>1504.56</v>
      </c>
      <c r="L525" t="s">
        <v>16</v>
      </c>
      <c r="M525" s="31" t="str">
        <f t="shared" si="26"/>
        <v>OK</v>
      </c>
    </row>
    <row r="526" spans="1:13">
      <c r="A526" t="s">
        <v>1007</v>
      </c>
      <c r="B526" s="1">
        <v>45813</v>
      </c>
      <c r="C526" t="s">
        <v>135</v>
      </c>
      <c r="D526" t="s">
        <v>63</v>
      </c>
      <c r="E526" t="s">
        <v>20</v>
      </c>
      <c r="F526" t="s">
        <v>91</v>
      </c>
      <c r="G526">
        <v>4</v>
      </c>
      <c r="H526" s="32" t="str">
        <f t="shared" si="24"/>
        <v>OK</v>
      </c>
      <c r="I526" s="30">
        <v>1889.75</v>
      </c>
      <c r="J526" s="33" t="str">
        <f t="shared" si="25"/>
        <v>OK</v>
      </c>
      <c r="K526" s="30">
        <v>1135.49</v>
      </c>
      <c r="L526" t="s">
        <v>28</v>
      </c>
      <c r="M526" s="31" t="str">
        <f t="shared" si="26"/>
        <v>OK</v>
      </c>
    </row>
    <row r="527" spans="1:13">
      <c r="A527" t="s">
        <v>1050</v>
      </c>
      <c r="B527" s="1">
        <v>45813</v>
      </c>
      <c r="C527" t="s">
        <v>18</v>
      </c>
      <c r="D527" t="s">
        <v>19</v>
      </c>
      <c r="E527" t="s">
        <v>32</v>
      </c>
      <c r="F527" t="s">
        <v>33</v>
      </c>
      <c r="G527">
        <v>5</v>
      </c>
      <c r="H527" s="32" t="str">
        <f t="shared" si="24"/>
        <v>OK</v>
      </c>
      <c r="I527" s="30">
        <v>1261.0999999999999</v>
      </c>
      <c r="J527" s="33" t="str">
        <f t="shared" si="25"/>
        <v>OK</v>
      </c>
      <c r="K527" s="30">
        <v>869.42</v>
      </c>
      <c r="L527" t="s">
        <v>38</v>
      </c>
      <c r="M527" s="31" t="str">
        <f t="shared" si="26"/>
        <v>OK</v>
      </c>
    </row>
    <row r="528" spans="1:13">
      <c r="A528" t="s">
        <v>495</v>
      </c>
      <c r="B528" s="1">
        <v>45814</v>
      </c>
      <c r="C528" t="s">
        <v>124</v>
      </c>
      <c r="D528" t="s">
        <v>57</v>
      </c>
      <c r="E528" t="s">
        <v>82</v>
      </c>
      <c r="F528" t="s">
        <v>109</v>
      </c>
      <c r="G528">
        <v>1</v>
      </c>
      <c r="H528" s="32" t="str">
        <f t="shared" si="24"/>
        <v>OK</v>
      </c>
      <c r="I528" s="30">
        <v>3698.68</v>
      </c>
      <c r="J528" s="33" t="str">
        <f t="shared" si="25"/>
        <v>OK</v>
      </c>
      <c r="K528" s="30">
        <v>2838.44</v>
      </c>
      <c r="L528" t="s">
        <v>22</v>
      </c>
      <c r="M528" s="31" t="str">
        <f t="shared" si="26"/>
        <v>OK</v>
      </c>
    </row>
    <row r="529" spans="1:13">
      <c r="A529" t="s">
        <v>1130</v>
      </c>
      <c r="B529" s="1">
        <v>45814</v>
      </c>
      <c r="C529" t="s">
        <v>48</v>
      </c>
      <c r="D529" t="s">
        <v>31</v>
      </c>
      <c r="E529" t="s">
        <v>32</v>
      </c>
      <c r="F529" t="s">
        <v>180</v>
      </c>
      <c r="G529">
        <v>5</v>
      </c>
      <c r="H529" s="32" t="str">
        <f t="shared" si="24"/>
        <v>OK</v>
      </c>
      <c r="I529" s="30">
        <v>695.84</v>
      </c>
      <c r="J529" s="33" t="str">
        <f t="shared" si="25"/>
        <v>OK</v>
      </c>
      <c r="K529" s="30">
        <v>570.80999999999995</v>
      </c>
      <c r="L529" t="s">
        <v>28</v>
      </c>
      <c r="M529" s="31" t="str">
        <f t="shared" si="26"/>
        <v>OK</v>
      </c>
    </row>
    <row r="530" spans="1:13">
      <c r="A530" t="s">
        <v>331</v>
      </c>
      <c r="B530" s="1">
        <v>45815</v>
      </c>
      <c r="C530" t="s">
        <v>30</v>
      </c>
      <c r="D530" t="s">
        <v>19</v>
      </c>
      <c r="E530" t="s">
        <v>20</v>
      </c>
      <c r="F530" t="s">
        <v>91</v>
      </c>
      <c r="G530">
        <v>7</v>
      </c>
      <c r="H530" s="32" t="str">
        <f t="shared" si="24"/>
        <v>OK</v>
      </c>
      <c r="I530" s="30">
        <v>4834.5</v>
      </c>
      <c r="J530" s="33" t="str">
        <f t="shared" si="25"/>
        <v>OK</v>
      </c>
      <c r="K530" s="30">
        <v>3187.55</v>
      </c>
      <c r="L530" t="s">
        <v>22</v>
      </c>
      <c r="M530" s="31" t="str">
        <f t="shared" si="26"/>
        <v>OK</v>
      </c>
    </row>
    <row r="531" spans="1:13">
      <c r="A531" t="s">
        <v>1253</v>
      </c>
      <c r="B531" s="1">
        <v>45815</v>
      </c>
      <c r="C531" t="s">
        <v>105</v>
      </c>
      <c r="D531" t="s">
        <v>19</v>
      </c>
      <c r="E531" t="s">
        <v>32</v>
      </c>
      <c r="F531" t="s">
        <v>33</v>
      </c>
      <c r="G531">
        <v>2</v>
      </c>
      <c r="H531" s="32" t="str">
        <f t="shared" si="24"/>
        <v>OK</v>
      </c>
      <c r="I531" s="30">
        <v>1140.21</v>
      </c>
      <c r="J531" s="33" t="str">
        <f t="shared" si="25"/>
        <v>OK</v>
      </c>
      <c r="K531" s="30">
        <v>641.72</v>
      </c>
      <c r="L531" t="s">
        <v>16</v>
      </c>
      <c r="M531" s="31" t="str">
        <f t="shared" si="26"/>
        <v>OK</v>
      </c>
    </row>
    <row r="532" spans="1:13">
      <c r="A532" t="s">
        <v>1288</v>
      </c>
      <c r="B532" s="1">
        <v>45815</v>
      </c>
      <c r="C532" t="s">
        <v>48</v>
      </c>
      <c r="D532" t="s">
        <v>12</v>
      </c>
      <c r="E532" t="s">
        <v>82</v>
      </c>
      <c r="F532" t="s">
        <v>150</v>
      </c>
      <c r="G532">
        <v>1</v>
      </c>
      <c r="H532" s="32" t="str">
        <f t="shared" si="24"/>
        <v>OK</v>
      </c>
      <c r="I532" s="30">
        <v>3050.76</v>
      </c>
      <c r="J532" s="33" t="str">
        <f t="shared" si="25"/>
        <v>OK</v>
      </c>
      <c r="K532" s="30">
        <v>2524.4699999999998</v>
      </c>
      <c r="L532" t="s">
        <v>28</v>
      </c>
      <c r="M532" s="31" t="str">
        <f t="shared" si="26"/>
        <v>OK</v>
      </c>
    </row>
    <row r="533" spans="1:13">
      <c r="A533" t="s">
        <v>307</v>
      </c>
      <c r="B533" s="1">
        <v>45816</v>
      </c>
      <c r="C533" t="s">
        <v>1617</v>
      </c>
      <c r="D533" t="s">
        <v>19</v>
      </c>
      <c r="E533" t="s">
        <v>32</v>
      </c>
      <c r="F533" t="s">
        <v>33</v>
      </c>
      <c r="G533">
        <v>3</v>
      </c>
      <c r="H533" s="32" t="str">
        <f t="shared" si="24"/>
        <v>OK</v>
      </c>
      <c r="I533" s="30">
        <v>1025.8</v>
      </c>
      <c r="J533" s="33" t="str">
        <f t="shared" si="25"/>
        <v>OK</v>
      </c>
      <c r="K533" s="30">
        <v>596.73</v>
      </c>
      <c r="L533" t="s">
        <v>22</v>
      </c>
      <c r="M533" s="31" t="str">
        <f t="shared" si="26"/>
        <v>OK</v>
      </c>
    </row>
    <row r="534" spans="1:13">
      <c r="A534" t="s">
        <v>586</v>
      </c>
      <c r="B534" s="1">
        <v>45816</v>
      </c>
      <c r="C534" t="s">
        <v>48</v>
      </c>
      <c r="D534" t="s">
        <v>31</v>
      </c>
      <c r="E534" t="s">
        <v>36</v>
      </c>
      <c r="F534" t="s">
        <v>37</v>
      </c>
      <c r="G534">
        <v>7</v>
      </c>
      <c r="H534" s="32" t="str">
        <f t="shared" si="24"/>
        <v>OK</v>
      </c>
      <c r="I534" s="30">
        <v>17993.080000000002</v>
      </c>
      <c r="J534" s="33" t="str">
        <f t="shared" si="25"/>
        <v>OK</v>
      </c>
      <c r="K534" s="30">
        <v>14164.64</v>
      </c>
      <c r="L534" t="s">
        <v>38</v>
      </c>
      <c r="M534" s="31" t="str">
        <f t="shared" si="26"/>
        <v>OK</v>
      </c>
    </row>
    <row r="535" spans="1:13">
      <c r="A535" t="s">
        <v>701</v>
      </c>
      <c r="B535" s="1">
        <v>45816</v>
      </c>
      <c r="C535" t="s">
        <v>133</v>
      </c>
      <c r="D535" t="s">
        <v>19</v>
      </c>
      <c r="E535" t="s">
        <v>20</v>
      </c>
      <c r="F535" t="s">
        <v>86</v>
      </c>
      <c r="G535">
        <v>1</v>
      </c>
      <c r="H535" s="32" t="str">
        <f t="shared" si="24"/>
        <v>OK</v>
      </c>
      <c r="I535" s="30">
        <v>3678.66</v>
      </c>
      <c r="J535" s="33" t="str">
        <f t="shared" si="25"/>
        <v>OK</v>
      </c>
      <c r="K535" s="30">
        <v>3051.25</v>
      </c>
      <c r="L535" t="s">
        <v>71</v>
      </c>
      <c r="M535" s="31" t="str">
        <f t="shared" si="26"/>
        <v>OK</v>
      </c>
    </row>
    <row r="536" spans="1:13">
      <c r="A536" t="s">
        <v>1476</v>
      </c>
      <c r="B536" s="1">
        <v>45816</v>
      </c>
      <c r="C536" t="s">
        <v>40</v>
      </c>
      <c r="D536" t="s">
        <v>57</v>
      </c>
      <c r="E536" t="s">
        <v>26</v>
      </c>
      <c r="F536" t="s">
        <v>131</v>
      </c>
      <c r="G536">
        <v>6</v>
      </c>
      <c r="H536" s="32" t="str">
        <f t="shared" si="24"/>
        <v>OK</v>
      </c>
      <c r="I536" s="30">
        <v>1390.83</v>
      </c>
      <c r="J536" s="33" t="str">
        <f t="shared" si="25"/>
        <v>OK</v>
      </c>
      <c r="K536" s="30">
        <v>848.22</v>
      </c>
      <c r="L536" t="s">
        <v>71</v>
      </c>
      <c r="M536" s="31" t="str">
        <f t="shared" si="26"/>
        <v>OK</v>
      </c>
    </row>
    <row r="537" spans="1:13">
      <c r="A537" t="s">
        <v>289</v>
      </c>
      <c r="B537" s="1">
        <v>45817</v>
      </c>
      <c r="C537" t="s">
        <v>175</v>
      </c>
      <c r="D537" t="s">
        <v>31</v>
      </c>
      <c r="E537" t="s">
        <v>36</v>
      </c>
      <c r="F537" t="s">
        <v>37</v>
      </c>
      <c r="G537">
        <v>1</v>
      </c>
      <c r="H537" s="32" t="str">
        <f t="shared" si="24"/>
        <v>OK</v>
      </c>
      <c r="I537" s="30">
        <v>12648.59</v>
      </c>
      <c r="J537" s="33" t="str">
        <f t="shared" si="25"/>
        <v>OK</v>
      </c>
      <c r="K537" s="30">
        <v>9437.2999999999993</v>
      </c>
      <c r="L537" t="s">
        <v>16</v>
      </c>
      <c r="M537" s="31" t="str">
        <f t="shared" si="26"/>
        <v>OK</v>
      </c>
    </row>
    <row r="538" spans="1:13">
      <c r="A538" t="s">
        <v>1071</v>
      </c>
      <c r="B538" s="1">
        <v>45817</v>
      </c>
      <c r="C538" t="s">
        <v>115</v>
      </c>
      <c r="D538" t="s">
        <v>12</v>
      </c>
      <c r="E538" t="s">
        <v>20</v>
      </c>
      <c r="F538" t="s">
        <v>21</v>
      </c>
      <c r="G538">
        <v>6</v>
      </c>
      <c r="H538" s="32" t="str">
        <f t="shared" si="24"/>
        <v>OK</v>
      </c>
      <c r="I538" s="30">
        <v>3004.33</v>
      </c>
      <c r="J538" s="33" t="str">
        <f t="shared" si="25"/>
        <v>OK</v>
      </c>
      <c r="K538" s="30">
        <v>1857.48</v>
      </c>
      <c r="L538" t="s">
        <v>28</v>
      </c>
      <c r="M538" s="31" t="str">
        <f t="shared" si="26"/>
        <v>OK</v>
      </c>
    </row>
    <row r="539" spans="1:13">
      <c r="A539" t="s">
        <v>1307</v>
      </c>
      <c r="B539" s="1">
        <v>45817</v>
      </c>
      <c r="C539" t="s">
        <v>133</v>
      </c>
      <c r="D539" t="s">
        <v>12</v>
      </c>
      <c r="E539" t="s">
        <v>32</v>
      </c>
      <c r="F539" t="s">
        <v>101</v>
      </c>
      <c r="G539">
        <v>6</v>
      </c>
      <c r="H539" s="32" t="str">
        <f t="shared" si="24"/>
        <v>OK</v>
      </c>
      <c r="I539" s="30">
        <v>398.69</v>
      </c>
      <c r="J539" s="33" t="str">
        <f t="shared" si="25"/>
        <v>OK</v>
      </c>
      <c r="K539" s="30">
        <v>279.37</v>
      </c>
      <c r="L539" t="s">
        <v>22</v>
      </c>
      <c r="M539" s="31" t="str">
        <f t="shared" si="26"/>
        <v>OK</v>
      </c>
    </row>
    <row r="540" spans="1:13">
      <c r="A540" t="s">
        <v>1580</v>
      </c>
      <c r="B540" s="1">
        <v>45817</v>
      </c>
      <c r="C540" t="s">
        <v>135</v>
      </c>
      <c r="D540" t="s">
        <v>12</v>
      </c>
      <c r="E540" t="s">
        <v>82</v>
      </c>
      <c r="F540" t="s">
        <v>97</v>
      </c>
      <c r="G540">
        <v>1</v>
      </c>
      <c r="H540" s="32" t="str">
        <f t="shared" si="24"/>
        <v>OK</v>
      </c>
      <c r="I540" s="30">
        <v>6363.66</v>
      </c>
      <c r="J540" s="33" t="str">
        <f t="shared" si="25"/>
        <v>OK</v>
      </c>
      <c r="K540" s="30">
        <v>4623.59</v>
      </c>
      <c r="L540" t="s">
        <v>16</v>
      </c>
      <c r="M540" s="31" t="str">
        <f t="shared" si="26"/>
        <v>OK</v>
      </c>
    </row>
    <row r="541" spans="1:13">
      <c r="A541" t="s">
        <v>937</v>
      </c>
      <c r="B541" s="1">
        <v>45818</v>
      </c>
      <c r="C541" t="s">
        <v>105</v>
      </c>
      <c r="D541" t="s">
        <v>12</v>
      </c>
      <c r="E541" t="s">
        <v>26</v>
      </c>
      <c r="F541" t="s">
        <v>106</v>
      </c>
      <c r="G541">
        <v>5</v>
      </c>
      <c r="H541" s="32" t="str">
        <f t="shared" si="24"/>
        <v>OK</v>
      </c>
      <c r="I541" s="30">
        <v>1466.48</v>
      </c>
      <c r="J541" s="33" t="str">
        <f t="shared" si="25"/>
        <v>OK</v>
      </c>
      <c r="K541" s="30">
        <v>880.43</v>
      </c>
      <c r="L541" t="s">
        <v>28</v>
      </c>
      <c r="M541" s="31" t="str">
        <f t="shared" si="26"/>
        <v>OK</v>
      </c>
    </row>
    <row r="542" spans="1:13">
      <c r="A542" t="s">
        <v>987</v>
      </c>
      <c r="B542" s="1">
        <v>45818</v>
      </c>
      <c r="C542" t="s">
        <v>67</v>
      </c>
      <c r="D542" t="s">
        <v>31</v>
      </c>
      <c r="E542" t="s">
        <v>20</v>
      </c>
      <c r="F542" t="s">
        <v>191</v>
      </c>
      <c r="G542">
        <v>6</v>
      </c>
      <c r="H542" s="32" t="str">
        <f t="shared" si="24"/>
        <v>OK</v>
      </c>
      <c r="I542" s="30">
        <v>1702.11</v>
      </c>
      <c r="J542" s="33" t="str">
        <f t="shared" si="25"/>
        <v>OK</v>
      </c>
      <c r="K542" s="30">
        <v>1258.4100000000001</v>
      </c>
      <c r="L542" t="s">
        <v>71</v>
      </c>
      <c r="M542" s="31" t="str">
        <f t="shared" si="26"/>
        <v>OK</v>
      </c>
    </row>
    <row r="543" spans="1:13">
      <c r="A543" t="s">
        <v>1108</v>
      </c>
      <c r="B543" s="1">
        <v>45818</v>
      </c>
      <c r="C543" t="s">
        <v>54</v>
      </c>
      <c r="D543" t="s">
        <v>12</v>
      </c>
      <c r="E543" t="s">
        <v>32</v>
      </c>
      <c r="F543" t="s">
        <v>1616</v>
      </c>
      <c r="G543">
        <v>7</v>
      </c>
      <c r="H543" s="32" t="str">
        <f t="shared" si="24"/>
        <v>OK</v>
      </c>
      <c r="I543" s="30">
        <v>1606.46</v>
      </c>
      <c r="J543" s="33" t="str">
        <f t="shared" si="25"/>
        <v>OK</v>
      </c>
      <c r="K543" s="30">
        <v>1277.1600000000001</v>
      </c>
      <c r="L543" t="s">
        <v>38</v>
      </c>
      <c r="M543" s="31" t="str">
        <f t="shared" si="26"/>
        <v>OK</v>
      </c>
    </row>
    <row r="544" spans="1:13">
      <c r="A544" t="s">
        <v>212</v>
      </c>
      <c r="B544" s="1">
        <v>45819</v>
      </c>
      <c r="C544" t="s">
        <v>59</v>
      </c>
      <c r="D544" t="s">
        <v>12</v>
      </c>
      <c r="E544" t="s">
        <v>32</v>
      </c>
      <c r="F544" t="s">
        <v>1616</v>
      </c>
      <c r="G544">
        <v>1</v>
      </c>
      <c r="H544" s="32" t="str">
        <f t="shared" si="24"/>
        <v>OK</v>
      </c>
      <c r="I544" s="30">
        <v>1095.1300000000001</v>
      </c>
      <c r="J544" s="33" t="str">
        <f t="shared" si="25"/>
        <v>OK</v>
      </c>
      <c r="K544" s="30">
        <v>768.12</v>
      </c>
      <c r="L544" t="s">
        <v>16</v>
      </c>
      <c r="M544" s="31" t="str">
        <f t="shared" si="26"/>
        <v>OK</v>
      </c>
    </row>
    <row r="545" spans="1:13">
      <c r="A545" t="s">
        <v>667</v>
      </c>
      <c r="B545" s="1">
        <v>45819</v>
      </c>
      <c r="C545" t="s">
        <v>54</v>
      </c>
      <c r="D545" t="s">
        <v>57</v>
      </c>
      <c r="E545" t="s">
        <v>32</v>
      </c>
      <c r="F545" t="s">
        <v>52</v>
      </c>
      <c r="G545">
        <v>7</v>
      </c>
      <c r="H545" s="32" t="str">
        <f t="shared" si="24"/>
        <v>OK</v>
      </c>
      <c r="I545" s="30">
        <v>1071.57</v>
      </c>
      <c r="J545" s="33" t="str">
        <f t="shared" si="25"/>
        <v>OK</v>
      </c>
      <c r="K545" s="30">
        <v>930.26</v>
      </c>
      <c r="L545" t="s">
        <v>71</v>
      </c>
      <c r="M545" s="31" t="str">
        <f t="shared" si="26"/>
        <v>OK</v>
      </c>
    </row>
    <row r="546" spans="1:13">
      <c r="A546" t="s">
        <v>845</v>
      </c>
      <c r="B546" s="1">
        <v>45819</v>
      </c>
      <c r="C546" t="s">
        <v>70</v>
      </c>
      <c r="D546" t="s">
        <v>12</v>
      </c>
      <c r="E546" t="s">
        <v>82</v>
      </c>
      <c r="F546" t="s">
        <v>83</v>
      </c>
      <c r="G546">
        <v>1</v>
      </c>
      <c r="H546" s="32" t="str">
        <f t="shared" si="24"/>
        <v>OK</v>
      </c>
      <c r="I546" s="30">
        <v>478.01</v>
      </c>
      <c r="J546" s="33" t="str">
        <f t="shared" si="25"/>
        <v>OK</v>
      </c>
      <c r="K546" s="30">
        <v>296.14999999999998</v>
      </c>
      <c r="L546" t="s">
        <v>38</v>
      </c>
      <c r="M546" s="31" t="str">
        <f t="shared" si="26"/>
        <v>OK</v>
      </c>
    </row>
    <row r="547" spans="1:13">
      <c r="A547" t="s">
        <v>1060</v>
      </c>
      <c r="B547" s="1">
        <v>45820</v>
      </c>
      <c r="C547" t="s">
        <v>51</v>
      </c>
      <c r="D547" t="s">
        <v>12</v>
      </c>
      <c r="E547" t="s">
        <v>36</v>
      </c>
      <c r="F547" t="s">
        <v>42</v>
      </c>
      <c r="G547">
        <v>6</v>
      </c>
      <c r="H547" s="32" t="str">
        <f t="shared" si="24"/>
        <v>OK</v>
      </c>
      <c r="I547" s="30">
        <v>3429.85</v>
      </c>
      <c r="J547" s="33" t="str">
        <f t="shared" si="25"/>
        <v>OK</v>
      </c>
      <c r="K547" s="30">
        <v>2393.9699999999998</v>
      </c>
      <c r="L547" t="s">
        <v>71</v>
      </c>
      <c r="M547" s="31" t="str">
        <f t="shared" si="26"/>
        <v>OK</v>
      </c>
    </row>
    <row r="548" spans="1:13">
      <c r="A548" t="s">
        <v>1296</v>
      </c>
      <c r="B548" s="1">
        <v>45820</v>
      </c>
      <c r="C548" t="s">
        <v>59</v>
      </c>
      <c r="D548" t="s">
        <v>57</v>
      </c>
      <c r="E548" t="s">
        <v>36</v>
      </c>
      <c r="F548" t="s">
        <v>37</v>
      </c>
      <c r="G548">
        <v>3</v>
      </c>
      <c r="H548" s="32" t="str">
        <f t="shared" si="24"/>
        <v>OK</v>
      </c>
      <c r="I548" s="30">
        <v>8439.2000000000007</v>
      </c>
      <c r="J548" s="33" t="str">
        <f t="shared" si="25"/>
        <v>OK</v>
      </c>
      <c r="K548" s="30">
        <v>5671.07</v>
      </c>
      <c r="L548" t="s">
        <v>71</v>
      </c>
      <c r="M548" s="31" t="str">
        <f t="shared" si="26"/>
        <v>OK</v>
      </c>
    </row>
    <row r="549" spans="1:13">
      <c r="A549" t="s">
        <v>1084</v>
      </c>
      <c r="B549" s="1">
        <v>45821</v>
      </c>
      <c r="C549" t="s">
        <v>35</v>
      </c>
      <c r="D549" t="s">
        <v>12</v>
      </c>
      <c r="E549" t="s">
        <v>32</v>
      </c>
      <c r="F549" t="s">
        <v>1615</v>
      </c>
      <c r="G549">
        <v>7</v>
      </c>
      <c r="H549" s="32" t="str">
        <f t="shared" si="24"/>
        <v>OK</v>
      </c>
      <c r="I549" s="30">
        <v>1139</v>
      </c>
      <c r="J549" s="33" t="str">
        <f t="shared" si="25"/>
        <v>OK</v>
      </c>
      <c r="K549" s="30">
        <v>739.17</v>
      </c>
      <c r="L549" t="s">
        <v>71</v>
      </c>
      <c r="M549" s="31" t="str">
        <f t="shared" si="26"/>
        <v>OK</v>
      </c>
    </row>
    <row r="550" spans="1:13">
      <c r="A550" t="s">
        <v>50</v>
      </c>
      <c r="B550" s="1">
        <v>45822</v>
      </c>
      <c r="C550" t="s">
        <v>51</v>
      </c>
      <c r="D550" t="s">
        <v>12</v>
      </c>
      <c r="E550" t="s">
        <v>32</v>
      </c>
      <c r="F550" t="s">
        <v>52</v>
      </c>
      <c r="G550">
        <v>4</v>
      </c>
      <c r="H550" s="32" t="str">
        <f t="shared" si="24"/>
        <v>OK</v>
      </c>
      <c r="I550" s="30">
        <v>1157.3900000000001</v>
      </c>
      <c r="J550" s="33" t="str">
        <f t="shared" si="25"/>
        <v>OK</v>
      </c>
      <c r="K550" s="30">
        <v>911.67</v>
      </c>
      <c r="L550" t="s">
        <v>22</v>
      </c>
      <c r="M550" s="31" t="str">
        <f t="shared" si="26"/>
        <v>OK</v>
      </c>
    </row>
    <row r="551" spans="1:13">
      <c r="A551" t="s">
        <v>1028</v>
      </c>
      <c r="B551" s="1">
        <v>45822</v>
      </c>
      <c r="C551" t="s">
        <v>115</v>
      </c>
      <c r="D551" t="s">
        <v>63</v>
      </c>
      <c r="E551" t="s">
        <v>82</v>
      </c>
      <c r="F551" t="s">
        <v>97</v>
      </c>
      <c r="G551">
        <v>7</v>
      </c>
      <c r="H551" s="32" t="str">
        <f t="shared" si="24"/>
        <v>OK</v>
      </c>
      <c r="I551" s="30">
        <v>3163.19</v>
      </c>
      <c r="J551" s="33" t="str">
        <f t="shared" si="25"/>
        <v>OK</v>
      </c>
      <c r="K551" s="30">
        <v>2375.4499999999998</v>
      </c>
      <c r="L551" t="s">
        <v>71</v>
      </c>
      <c r="M551" s="31" t="str">
        <f t="shared" si="26"/>
        <v>OK</v>
      </c>
    </row>
    <row r="552" spans="1:13">
      <c r="A552" t="s">
        <v>1381</v>
      </c>
      <c r="B552" s="1">
        <v>45822</v>
      </c>
      <c r="C552" t="s">
        <v>108</v>
      </c>
      <c r="D552" t="s">
        <v>57</v>
      </c>
      <c r="E552" t="s">
        <v>36</v>
      </c>
      <c r="F552" t="s">
        <v>93</v>
      </c>
      <c r="G552">
        <v>4</v>
      </c>
      <c r="H552" s="32" t="str">
        <f t="shared" si="24"/>
        <v>OK</v>
      </c>
      <c r="I552" s="30">
        <v>6558.3</v>
      </c>
      <c r="J552" s="33" t="str">
        <f t="shared" si="25"/>
        <v>OK</v>
      </c>
      <c r="K552" s="30">
        <v>4209.0600000000004</v>
      </c>
      <c r="L552" t="s">
        <v>38</v>
      </c>
      <c r="M552" s="31" t="str">
        <f t="shared" si="26"/>
        <v>OK</v>
      </c>
    </row>
    <row r="553" spans="1:13">
      <c r="A553" t="s">
        <v>323</v>
      </c>
      <c r="B553" s="1">
        <v>45823</v>
      </c>
      <c r="C553" t="s">
        <v>67</v>
      </c>
      <c r="D553" t="s">
        <v>12</v>
      </c>
      <c r="E553" t="s">
        <v>32</v>
      </c>
      <c r="F553" t="s">
        <v>52</v>
      </c>
      <c r="G553">
        <v>7</v>
      </c>
      <c r="H553" s="32" t="str">
        <f t="shared" si="24"/>
        <v>OK</v>
      </c>
      <c r="I553" s="30">
        <v>1779.76</v>
      </c>
      <c r="J553" s="33" t="str">
        <f t="shared" si="25"/>
        <v>OK</v>
      </c>
      <c r="K553" s="30">
        <v>1397.83</v>
      </c>
      <c r="L553" t="s">
        <v>28</v>
      </c>
      <c r="M553" s="31" t="str">
        <f t="shared" si="26"/>
        <v>OK</v>
      </c>
    </row>
    <row r="554" spans="1:13">
      <c r="A554" t="s">
        <v>525</v>
      </c>
      <c r="B554" s="1">
        <v>45823</v>
      </c>
      <c r="C554" t="s">
        <v>133</v>
      </c>
      <c r="D554" t="s">
        <v>19</v>
      </c>
      <c r="E554" t="s">
        <v>82</v>
      </c>
      <c r="F554" t="s">
        <v>150</v>
      </c>
      <c r="G554">
        <v>3</v>
      </c>
      <c r="H554" s="32" t="str">
        <f t="shared" si="24"/>
        <v>OK</v>
      </c>
      <c r="I554" s="30">
        <v>590.57000000000005</v>
      </c>
      <c r="J554" s="33" t="str">
        <f t="shared" si="25"/>
        <v>OK</v>
      </c>
      <c r="K554" s="30">
        <v>414.51</v>
      </c>
      <c r="L554" t="s">
        <v>28</v>
      </c>
      <c r="M554" s="31" t="str">
        <f t="shared" si="26"/>
        <v>OK</v>
      </c>
    </row>
    <row r="555" spans="1:13">
      <c r="A555" t="s">
        <v>696</v>
      </c>
      <c r="B555" s="1">
        <v>45823</v>
      </c>
      <c r="C555" t="s">
        <v>115</v>
      </c>
      <c r="D555" t="s">
        <v>19</v>
      </c>
      <c r="E555" t="s">
        <v>20</v>
      </c>
      <c r="F555" t="s">
        <v>191</v>
      </c>
      <c r="G555">
        <v>5</v>
      </c>
      <c r="H555" s="32" t="str">
        <f t="shared" si="24"/>
        <v>OK</v>
      </c>
      <c r="I555" s="30">
        <v>2565.3200000000002</v>
      </c>
      <c r="J555" s="33" t="str">
        <f t="shared" si="25"/>
        <v>OK</v>
      </c>
      <c r="K555" s="30">
        <v>2111.66</v>
      </c>
      <c r="L555" t="s">
        <v>16</v>
      </c>
      <c r="M555" s="31" t="str">
        <f t="shared" si="26"/>
        <v>OK</v>
      </c>
    </row>
    <row r="556" spans="1:13">
      <c r="A556" t="s">
        <v>1250</v>
      </c>
      <c r="B556" s="1">
        <v>45823</v>
      </c>
      <c r="C556" t="s">
        <v>121</v>
      </c>
      <c r="D556" t="s">
        <v>19</v>
      </c>
      <c r="E556" t="s">
        <v>82</v>
      </c>
      <c r="F556" t="s">
        <v>97</v>
      </c>
      <c r="G556">
        <v>1</v>
      </c>
      <c r="H556" s="32" t="str">
        <f t="shared" si="24"/>
        <v>OK</v>
      </c>
      <c r="I556" s="30">
        <v>1151.32</v>
      </c>
      <c r="J556" s="33" t="str">
        <f t="shared" si="25"/>
        <v>OK</v>
      </c>
      <c r="K556" s="30">
        <v>759.85</v>
      </c>
      <c r="L556" t="s">
        <v>28</v>
      </c>
      <c r="M556" s="31" t="str">
        <f t="shared" si="26"/>
        <v>OK</v>
      </c>
    </row>
    <row r="557" spans="1:13">
      <c r="A557" t="s">
        <v>1568</v>
      </c>
      <c r="B557" s="1">
        <v>45823</v>
      </c>
      <c r="C557" t="s">
        <v>24</v>
      </c>
      <c r="D557" t="s">
        <v>12</v>
      </c>
      <c r="E557" t="s">
        <v>36</v>
      </c>
      <c r="F557" t="s">
        <v>1614</v>
      </c>
      <c r="G557">
        <v>6</v>
      </c>
      <c r="H557" s="32" t="str">
        <f t="shared" si="24"/>
        <v>OK</v>
      </c>
      <c r="I557" s="30">
        <v>16247.76</v>
      </c>
      <c r="J557" s="33" t="str">
        <f t="shared" si="25"/>
        <v>OK</v>
      </c>
      <c r="K557" s="30">
        <v>13334.33</v>
      </c>
      <c r="L557" t="s">
        <v>28</v>
      </c>
      <c r="M557" s="31" t="str">
        <f t="shared" si="26"/>
        <v>OK</v>
      </c>
    </row>
    <row r="558" spans="1:13">
      <c r="A558" t="s">
        <v>569</v>
      </c>
      <c r="B558" s="1">
        <v>45824</v>
      </c>
      <c r="C558" t="s">
        <v>135</v>
      </c>
      <c r="D558" t="s">
        <v>57</v>
      </c>
      <c r="E558" t="s">
        <v>36</v>
      </c>
      <c r="F558" t="s">
        <v>113</v>
      </c>
      <c r="G558">
        <v>3</v>
      </c>
      <c r="H558" s="32" t="str">
        <f t="shared" si="24"/>
        <v>OK</v>
      </c>
      <c r="I558" s="30">
        <v>1364.63</v>
      </c>
      <c r="J558" s="33" t="str">
        <f t="shared" si="25"/>
        <v>OK</v>
      </c>
      <c r="K558" s="30">
        <v>776.89</v>
      </c>
      <c r="L558" t="s">
        <v>28</v>
      </c>
      <c r="M558" s="31" t="str">
        <f t="shared" si="26"/>
        <v>OK</v>
      </c>
    </row>
    <row r="559" spans="1:13">
      <c r="A559" t="s">
        <v>752</v>
      </c>
      <c r="B559" s="1">
        <v>45824</v>
      </c>
      <c r="C559" t="s">
        <v>220</v>
      </c>
      <c r="D559" t="s">
        <v>63</v>
      </c>
      <c r="E559" t="s">
        <v>32</v>
      </c>
      <c r="F559" t="s">
        <v>52</v>
      </c>
      <c r="G559">
        <v>2</v>
      </c>
      <c r="H559" s="32" t="str">
        <f t="shared" si="24"/>
        <v>OK</v>
      </c>
      <c r="I559" s="30">
        <v>2039.57</v>
      </c>
      <c r="J559" s="33" t="str">
        <f t="shared" si="25"/>
        <v>OK</v>
      </c>
      <c r="K559" s="30">
        <v>1569.01</v>
      </c>
      <c r="L559" t="s">
        <v>28</v>
      </c>
      <c r="M559" s="31" t="str">
        <f t="shared" si="26"/>
        <v>OK</v>
      </c>
    </row>
    <row r="560" spans="1:13">
      <c r="A560" t="s">
        <v>761</v>
      </c>
      <c r="B560" s="1">
        <v>45824</v>
      </c>
      <c r="C560" t="s">
        <v>108</v>
      </c>
      <c r="D560" t="s">
        <v>31</v>
      </c>
      <c r="E560" t="s">
        <v>32</v>
      </c>
      <c r="F560" t="s">
        <v>1616</v>
      </c>
      <c r="G560">
        <v>8</v>
      </c>
      <c r="H560" s="32" t="str">
        <f t="shared" si="24"/>
        <v>OK</v>
      </c>
      <c r="I560" s="30">
        <v>2241.4499999999998</v>
      </c>
      <c r="J560" s="33" t="str">
        <f t="shared" si="25"/>
        <v>OK</v>
      </c>
      <c r="K560" s="30">
        <v>1549.05</v>
      </c>
      <c r="L560" t="s">
        <v>16</v>
      </c>
      <c r="M560" s="31" t="str">
        <f t="shared" si="26"/>
        <v>OK</v>
      </c>
    </row>
    <row r="561" spans="1:13">
      <c r="A561" t="s">
        <v>662</v>
      </c>
      <c r="B561" s="1">
        <v>45825</v>
      </c>
      <c r="C561" t="s">
        <v>59</v>
      </c>
      <c r="D561" t="s">
        <v>12</v>
      </c>
      <c r="E561" t="s">
        <v>26</v>
      </c>
      <c r="F561" t="s">
        <v>106</v>
      </c>
      <c r="G561">
        <v>4</v>
      </c>
      <c r="H561" s="32" t="str">
        <f t="shared" si="24"/>
        <v>OK</v>
      </c>
      <c r="I561" s="30">
        <v>1727.77</v>
      </c>
      <c r="J561" s="33" t="str">
        <f t="shared" si="25"/>
        <v>OK</v>
      </c>
      <c r="K561" s="30">
        <v>1142.7</v>
      </c>
      <c r="L561" t="s">
        <v>28</v>
      </c>
      <c r="M561" s="31" t="str">
        <f t="shared" si="26"/>
        <v>OK</v>
      </c>
    </row>
    <row r="562" spans="1:13">
      <c r="A562" t="s">
        <v>1150</v>
      </c>
      <c r="B562" s="1">
        <v>45826</v>
      </c>
      <c r="C562" t="s">
        <v>133</v>
      </c>
      <c r="D562" t="s">
        <v>57</v>
      </c>
      <c r="E562" t="s">
        <v>32</v>
      </c>
      <c r="F562" t="s">
        <v>101</v>
      </c>
      <c r="G562">
        <v>5</v>
      </c>
      <c r="H562" s="32" t="str">
        <f t="shared" si="24"/>
        <v>OK</v>
      </c>
      <c r="I562" s="30">
        <v>1539.66</v>
      </c>
      <c r="J562" s="33" t="str">
        <f t="shared" si="25"/>
        <v>OK</v>
      </c>
      <c r="K562" s="30">
        <v>1137.8800000000001</v>
      </c>
      <c r="L562" t="s">
        <v>22</v>
      </c>
      <c r="M562" s="31" t="str">
        <f t="shared" si="26"/>
        <v>OK</v>
      </c>
    </row>
    <row r="563" spans="1:13">
      <c r="A563" t="s">
        <v>1263</v>
      </c>
      <c r="B563" s="1">
        <v>45826</v>
      </c>
      <c r="C563" t="s">
        <v>24</v>
      </c>
      <c r="D563" t="s">
        <v>57</v>
      </c>
      <c r="E563" t="s">
        <v>20</v>
      </c>
      <c r="F563" t="s">
        <v>86</v>
      </c>
      <c r="G563">
        <v>5</v>
      </c>
      <c r="H563" s="32" t="str">
        <f t="shared" si="24"/>
        <v>OK</v>
      </c>
      <c r="I563" s="30">
        <v>845.64</v>
      </c>
      <c r="J563" s="33" t="str">
        <f t="shared" si="25"/>
        <v>OK</v>
      </c>
      <c r="K563" s="30">
        <v>639.6</v>
      </c>
      <c r="L563" t="s">
        <v>16</v>
      </c>
      <c r="M563" s="31" t="str">
        <f t="shared" si="26"/>
        <v>OK</v>
      </c>
    </row>
    <row r="564" spans="1:13">
      <c r="A564" t="s">
        <v>704</v>
      </c>
      <c r="B564" s="1">
        <v>45827</v>
      </c>
      <c r="C564" t="s">
        <v>231</v>
      </c>
      <c r="D564" t="s">
        <v>63</v>
      </c>
      <c r="E564" t="s">
        <v>20</v>
      </c>
      <c r="F564" t="s">
        <v>21</v>
      </c>
      <c r="G564">
        <v>0</v>
      </c>
      <c r="H564" s="32" t="str">
        <f t="shared" si="24"/>
        <v>Zero Quantity</v>
      </c>
      <c r="I564" s="30">
        <v>1349.82</v>
      </c>
      <c r="J564" s="33" t="str">
        <f t="shared" si="25"/>
        <v>OK</v>
      </c>
      <c r="K564" s="30">
        <v>767.29</v>
      </c>
      <c r="L564" t="s">
        <v>22</v>
      </c>
      <c r="M564" s="31" t="str">
        <f t="shared" si="26"/>
        <v>OK</v>
      </c>
    </row>
    <row r="565" spans="1:13">
      <c r="A565" t="s">
        <v>820</v>
      </c>
      <c r="B565" s="1">
        <v>45827</v>
      </c>
      <c r="C565" t="s">
        <v>11</v>
      </c>
      <c r="D565" t="s">
        <v>19</v>
      </c>
      <c r="E565" t="s">
        <v>20</v>
      </c>
      <c r="F565" t="s">
        <v>91</v>
      </c>
      <c r="G565">
        <v>8</v>
      </c>
      <c r="H565" s="32" t="str">
        <f t="shared" si="24"/>
        <v>OK</v>
      </c>
      <c r="I565" s="30">
        <v>3045.67</v>
      </c>
      <c r="J565" s="33" t="str">
        <f t="shared" si="25"/>
        <v>OK</v>
      </c>
      <c r="K565" s="30">
        <v>2035.68</v>
      </c>
      <c r="L565" t="s">
        <v>22</v>
      </c>
      <c r="M565" s="31" t="str">
        <f t="shared" si="26"/>
        <v>OK</v>
      </c>
    </row>
    <row r="566" spans="1:13">
      <c r="A566" t="s">
        <v>984</v>
      </c>
      <c r="B566" s="1">
        <v>45827</v>
      </c>
      <c r="C566" t="s">
        <v>48</v>
      </c>
      <c r="D566" t="s">
        <v>12</v>
      </c>
      <c r="E566" t="s">
        <v>82</v>
      </c>
      <c r="F566" t="s">
        <v>97</v>
      </c>
      <c r="G566">
        <v>5</v>
      </c>
      <c r="H566" s="32" t="str">
        <f t="shared" si="24"/>
        <v>OK</v>
      </c>
      <c r="I566" s="30">
        <v>3527.81</v>
      </c>
      <c r="J566" s="33" t="str">
        <f t="shared" si="25"/>
        <v>OK</v>
      </c>
      <c r="K566" s="30">
        <v>2277.71</v>
      </c>
      <c r="L566" t="s">
        <v>38</v>
      </c>
      <c r="M566" s="31" t="str">
        <f t="shared" si="26"/>
        <v>OK</v>
      </c>
    </row>
    <row r="567" spans="1:13">
      <c r="A567" t="s">
        <v>468</v>
      </c>
      <c r="B567" s="1">
        <v>45828</v>
      </c>
      <c r="C567" t="s">
        <v>115</v>
      </c>
      <c r="D567" t="s">
        <v>31</v>
      </c>
      <c r="E567" t="s">
        <v>82</v>
      </c>
      <c r="F567" t="s">
        <v>137</v>
      </c>
      <c r="G567">
        <v>5</v>
      </c>
      <c r="H567" s="32" t="str">
        <f t="shared" si="24"/>
        <v>OK</v>
      </c>
      <c r="I567" s="30">
        <v>3044.06</v>
      </c>
      <c r="J567" s="33" t="str">
        <f t="shared" si="25"/>
        <v>OK</v>
      </c>
      <c r="K567" s="30">
        <v>2309.38</v>
      </c>
      <c r="L567" t="s">
        <v>16</v>
      </c>
      <c r="M567" s="31" t="str">
        <f t="shared" si="26"/>
        <v>OK</v>
      </c>
    </row>
    <row r="568" spans="1:13">
      <c r="A568" t="s">
        <v>668</v>
      </c>
      <c r="B568" s="1">
        <v>45828</v>
      </c>
      <c r="C568" t="s">
        <v>121</v>
      </c>
      <c r="D568" t="s">
        <v>19</v>
      </c>
      <c r="E568" t="s">
        <v>36</v>
      </c>
      <c r="F568" t="s">
        <v>113</v>
      </c>
      <c r="G568">
        <v>2</v>
      </c>
      <c r="H568" s="32" t="str">
        <f t="shared" si="24"/>
        <v>OK</v>
      </c>
      <c r="I568" s="30">
        <v>7064.44</v>
      </c>
      <c r="J568" s="33" t="str">
        <f t="shared" si="25"/>
        <v>OK</v>
      </c>
      <c r="K568" s="30">
        <v>6041.17</v>
      </c>
      <c r="L568" t="s">
        <v>16</v>
      </c>
      <c r="M568" s="31" t="str">
        <f t="shared" si="26"/>
        <v>OK</v>
      </c>
    </row>
    <row r="569" spans="1:13">
      <c r="A569" t="s">
        <v>1042</v>
      </c>
      <c r="B569" s="1">
        <v>45828</v>
      </c>
      <c r="C569" t="s">
        <v>121</v>
      </c>
      <c r="D569" t="s">
        <v>1617</v>
      </c>
      <c r="E569" t="s">
        <v>32</v>
      </c>
      <c r="F569" t="s">
        <v>180</v>
      </c>
      <c r="G569">
        <v>1</v>
      </c>
      <c r="H569" s="32" t="str">
        <f t="shared" si="24"/>
        <v>OK</v>
      </c>
      <c r="I569" s="30">
        <v>436.13</v>
      </c>
      <c r="J569" s="33" t="str">
        <f t="shared" si="25"/>
        <v>OK</v>
      </c>
      <c r="K569" s="30">
        <v>361.86</v>
      </c>
      <c r="L569" t="s">
        <v>28</v>
      </c>
      <c r="M569" s="31" t="str">
        <f t="shared" si="26"/>
        <v>OK</v>
      </c>
    </row>
    <row r="570" spans="1:13">
      <c r="A570" t="s">
        <v>1063</v>
      </c>
      <c r="B570" s="1">
        <v>45828</v>
      </c>
      <c r="C570" t="s">
        <v>121</v>
      </c>
      <c r="D570" t="s">
        <v>19</v>
      </c>
      <c r="E570" t="s">
        <v>82</v>
      </c>
      <c r="F570" t="s">
        <v>109</v>
      </c>
      <c r="G570">
        <v>2</v>
      </c>
      <c r="H570" s="32" t="str">
        <f t="shared" si="24"/>
        <v>OK</v>
      </c>
      <c r="I570" s="30">
        <v>4246.08</v>
      </c>
      <c r="J570" s="33" t="str">
        <f t="shared" si="25"/>
        <v>OK</v>
      </c>
      <c r="K570" s="30">
        <v>2533.5100000000002</v>
      </c>
      <c r="L570" t="s">
        <v>22</v>
      </c>
      <c r="M570" s="31" t="str">
        <f t="shared" si="26"/>
        <v>OK</v>
      </c>
    </row>
    <row r="571" spans="1:13">
      <c r="A571" t="s">
        <v>1095</v>
      </c>
      <c r="B571" s="1">
        <v>45828</v>
      </c>
      <c r="C571" t="s">
        <v>117</v>
      </c>
      <c r="D571" t="s">
        <v>12</v>
      </c>
      <c r="E571" t="s">
        <v>20</v>
      </c>
      <c r="F571" t="s">
        <v>91</v>
      </c>
      <c r="G571">
        <v>8</v>
      </c>
      <c r="H571" s="32" t="str">
        <f t="shared" si="24"/>
        <v>OK</v>
      </c>
      <c r="I571" s="30">
        <v>3356.33</v>
      </c>
      <c r="J571" s="33" t="str">
        <f t="shared" si="25"/>
        <v>OK</v>
      </c>
      <c r="K571" s="30">
        <v>2010.95</v>
      </c>
      <c r="L571" t="s">
        <v>38</v>
      </c>
      <c r="M571" s="31" t="str">
        <f t="shared" si="26"/>
        <v>OK</v>
      </c>
    </row>
    <row r="572" spans="1:13">
      <c r="A572" t="s">
        <v>1272</v>
      </c>
      <c r="B572" s="1">
        <v>45828</v>
      </c>
      <c r="C572" t="s">
        <v>175</v>
      </c>
      <c r="D572" t="s">
        <v>63</v>
      </c>
      <c r="E572" t="s">
        <v>82</v>
      </c>
      <c r="F572" t="s">
        <v>155</v>
      </c>
      <c r="G572">
        <v>3</v>
      </c>
      <c r="H572" s="32" t="str">
        <f t="shared" si="24"/>
        <v>OK</v>
      </c>
      <c r="I572" s="30">
        <v>5694.13</v>
      </c>
      <c r="J572" s="33" t="str">
        <f t="shared" si="25"/>
        <v>OK</v>
      </c>
      <c r="K572" s="30">
        <v>4360.59</v>
      </c>
      <c r="L572" t="s">
        <v>71</v>
      </c>
      <c r="M572" s="31" t="str">
        <f t="shared" si="26"/>
        <v>OK</v>
      </c>
    </row>
    <row r="573" spans="1:13">
      <c r="A573" t="s">
        <v>1483</v>
      </c>
      <c r="B573" s="1">
        <v>45828</v>
      </c>
      <c r="C573" t="s">
        <v>220</v>
      </c>
      <c r="D573" t="s">
        <v>12</v>
      </c>
      <c r="E573" t="s">
        <v>32</v>
      </c>
      <c r="F573" t="s">
        <v>33</v>
      </c>
      <c r="G573">
        <v>1</v>
      </c>
      <c r="H573" s="32" t="str">
        <f t="shared" si="24"/>
        <v>OK</v>
      </c>
      <c r="I573" s="30">
        <v>793.95</v>
      </c>
      <c r="J573" s="33" t="str">
        <f t="shared" si="25"/>
        <v>OK</v>
      </c>
      <c r="K573" s="30">
        <v>649.63</v>
      </c>
      <c r="L573" t="s">
        <v>71</v>
      </c>
      <c r="M573" s="31" t="str">
        <f t="shared" si="26"/>
        <v>OK</v>
      </c>
    </row>
    <row r="574" spans="1:13">
      <c r="A574" t="s">
        <v>1530</v>
      </c>
      <c r="B574" s="1">
        <v>45828</v>
      </c>
      <c r="C574" t="s">
        <v>231</v>
      </c>
      <c r="D574" t="s">
        <v>63</v>
      </c>
      <c r="E574" t="s">
        <v>36</v>
      </c>
      <c r="F574" t="s">
        <v>46</v>
      </c>
      <c r="G574">
        <v>7</v>
      </c>
      <c r="H574" s="32" t="str">
        <f t="shared" si="24"/>
        <v>OK</v>
      </c>
      <c r="I574" s="30">
        <v>14618.22</v>
      </c>
      <c r="J574" s="33" t="str">
        <f t="shared" si="25"/>
        <v>OK</v>
      </c>
      <c r="K574" s="30">
        <v>12208.28</v>
      </c>
      <c r="L574" t="s">
        <v>71</v>
      </c>
      <c r="M574" s="31" t="str">
        <f t="shared" si="26"/>
        <v>OK</v>
      </c>
    </row>
    <row r="575" spans="1:13">
      <c r="A575" t="s">
        <v>588</v>
      </c>
      <c r="B575" s="1">
        <v>45829</v>
      </c>
      <c r="C575" t="s">
        <v>220</v>
      </c>
      <c r="D575" t="s">
        <v>12</v>
      </c>
      <c r="E575" t="s">
        <v>82</v>
      </c>
      <c r="F575" t="s">
        <v>109</v>
      </c>
      <c r="G575">
        <v>2</v>
      </c>
      <c r="H575" s="32" t="str">
        <f t="shared" si="24"/>
        <v>OK</v>
      </c>
      <c r="I575" s="30">
        <v>1196.92</v>
      </c>
      <c r="J575" s="33" t="str">
        <f t="shared" si="25"/>
        <v>OK</v>
      </c>
      <c r="K575" s="30">
        <v>714.09</v>
      </c>
      <c r="L575" t="s">
        <v>28</v>
      </c>
      <c r="M575" s="31" t="str">
        <f t="shared" si="26"/>
        <v>OK</v>
      </c>
    </row>
    <row r="576" spans="1:13">
      <c r="A576" t="s">
        <v>941</v>
      </c>
      <c r="B576" s="1">
        <v>45829</v>
      </c>
      <c r="C576" t="s">
        <v>175</v>
      </c>
      <c r="D576" t="s">
        <v>19</v>
      </c>
      <c r="E576" t="s">
        <v>82</v>
      </c>
      <c r="F576" t="s">
        <v>97</v>
      </c>
      <c r="G576">
        <v>5</v>
      </c>
      <c r="H576" s="32" t="str">
        <f t="shared" si="24"/>
        <v>OK</v>
      </c>
      <c r="I576" s="30">
        <v>3163.39</v>
      </c>
      <c r="J576" s="33" t="str">
        <f t="shared" si="25"/>
        <v>OK</v>
      </c>
      <c r="K576" s="30">
        <v>1909.27</v>
      </c>
      <c r="L576" t="s">
        <v>28</v>
      </c>
      <c r="M576" s="31" t="str">
        <f t="shared" si="26"/>
        <v>OK</v>
      </c>
    </row>
    <row r="577" spans="1:13">
      <c r="A577" t="s">
        <v>519</v>
      </c>
      <c r="B577" s="1">
        <v>45830</v>
      </c>
      <c r="C577" t="s">
        <v>129</v>
      </c>
      <c r="D577" t="s">
        <v>19</v>
      </c>
      <c r="E577" t="s">
        <v>20</v>
      </c>
      <c r="F577" t="s">
        <v>86</v>
      </c>
      <c r="G577">
        <v>7</v>
      </c>
      <c r="H577" s="32" t="str">
        <f t="shared" si="24"/>
        <v>OK</v>
      </c>
      <c r="I577" s="30">
        <v>3135.57</v>
      </c>
      <c r="J577" s="33" t="str">
        <f t="shared" si="25"/>
        <v>OK</v>
      </c>
      <c r="K577" s="30">
        <v>2252.14</v>
      </c>
      <c r="L577" t="s">
        <v>16</v>
      </c>
      <c r="M577" s="31" t="str">
        <f t="shared" si="26"/>
        <v>OK</v>
      </c>
    </row>
    <row r="578" spans="1:13">
      <c r="A578" t="s">
        <v>854</v>
      </c>
      <c r="B578" s="1">
        <v>45830</v>
      </c>
      <c r="C578" t="s">
        <v>40</v>
      </c>
      <c r="D578" t="s">
        <v>12</v>
      </c>
      <c r="E578" t="s">
        <v>26</v>
      </c>
      <c r="F578" t="s">
        <v>27</v>
      </c>
      <c r="G578">
        <v>1</v>
      </c>
      <c r="H578" s="32" t="str">
        <f t="shared" ref="H578:H641" si="27">IF(G578="","Blank",IF(G578&lt;0,"Negative Quantity",IF(G578=0,"Zero Quantity",IF(G578&gt;0,"OK",""))))</f>
        <v>OK</v>
      </c>
      <c r="I578" s="30">
        <v>1567.9</v>
      </c>
      <c r="J578" s="33" t="str">
        <f t="shared" ref="J578:J641" si="28">IF(I578="","Missing Sales",IF(I578&lt;0,"Negative Sales","OK"))</f>
        <v>OK</v>
      </c>
      <c r="K578" s="30">
        <v>971.87</v>
      </c>
      <c r="L578" t="s">
        <v>38</v>
      </c>
      <c r="M578" s="31" t="str">
        <f t="shared" ref="M578:M641" si="29">IF(OR(I578="",K578=""),"Missing Data",IF(I578&lt;K578,"Sales &lt; Cost","OK"))</f>
        <v>OK</v>
      </c>
    </row>
    <row r="579" spans="1:13">
      <c r="A579" t="s">
        <v>66</v>
      </c>
      <c r="B579" s="1">
        <v>45831</v>
      </c>
      <c r="C579" t="s">
        <v>67</v>
      </c>
      <c r="D579" t="s">
        <v>57</v>
      </c>
      <c r="E579" t="s">
        <v>26</v>
      </c>
      <c r="F579" t="s">
        <v>27</v>
      </c>
      <c r="G579">
        <v>7</v>
      </c>
      <c r="H579" s="32" t="str">
        <f t="shared" si="27"/>
        <v>OK</v>
      </c>
      <c r="I579" s="30">
        <v>2286.16</v>
      </c>
      <c r="J579" s="33" t="str">
        <f t="shared" si="28"/>
        <v>OK</v>
      </c>
      <c r="K579" s="30">
        <v>1892.93</v>
      </c>
      <c r="L579" t="s">
        <v>38</v>
      </c>
      <c r="M579" s="31" t="str">
        <f t="shared" si="29"/>
        <v>OK</v>
      </c>
    </row>
    <row r="580" spans="1:13">
      <c r="A580" t="s">
        <v>1551</v>
      </c>
      <c r="B580" s="1">
        <v>45831</v>
      </c>
      <c r="C580" t="s">
        <v>231</v>
      </c>
      <c r="D580" t="s">
        <v>31</v>
      </c>
      <c r="E580" t="s">
        <v>82</v>
      </c>
      <c r="F580" t="s">
        <v>150</v>
      </c>
      <c r="G580">
        <v>1</v>
      </c>
      <c r="H580" s="32" t="str">
        <f t="shared" si="27"/>
        <v>OK</v>
      </c>
      <c r="I580" s="30">
        <v>3396.91</v>
      </c>
      <c r="J580" s="33" t="str">
        <f t="shared" si="28"/>
        <v>OK</v>
      </c>
      <c r="K580" s="30">
        <v>2236.1999999999998</v>
      </c>
      <c r="L580" t="s">
        <v>71</v>
      </c>
      <c r="M580" s="31" t="str">
        <f t="shared" si="29"/>
        <v>OK</v>
      </c>
    </row>
    <row r="581" spans="1:13">
      <c r="A581" t="s">
        <v>1605</v>
      </c>
      <c r="B581" s="1">
        <v>45831</v>
      </c>
      <c r="C581" t="s">
        <v>40</v>
      </c>
      <c r="D581" t="s">
        <v>12</v>
      </c>
      <c r="E581" t="s">
        <v>36</v>
      </c>
      <c r="F581" t="s">
        <v>113</v>
      </c>
      <c r="G581">
        <v>2</v>
      </c>
      <c r="H581" s="32" t="str">
        <f t="shared" si="27"/>
        <v>OK</v>
      </c>
      <c r="I581" s="30">
        <v>4359.7</v>
      </c>
      <c r="J581" s="33" t="str">
        <f t="shared" si="28"/>
        <v>OK</v>
      </c>
      <c r="K581" s="30">
        <v>3089.02</v>
      </c>
      <c r="L581" t="s">
        <v>38</v>
      </c>
      <c r="M581" s="31" t="str">
        <f t="shared" si="29"/>
        <v>OK</v>
      </c>
    </row>
    <row r="582" spans="1:13">
      <c r="A582" t="s">
        <v>225</v>
      </c>
      <c r="B582" s="1">
        <v>45832</v>
      </c>
      <c r="C582" t="s">
        <v>220</v>
      </c>
      <c r="D582" t="s">
        <v>12</v>
      </c>
      <c r="E582" t="s">
        <v>20</v>
      </c>
      <c r="F582" t="s">
        <v>191</v>
      </c>
      <c r="G582">
        <v>5</v>
      </c>
      <c r="H582" s="32" t="str">
        <f t="shared" si="27"/>
        <v>OK</v>
      </c>
      <c r="I582" s="30">
        <v>3277.63</v>
      </c>
      <c r="J582" s="33" t="str">
        <f t="shared" si="28"/>
        <v>OK</v>
      </c>
      <c r="K582" s="30">
        <v>1894.89</v>
      </c>
      <c r="L582" t="s">
        <v>22</v>
      </c>
      <c r="M582" s="31" t="str">
        <f t="shared" si="29"/>
        <v>OK</v>
      </c>
    </row>
    <row r="583" spans="1:13">
      <c r="A583" t="s">
        <v>293</v>
      </c>
      <c r="B583" s="1">
        <v>45832</v>
      </c>
      <c r="C583" t="s">
        <v>121</v>
      </c>
      <c r="D583" t="s">
        <v>19</v>
      </c>
      <c r="E583" t="s">
        <v>32</v>
      </c>
      <c r="F583" t="s">
        <v>33</v>
      </c>
      <c r="G583">
        <v>3</v>
      </c>
      <c r="H583" s="32" t="str">
        <f t="shared" si="27"/>
        <v>OK</v>
      </c>
      <c r="I583" s="30">
        <v>435.56</v>
      </c>
      <c r="J583" s="33" t="str">
        <f t="shared" si="28"/>
        <v>OK</v>
      </c>
      <c r="K583" s="30">
        <v>261.77</v>
      </c>
      <c r="L583" t="s">
        <v>71</v>
      </c>
      <c r="M583" s="31" t="str">
        <f t="shared" si="29"/>
        <v>OK</v>
      </c>
    </row>
    <row r="584" spans="1:13">
      <c r="A584" t="s">
        <v>872</v>
      </c>
      <c r="B584" s="1">
        <v>45832</v>
      </c>
      <c r="C584" t="s">
        <v>121</v>
      </c>
      <c r="D584" t="s">
        <v>12</v>
      </c>
      <c r="E584" t="s">
        <v>36</v>
      </c>
      <c r="F584" t="s">
        <v>37</v>
      </c>
      <c r="G584">
        <v>4</v>
      </c>
      <c r="H584" s="32" t="str">
        <f t="shared" si="27"/>
        <v>OK</v>
      </c>
      <c r="I584" s="30">
        <v>13632.96</v>
      </c>
      <c r="J584" s="33" t="str">
        <f t="shared" si="28"/>
        <v>OK</v>
      </c>
      <c r="K584" s="30">
        <v>8020.48</v>
      </c>
      <c r="L584" t="s">
        <v>22</v>
      </c>
      <c r="M584" s="31" t="str">
        <f t="shared" si="29"/>
        <v>OK</v>
      </c>
    </row>
    <row r="585" spans="1:13">
      <c r="A585" t="s">
        <v>1384</v>
      </c>
      <c r="B585" s="1">
        <v>45832</v>
      </c>
      <c r="C585" t="s">
        <v>115</v>
      </c>
      <c r="D585" t="s">
        <v>1617</v>
      </c>
      <c r="E585" t="s">
        <v>20</v>
      </c>
      <c r="F585" t="s">
        <v>14</v>
      </c>
      <c r="G585">
        <v>6</v>
      </c>
      <c r="H585" s="32" t="str">
        <f t="shared" si="27"/>
        <v>OK</v>
      </c>
      <c r="I585" s="30">
        <v>5064.3599999999997</v>
      </c>
      <c r="J585" s="33" t="str">
        <f t="shared" si="28"/>
        <v>OK</v>
      </c>
      <c r="K585" s="30">
        <v>4397.2</v>
      </c>
      <c r="L585" t="s">
        <v>22</v>
      </c>
      <c r="M585" s="31" t="str">
        <f t="shared" si="29"/>
        <v>OK</v>
      </c>
    </row>
    <row r="586" spans="1:13">
      <c r="A586" t="s">
        <v>309</v>
      </c>
      <c r="B586" s="1">
        <v>45833</v>
      </c>
      <c r="C586" t="s">
        <v>24</v>
      </c>
      <c r="D586" t="s">
        <v>57</v>
      </c>
      <c r="E586" t="s">
        <v>26</v>
      </c>
      <c r="F586" t="s">
        <v>27</v>
      </c>
      <c r="G586">
        <v>2</v>
      </c>
      <c r="H586" s="32" t="str">
        <f t="shared" si="27"/>
        <v>OK</v>
      </c>
      <c r="I586" s="30">
        <v>1241.6300000000001</v>
      </c>
      <c r="J586" s="33" t="str">
        <f t="shared" si="28"/>
        <v>OK</v>
      </c>
      <c r="K586" s="30">
        <v>875.96</v>
      </c>
      <c r="L586" t="s">
        <v>22</v>
      </c>
      <c r="M586" s="31" t="str">
        <f t="shared" si="29"/>
        <v>OK</v>
      </c>
    </row>
    <row r="587" spans="1:13">
      <c r="A587" t="s">
        <v>892</v>
      </c>
      <c r="B587" s="1">
        <v>45833</v>
      </c>
      <c r="C587" t="s">
        <v>74</v>
      </c>
      <c r="D587" t="s">
        <v>19</v>
      </c>
      <c r="E587" t="s">
        <v>36</v>
      </c>
      <c r="F587" t="s">
        <v>37</v>
      </c>
      <c r="G587">
        <v>3</v>
      </c>
      <c r="H587" s="32" t="str">
        <f t="shared" si="27"/>
        <v>OK</v>
      </c>
      <c r="I587" s="30">
        <v>16083.62</v>
      </c>
      <c r="J587" s="33" t="str">
        <f t="shared" si="28"/>
        <v>OK</v>
      </c>
      <c r="K587" s="30">
        <v>9700.01</v>
      </c>
      <c r="L587" t="s">
        <v>16</v>
      </c>
      <c r="M587" s="31" t="str">
        <f t="shared" si="29"/>
        <v>OK</v>
      </c>
    </row>
    <row r="588" spans="1:13">
      <c r="A588" t="s">
        <v>983</v>
      </c>
      <c r="B588" s="1">
        <v>45833</v>
      </c>
      <c r="C588" t="s">
        <v>48</v>
      </c>
      <c r="D588" t="s">
        <v>63</v>
      </c>
      <c r="E588" t="s">
        <v>26</v>
      </c>
      <c r="F588" t="s">
        <v>79</v>
      </c>
      <c r="H588" s="32" t="str">
        <f t="shared" si="27"/>
        <v>Blank</v>
      </c>
      <c r="I588" s="30">
        <v>1448.7</v>
      </c>
      <c r="J588" s="33" t="str">
        <f t="shared" si="28"/>
        <v>OK</v>
      </c>
      <c r="K588" s="30">
        <v>800.65</v>
      </c>
      <c r="L588" t="s">
        <v>38</v>
      </c>
      <c r="M588" s="31" t="str">
        <f t="shared" si="29"/>
        <v>OK</v>
      </c>
    </row>
    <row r="589" spans="1:13">
      <c r="A589" t="s">
        <v>1082</v>
      </c>
      <c r="B589" s="1">
        <v>45834</v>
      </c>
      <c r="C589" t="s">
        <v>67</v>
      </c>
      <c r="D589" t="s">
        <v>63</v>
      </c>
      <c r="E589" t="s">
        <v>36</v>
      </c>
      <c r="F589" t="s">
        <v>1614</v>
      </c>
      <c r="G589">
        <v>5</v>
      </c>
      <c r="H589" s="32" t="str">
        <f t="shared" si="27"/>
        <v>OK</v>
      </c>
      <c r="I589" s="30">
        <v>14701.89</v>
      </c>
      <c r="J589" s="33" t="str">
        <f t="shared" si="28"/>
        <v>OK</v>
      </c>
      <c r="K589" s="30">
        <v>11626.42</v>
      </c>
      <c r="L589" t="s">
        <v>38</v>
      </c>
      <c r="M589" s="31" t="str">
        <f t="shared" si="29"/>
        <v>OK</v>
      </c>
    </row>
    <row r="590" spans="1:13">
      <c r="A590" t="s">
        <v>482</v>
      </c>
      <c r="B590" s="1">
        <v>45836</v>
      </c>
      <c r="C590" t="s">
        <v>121</v>
      </c>
      <c r="D590" t="s">
        <v>12</v>
      </c>
      <c r="E590" t="s">
        <v>32</v>
      </c>
      <c r="F590" t="s">
        <v>101</v>
      </c>
      <c r="G590">
        <v>2</v>
      </c>
      <c r="H590" s="32" t="str">
        <f t="shared" si="27"/>
        <v>OK</v>
      </c>
      <c r="I590" s="30">
        <v>1209.8599999999999</v>
      </c>
      <c r="J590" s="33" t="str">
        <f t="shared" si="28"/>
        <v>OK</v>
      </c>
      <c r="K590" s="30">
        <v>1062.26</v>
      </c>
      <c r="L590" t="s">
        <v>71</v>
      </c>
      <c r="M590" s="31" t="str">
        <f t="shared" si="29"/>
        <v>OK</v>
      </c>
    </row>
    <row r="591" spans="1:13">
      <c r="A591" t="s">
        <v>687</v>
      </c>
      <c r="B591" s="1">
        <v>45837</v>
      </c>
      <c r="C591" t="s">
        <v>18</v>
      </c>
      <c r="D591" t="s">
        <v>12</v>
      </c>
      <c r="E591" t="s">
        <v>82</v>
      </c>
      <c r="F591" t="s">
        <v>155</v>
      </c>
      <c r="G591">
        <v>7</v>
      </c>
      <c r="H591" s="32" t="str">
        <f t="shared" si="27"/>
        <v>OK</v>
      </c>
      <c r="I591" s="30">
        <v>1495.48</v>
      </c>
      <c r="J591" s="33" t="str">
        <f t="shared" si="28"/>
        <v>OK</v>
      </c>
      <c r="K591" s="30">
        <v>891.23</v>
      </c>
      <c r="L591" t="s">
        <v>71</v>
      </c>
      <c r="M591" s="31" t="str">
        <f t="shared" si="29"/>
        <v>OK</v>
      </c>
    </row>
    <row r="592" spans="1:13">
      <c r="A592" t="s">
        <v>868</v>
      </c>
      <c r="B592" s="1">
        <v>45837</v>
      </c>
      <c r="C592" t="s">
        <v>59</v>
      </c>
      <c r="D592" t="s">
        <v>63</v>
      </c>
      <c r="E592" t="s">
        <v>32</v>
      </c>
      <c r="F592" t="s">
        <v>33</v>
      </c>
      <c r="G592">
        <v>7</v>
      </c>
      <c r="H592" s="32" t="str">
        <f t="shared" si="27"/>
        <v>OK</v>
      </c>
      <c r="I592" s="30">
        <v>433.29</v>
      </c>
      <c r="J592" s="33" t="str">
        <f t="shared" si="28"/>
        <v>OK</v>
      </c>
      <c r="K592" s="30">
        <v>306.87</v>
      </c>
      <c r="L592" t="s">
        <v>38</v>
      </c>
      <c r="M592" s="31" t="str">
        <f t="shared" si="29"/>
        <v>OK</v>
      </c>
    </row>
    <row r="593" spans="1:13">
      <c r="A593" t="s">
        <v>1115</v>
      </c>
      <c r="B593" s="1">
        <v>45837</v>
      </c>
      <c r="C593" t="s">
        <v>119</v>
      </c>
      <c r="D593" t="s">
        <v>57</v>
      </c>
      <c r="E593" t="s">
        <v>36</v>
      </c>
      <c r="F593" t="s">
        <v>113</v>
      </c>
      <c r="G593">
        <v>5</v>
      </c>
      <c r="H593" s="32" t="str">
        <f t="shared" si="27"/>
        <v>OK</v>
      </c>
      <c r="I593" s="30">
        <v>11106.27</v>
      </c>
      <c r="J593" s="33" t="str">
        <f t="shared" si="28"/>
        <v>OK</v>
      </c>
      <c r="K593" s="30">
        <v>6725.56</v>
      </c>
      <c r="L593" t="s">
        <v>22</v>
      </c>
      <c r="M593" s="31" t="str">
        <f t="shared" si="29"/>
        <v>OK</v>
      </c>
    </row>
    <row r="594" spans="1:13">
      <c r="A594" t="s">
        <v>1459</v>
      </c>
      <c r="B594" s="1">
        <v>45837</v>
      </c>
      <c r="C594" t="s">
        <v>108</v>
      </c>
      <c r="D594" t="s">
        <v>63</v>
      </c>
      <c r="E594" t="s">
        <v>82</v>
      </c>
      <c r="F594" t="s">
        <v>97</v>
      </c>
      <c r="G594">
        <v>6</v>
      </c>
      <c r="H594" s="32" t="str">
        <f t="shared" si="27"/>
        <v>OK</v>
      </c>
      <c r="I594" s="30">
        <v>1479.19</v>
      </c>
      <c r="J594" s="33" t="str">
        <f t="shared" si="28"/>
        <v>OK</v>
      </c>
      <c r="K594" s="30">
        <v>1250.19</v>
      </c>
      <c r="L594" t="s">
        <v>16</v>
      </c>
      <c r="M594" s="31" t="str">
        <f t="shared" si="29"/>
        <v>OK</v>
      </c>
    </row>
    <row r="595" spans="1:13">
      <c r="A595" t="s">
        <v>832</v>
      </c>
      <c r="B595" s="1">
        <v>45838</v>
      </c>
      <c r="C595" t="s">
        <v>121</v>
      </c>
      <c r="D595" t="s">
        <v>63</v>
      </c>
      <c r="E595" t="s">
        <v>36</v>
      </c>
      <c r="F595" t="s">
        <v>113</v>
      </c>
      <c r="G595">
        <v>4</v>
      </c>
      <c r="H595" s="32" t="str">
        <f t="shared" si="27"/>
        <v>OK</v>
      </c>
      <c r="I595" s="30">
        <v>10658.35</v>
      </c>
      <c r="J595" s="33" t="str">
        <f t="shared" si="28"/>
        <v>OK</v>
      </c>
      <c r="K595" s="30">
        <v>6520.92</v>
      </c>
      <c r="L595" t="s">
        <v>16</v>
      </c>
      <c r="M595" s="31" t="str">
        <f t="shared" si="29"/>
        <v>OK</v>
      </c>
    </row>
    <row r="596" spans="1:13">
      <c r="A596" t="s">
        <v>1437</v>
      </c>
      <c r="B596" s="1">
        <v>45839</v>
      </c>
      <c r="C596" t="s">
        <v>259</v>
      </c>
      <c r="D596" t="s">
        <v>12</v>
      </c>
      <c r="E596" t="s">
        <v>36</v>
      </c>
      <c r="F596" t="s">
        <v>37</v>
      </c>
      <c r="G596">
        <v>2</v>
      </c>
      <c r="H596" s="32" t="str">
        <f t="shared" si="27"/>
        <v>OK</v>
      </c>
      <c r="I596" s="30">
        <v>11107.41</v>
      </c>
      <c r="J596" s="33" t="str">
        <f t="shared" si="28"/>
        <v>OK</v>
      </c>
      <c r="K596" s="30">
        <v>8984.39</v>
      </c>
      <c r="L596" t="s">
        <v>28</v>
      </c>
      <c r="M596" s="31" t="str">
        <f t="shared" si="29"/>
        <v>OK</v>
      </c>
    </row>
    <row r="597" spans="1:13">
      <c r="A597" t="s">
        <v>743</v>
      </c>
      <c r="B597" s="1">
        <v>45840</v>
      </c>
      <c r="C597" t="s">
        <v>30</v>
      </c>
      <c r="D597" t="s">
        <v>57</v>
      </c>
      <c r="E597" t="s">
        <v>20</v>
      </c>
      <c r="F597" t="s">
        <v>196</v>
      </c>
      <c r="G597">
        <v>3</v>
      </c>
      <c r="H597" s="32" t="str">
        <f t="shared" si="27"/>
        <v>OK</v>
      </c>
      <c r="I597" s="30">
        <v>4784.16</v>
      </c>
      <c r="J597" s="33" t="str">
        <f t="shared" si="28"/>
        <v>OK</v>
      </c>
      <c r="K597" s="30">
        <v>2820.55</v>
      </c>
      <c r="L597" t="s">
        <v>16</v>
      </c>
      <c r="M597" s="31" t="str">
        <f t="shared" si="29"/>
        <v>OK</v>
      </c>
    </row>
    <row r="598" spans="1:13">
      <c r="A598" t="s">
        <v>1275</v>
      </c>
      <c r="B598" s="1">
        <v>45841</v>
      </c>
      <c r="C598" t="s">
        <v>117</v>
      </c>
      <c r="D598" t="s">
        <v>19</v>
      </c>
      <c r="E598" t="s">
        <v>36</v>
      </c>
      <c r="F598" t="s">
        <v>1614</v>
      </c>
      <c r="G598">
        <v>6</v>
      </c>
      <c r="H598" s="32" t="str">
        <f t="shared" si="27"/>
        <v>OK</v>
      </c>
      <c r="I598" s="30">
        <v>8264.74</v>
      </c>
      <c r="J598" s="33" t="str">
        <f t="shared" si="28"/>
        <v>OK</v>
      </c>
      <c r="K598" s="30">
        <v>5211.62</v>
      </c>
      <c r="L598" t="s">
        <v>28</v>
      </c>
      <c r="M598" s="31" t="str">
        <f t="shared" si="29"/>
        <v>OK</v>
      </c>
    </row>
    <row r="599" spans="1:13">
      <c r="A599" t="s">
        <v>1449</v>
      </c>
      <c r="B599" s="1">
        <v>45841</v>
      </c>
      <c r="C599" t="s">
        <v>135</v>
      </c>
      <c r="D599" t="s">
        <v>19</v>
      </c>
      <c r="E599" t="s">
        <v>82</v>
      </c>
      <c r="F599" t="s">
        <v>155</v>
      </c>
      <c r="G599">
        <v>1</v>
      </c>
      <c r="H599" s="32" t="str">
        <f t="shared" si="27"/>
        <v>OK</v>
      </c>
      <c r="I599" s="30">
        <v>3027.72</v>
      </c>
      <c r="J599" s="33" t="str">
        <f t="shared" si="28"/>
        <v>OK</v>
      </c>
      <c r="K599" s="30">
        <v>1854.89</v>
      </c>
      <c r="L599" t="s">
        <v>16</v>
      </c>
      <c r="M599" s="31" t="str">
        <f t="shared" si="29"/>
        <v>OK</v>
      </c>
    </row>
    <row r="600" spans="1:13">
      <c r="A600" t="s">
        <v>1062</v>
      </c>
      <c r="B600" s="1">
        <v>45842</v>
      </c>
      <c r="C600" t="s">
        <v>35</v>
      </c>
      <c r="D600" t="s">
        <v>19</v>
      </c>
      <c r="E600" t="s">
        <v>36</v>
      </c>
      <c r="F600" t="s">
        <v>42</v>
      </c>
      <c r="G600">
        <v>1</v>
      </c>
      <c r="H600" s="32" t="str">
        <f t="shared" si="27"/>
        <v>OK</v>
      </c>
      <c r="I600" s="30">
        <v>17480.12</v>
      </c>
      <c r="J600" s="33" t="str">
        <f t="shared" si="28"/>
        <v>OK</v>
      </c>
      <c r="K600" s="30">
        <v>13858.56</v>
      </c>
      <c r="L600" t="s">
        <v>28</v>
      </c>
      <c r="M600" s="31" t="str">
        <f t="shared" si="29"/>
        <v>OK</v>
      </c>
    </row>
    <row r="601" spans="1:13">
      <c r="A601" t="s">
        <v>1153</v>
      </c>
      <c r="B601" s="1">
        <v>45842</v>
      </c>
      <c r="C601" t="s">
        <v>115</v>
      </c>
      <c r="D601" t="s">
        <v>31</v>
      </c>
      <c r="E601" t="s">
        <v>20</v>
      </c>
      <c r="F601" t="s">
        <v>191</v>
      </c>
      <c r="G601">
        <v>5</v>
      </c>
      <c r="H601" s="32" t="str">
        <f t="shared" si="27"/>
        <v>OK</v>
      </c>
      <c r="I601" s="30">
        <v>3564.23</v>
      </c>
      <c r="J601" s="33" t="str">
        <f t="shared" si="28"/>
        <v>OK</v>
      </c>
      <c r="K601" s="30">
        <v>2008.09</v>
      </c>
      <c r="L601" t="s">
        <v>22</v>
      </c>
      <c r="M601" s="31" t="str">
        <f t="shared" si="29"/>
        <v>OK</v>
      </c>
    </row>
    <row r="602" spans="1:13">
      <c r="A602" t="s">
        <v>1207</v>
      </c>
      <c r="B602" s="1">
        <v>45842</v>
      </c>
      <c r="C602" t="s">
        <v>30</v>
      </c>
      <c r="D602" t="s">
        <v>12</v>
      </c>
      <c r="E602" t="s">
        <v>32</v>
      </c>
      <c r="F602" t="s">
        <v>180</v>
      </c>
      <c r="G602">
        <v>4</v>
      </c>
      <c r="H602" s="32" t="str">
        <f t="shared" si="27"/>
        <v>OK</v>
      </c>
      <c r="I602" s="30">
        <v>830.15</v>
      </c>
      <c r="J602" s="33" t="str">
        <f t="shared" si="28"/>
        <v>OK</v>
      </c>
      <c r="K602" s="30">
        <v>682.18</v>
      </c>
      <c r="L602" t="s">
        <v>38</v>
      </c>
      <c r="M602" s="31" t="str">
        <f t="shared" si="29"/>
        <v>OK</v>
      </c>
    </row>
    <row r="603" spans="1:13">
      <c r="A603" t="s">
        <v>1221</v>
      </c>
      <c r="B603" s="1">
        <v>45842</v>
      </c>
      <c r="C603" t="s">
        <v>259</v>
      </c>
      <c r="D603" t="s">
        <v>19</v>
      </c>
      <c r="E603" t="s">
        <v>32</v>
      </c>
      <c r="F603" t="s">
        <v>180</v>
      </c>
      <c r="G603">
        <v>5</v>
      </c>
      <c r="H603" s="32" t="str">
        <f t="shared" si="27"/>
        <v>OK</v>
      </c>
      <c r="I603" s="30">
        <v>2371.71</v>
      </c>
      <c r="J603" s="33" t="str">
        <f t="shared" si="28"/>
        <v>OK</v>
      </c>
      <c r="K603" s="30">
        <v>1868.66</v>
      </c>
      <c r="L603" t="s">
        <v>28</v>
      </c>
      <c r="M603" s="31" t="str">
        <f t="shared" si="29"/>
        <v>OK</v>
      </c>
    </row>
    <row r="604" spans="1:13">
      <c r="A604" t="s">
        <v>1400</v>
      </c>
      <c r="B604" s="1">
        <v>45842</v>
      </c>
      <c r="C604" t="s">
        <v>135</v>
      </c>
      <c r="D604" t="s">
        <v>31</v>
      </c>
      <c r="E604" t="s">
        <v>20</v>
      </c>
      <c r="F604" t="s">
        <v>21</v>
      </c>
      <c r="G604">
        <v>6</v>
      </c>
      <c r="H604" s="32" t="str">
        <f t="shared" si="27"/>
        <v>OK</v>
      </c>
      <c r="I604" s="30">
        <v>4586.13</v>
      </c>
      <c r="J604" s="33" t="str">
        <f t="shared" si="28"/>
        <v>OK</v>
      </c>
      <c r="K604" s="30">
        <v>3413.64</v>
      </c>
      <c r="L604" t="s">
        <v>38</v>
      </c>
      <c r="M604" s="31" t="str">
        <f t="shared" si="29"/>
        <v>OK</v>
      </c>
    </row>
    <row r="605" spans="1:13">
      <c r="A605" t="s">
        <v>1587</v>
      </c>
      <c r="B605" s="1">
        <v>45842</v>
      </c>
      <c r="C605" t="s">
        <v>105</v>
      </c>
      <c r="D605" t="s">
        <v>19</v>
      </c>
      <c r="E605" t="s">
        <v>26</v>
      </c>
      <c r="F605" t="s">
        <v>350</v>
      </c>
      <c r="G605">
        <v>5</v>
      </c>
      <c r="H605" s="32" t="str">
        <f t="shared" si="27"/>
        <v>OK</v>
      </c>
      <c r="I605" s="30">
        <v>1368.46</v>
      </c>
      <c r="J605" s="33" t="str">
        <f t="shared" si="28"/>
        <v>OK</v>
      </c>
      <c r="K605" s="30">
        <v>938.6</v>
      </c>
      <c r="L605" t="s">
        <v>22</v>
      </c>
      <c r="M605" s="31" t="str">
        <f t="shared" si="29"/>
        <v>OK</v>
      </c>
    </row>
    <row r="606" spans="1:13">
      <c r="A606" t="s">
        <v>916</v>
      </c>
      <c r="B606" s="1">
        <v>45844</v>
      </c>
      <c r="C606" t="s">
        <v>105</v>
      </c>
      <c r="D606" t="s">
        <v>63</v>
      </c>
      <c r="E606" t="s">
        <v>36</v>
      </c>
      <c r="F606" t="s">
        <v>93</v>
      </c>
      <c r="G606">
        <v>4</v>
      </c>
      <c r="H606" s="32" t="str">
        <f t="shared" si="27"/>
        <v>OK</v>
      </c>
      <c r="I606" s="30">
        <v>17479.97</v>
      </c>
      <c r="J606" s="33" t="str">
        <f t="shared" si="28"/>
        <v>OK</v>
      </c>
      <c r="K606" s="30">
        <v>13136.14</v>
      </c>
      <c r="L606" t="s">
        <v>28</v>
      </c>
      <c r="M606" s="31" t="str">
        <f t="shared" si="29"/>
        <v>OK</v>
      </c>
    </row>
    <row r="607" spans="1:13">
      <c r="A607" t="s">
        <v>1120</v>
      </c>
      <c r="B607" s="1">
        <v>45844</v>
      </c>
      <c r="C607" t="s">
        <v>129</v>
      </c>
      <c r="D607" t="s">
        <v>31</v>
      </c>
      <c r="E607" t="s">
        <v>82</v>
      </c>
      <c r="F607" t="s">
        <v>109</v>
      </c>
      <c r="G607">
        <v>6</v>
      </c>
      <c r="H607" s="32" t="str">
        <f t="shared" si="27"/>
        <v>OK</v>
      </c>
      <c r="I607" s="30">
        <v>6458.38</v>
      </c>
      <c r="J607" s="33" t="str">
        <f t="shared" si="28"/>
        <v>OK</v>
      </c>
      <c r="K607" s="30">
        <v>4377.8</v>
      </c>
      <c r="L607" t="s">
        <v>22</v>
      </c>
      <c r="M607" s="31" t="str">
        <f t="shared" si="29"/>
        <v>OK</v>
      </c>
    </row>
    <row r="608" spans="1:13">
      <c r="A608" t="s">
        <v>247</v>
      </c>
      <c r="B608" s="1">
        <v>45845</v>
      </c>
      <c r="C608" t="s">
        <v>231</v>
      </c>
      <c r="D608" t="s">
        <v>12</v>
      </c>
      <c r="E608" t="s">
        <v>36</v>
      </c>
      <c r="F608" t="s">
        <v>93</v>
      </c>
      <c r="G608">
        <v>8</v>
      </c>
      <c r="H608" s="32" t="str">
        <f t="shared" si="27"/>
        <v>OK</v>
      </c>
      <c r="I608" s="30">
        <v>11487.18</v>
      </c>
      <c r="J608" s="33" t="str">
        <f t="shared" si="28"/>
        <v>OK</v>
      </c>
      <c r="K608" s="30">
        <v>7703.74</v>
      </c>
      <c r="L608" t="s">
        <v>71</v>
      </c>
      <c r="M608" s="31" t="str">
        <f t="shared" si="29"/>
        <v>OK</v>
      </c>
    </row>
    <row r="609" spans="1:13">
      <c r="A609" t="s">
        <v>810</v>
      </c>
      <c r="B609" s="1">
        <v>45845</v>
      </c>
      <c r="C609" t="s">
        <v>231</v>
      </c>
      <c r="D609" t="s">
        <v>57</v>
      </c>
      <c r="E609" t="s">
        <v>20</v>
      </c>
      <c r="F609" t="s">
        <v>14</v>
      </c>
      <c r="G609">
        <v>3</v>
      </c>
      <c r="H609" s="32" t="str">
        <f t="shared" si="27"/>
        <v>OK</v>
      </c>
      <c r="I609" s="30">
        <v>3325.26</v>
      </c>
      <c r="J609" s="33" t="str">
        <f t="shared" si="28"/>
        <v>OK</v>
      </c>
      <c r="K609" s="30">
        <v>2874.09</v>
      </c>
      <c r="L609" t="s">
        <v>28</v>
      </c>
      <c r="M609" s="31" t="str">
        <f t="shared" si="29"/>
        <v>OK</v>
      </c>
    </row>
    <row r="610" spans="1:13">
      <c r="A610" t="s">
        <v>1191</v>
      </c>
      <c r="B610" s="1">
        <v>45845</v>
      </c>
      <c r="C610" t="s">
        <v>67</v>
      </c>
      <c r="D610" t="s">
        <v>12</v>
      </c>
      <c r="E610" t="s">
        <v>32</v>
      </c>
      <c r="F610" t="s">
        <v>33</v>
      </c>
      <c r="G610">
        <v>6</v>
      </c>
      <c r="H610" s="32" t="str">
        <f t="shared" si="27"/>
        <v>OK</v>
      </c>
      <c r="I610" s="30">
        <v>638.13</v>
      </c>
      <c r="J610" s="33" t="str">
        <f t="shared" si="28"/>
        <v>OK</v>
      </c>
      <c r="K610" s="30">
        <v>423.52</v>
      </c>
      <c r="L610" t="s">
        <v>16</v>
      </c>
      <c r="M610" s="31" t="str">
        <f t="shared" si="29"/>
        <v>OK</v>
      </c>
    </row>
    <row r="611" spans="1:13">
      <c r="A611" t="s">
        <v>161</v>
      </c>
      <c r="B611" s="1">
        <v>45846</v>
      </c>
      <c r="C611" t="s">
        <v>162</v>
      </c>
      <c r="D611" t="s">
        <v>12</v>
      </c>
      <c r="E611" t="s">
        <v>32</v>
      </c>
      <c r="F611" t="s">
        <v>1616</v>
      </c>
      <c r="G611">
        <v>3</v>
      </c>
      <c r="H611" s="32" t="str">
        <f t="shared" si="27"/>
        <v>OK</v>
      </c>
      <c r="I611" s="30">
        <v>1014.07</v>
      </c>
      <c r="J611" s="33" t="str">
        <f t="shared" si="28"/>
        <v>OK</v>
      </c>
      <c r="K611" s="30">
        <v>861.7</v>
      </c>
      <c r="L611" t="s">
        <v>22</v>
      </c>
      <c r="M611" s="31" t="str">
        <f t="shared" si="29"/>
        <v>OK</v>
      </c>
    </row>
    <row r="612" spans="1:13">
      <c r="A612" t="s">
        <v>433</v>
      </c>
      <c r="B612" s="1">
        <v>45846</v>
      </c>
      <c r="C612" t="s">
        <v>259</v>
      </c>
      <c r="D612" t="s">
        <v>19</v>
      </c>
      <c r="E612" t="s">
        <v>36</v>
      </c>
      <c r="F612" t="s">
        <v>46</v>
      </c>
      <c r="G612">
        <v>5</v>
      </c>
      <c r="H612" s="32" t="str">
        <f t="shared" si="27"/>
        <v>OK</v>
      </c>
      <c r="I612" s="30">
        <v>5368.28</v>
      </c>
      <c r="J612" s="33" t="str">
        <f t="shared" si="28"/>
        <v>OK</v>
      </c>
      <c r="K612" s="30">
        <v>3902.28</v>
      </c>
      <c r="L612" t="s">
        <v>38</v>
      </c>
      <c r="M612" s="31" t="str">
        <f t="shared" si="29"/>
        <v>OK</v>
      </c>
    </row>
    <row r="613" spans="1:13">
      <c r="A613" t="s">
        <v>553</v>
      </c>
      <c r="B613" s="1">
        <v>45846</v>
      </c>
      <c r="C613" t="s">
        <v>231</v>
      </c>
      <c r="D613" t="s">
        <v>57</v>
      </c>
      <c r="E613" t="s">
        <v>26</v>
      </c>
      <c r="F613" t="s">
        <v>106</v>
      </c>
      <c r="G613">
        <v>5</v>
      </c>
      <c r="H613" s="32" t="str">
        <f t="shared" si="27"/>
        <v>OK</v>
      </c>
      <c r="I613" s="30">
        <v>318.49</v>
      </c>
      <c r="J613" s="33" t="str">
        <f t="shared" si="28"/>
        <v>OK</v>
      </c>
      <c r="K613" s="30">
        <v>276.77999999999997</v>
      </c>
      <c r="L613" t="s">
        <v>38</v>
      </c>
      <c r="M613" s="31" t="str">
        <f t="shared" si="29"/>
        <v>OK</v>
      </c>
    </row>
    <row r="614" spans="1:13">
      <c r="A614" t="s">
        <v>693</v>
      </c>
      <c r="B614" s="1">
        <v>45847</v>
      </c>
      <c r="C614" t="s">
        <v>133</v>
      </c>
      <c r="D614" t="s">
        <v>57</v>
      </c>
      <c r="E614" t="s">
        <v>26</v>
      </c>
      <c r="F614" t="s">
        <v>106</v>
      </c>
      <c r="G614">
        <v>3</v>
      </c>
      <c r="H614" s="32" t="str">
        <f t="shared" si="27"/>
        <v>OK</v>
      </c>
      <c r="I614" s="30">
        <v>1698.77</v>
      </c>
      <c r="J614" s="33" t="str">
        <f t="shared" si="28"/>
        <v>OK</v>
      </c>
      <c r="K614" s="30">
        <v>1081.93</v>
      </c>
      <c r="L614" t="s">
        <v>28</v>
      </c>
      <c r="M614" s="31" t="str">
        <f t="shared" si="29"/>
        <v>OK</v>
      </c>
    </row>
    <row r="615" spans="1:13">
      <c r="A615" t="s">
        <v>765</v>
      </c>
      <c r="B615" s="1">
        <v>45847</v>
      </c>
      <c r="C615" t="s">
        <v>108</v>
      </c>
      <c r="D615" t="s">
        <v>12</v>
      </c>
      <c r="E615" t="s">
        <v>32</v>
      </c>
      <c r="F615" t="s">
        <v>52</v>
      </c>
      <c r="G615">
        <v>8</v>
      </c>
      <c r="H615" s="32" t="str">
        <f t="shared" si="27"/>
        <v>OK</v>
      </c>
      <c r="I615" s="30">
        <v>1818.97</v>
      </c>
      <c r="J615" s="33" t="str">
        <f t="shared" si="28"/>
        <v>OK</v>
      </c>
      <c r="K615" s="30">
        <v>1001.25</v>
      </c>
      <c r="L615" t="s">
        <v>16</v>
      </c>
      <c r="M615" s="31" t="str">
        <f t="shared" si="29"/>
        <v>OK</v>
      </c>
    </row>
    <row r="616" spans="1:13">
      <c r="A616" t="s">
        <v>952</v>
      </c>
      <c r="B616" s="1">
        <v>45847</v>
      </c>
      <c r="C616" t="s">
        <v>162</v>
      </c>
      <c r="D616" t="s">
        <v>1617</v>
      </c>
      <c r="E616" t="s">
        <v>32</v>
      </c>
      <c r="F616" t="s">
        <v>180</v>
      </c>
      <c r="G616">
        <v>7</v>
      </c>
      <c r="H616" s="32" t="str">
        <f t="shared" si="27"/>
        <v>OK</v>
      </c>
      <c r="I616" s="30">
        <v>1552.95</v>
      </c>
      <c r="J616" s="33" t="str">
        <f t="shared" si="28"/>
        <v>OK</v>
      </c>
      <c r="K616" s="30">
        <v>1120.07</v>
      </c>
      <c r="L616" t="s">
        <v>28</v>
      </c>
      <c r="M616" s="31" t="str">
        <f t="shared" si="29"/>
        <v>OK</v>
      </c>
    </row>
    <row r="617" spans="1:13">
      <c r="A617" t="s">
        <v>976</v>
      </c>
      <c r="B617" s="1">
        <v>45847</v>
      </c>
      <c r="C617" t="s">
        <v>48</v>
      </c>
      <c r="D617" t="s">
        <v>19</v>
      </c>
      <c r="E617" t="s">
        <v>36</v>
      </c>
      <c r="F617" t="s">
        <v>46</v>
      </c>
      <c r="G617">
        <v>5</v>
      </c>
      <c r="H617" s="32" t="str">
        <f t="shared" si="27"/>
        <v>OK</v>
      </c>
      <c r="I617" s="30">
        <v>3597.47</v>
      </c>
      <c r="J617" s="33" t="str">
        <f t="shared" si="28"/>
        <v>OK</v>
      </c>
      <c r="K617" s="30">
        <v>2968.4</v>
      </c>
      <c r="L617" t="s">
        <v>22</v>
      </c>
      <c r="M617" s="31" t="str">
        <f t="shared" si="29"/>
        <v>OK</v>
      </c>
    </row>
    <row r="618" spans="1:13">
      <c r="A618" t="s">
        <v>1154</v>
      </c>
      <c r="B618" s="1">
        <v>45847</v>
      </c>
      <c r="C618" t="s">
        <v>105</v>
      </c>
      <c r="D618" t="s">
        <v>19</v>
      </c>
      <c r="E618" t="s">
        <v>32</v>
      </c>
      <c r="F618" t="s">
        <v>52</v>
      </c>
      <c r="G618">
        <v>2</v>
      </c>
      <c r="H618" s="32" t="str">
        <f t="shared" si="27"/>
        <v>OK</v>
      </c>
      <c r="I618" s="30">
        <v>933.97</v>
      </c>
      <c r="J618" s="33" t="str">
        <f t="shared" si="28"/>
        <v>OK</v>
      </c>
      <c r="K618" s="30">
        <v>657.46</v>
      </c>
      <c r="L618" t="s">
        <v>22</v>
      </c>
      <c r="M618" s="31" t="str">
        <f t="shared" si="29"/>
        <v>OK</v>
      </c>
    </row>
    <row r="619" spans="1:13">
      <c r="A619" t="s">
        <v>1493</v>
      </c>
      <c r="B619" s="1">
        <v>45847</v>
      </c>
      <c r="C619" t="s">
        <v>259</v>
      </c>
      <c r="D619" t="s">
        <v>63</v>
      </c>
      <c r="E619" t="s">
        <v>26</v>
      </c>
      <c r="F619" t="s">
        <v>103</v>
      </c>
      <c r="G619">
        <v>5</v>
      </c>
      <c r="H619" s="32" t="str">
        <f t="shared" si="27"/>
        <v>OK</v>
      </c>
      <c r="I619" s="30">
        <v>2595.19</v>
      </c>
      <c r="J619" s="33" t="str">
        <f t="shared" si="28"/>
        <v>OK</v>
      </c>
      <c r="K619" s="30">
        <v>2092.65</v>
      </c>
      <c r="L619" t="s">
        <v>38</v>
      </c>
      <c r="M619" s="31" t="str">
        <f t="shared" si="29"/>
        <v>OK</v>
      </c>
    </row>
    <row r="620" spans="1:13">
      <c r="A620" t="s">
        <v>502</v>
      </c>
      <c r="B620" s="1">
        <v>45848</v>
      </c>
      <c r="C620" t="s">
        <v>74</v>
      </c>
      <c r="D620" t="s">
        <v>63</v>
      </c>
      <c r="E620" t="s">
        <v>26</v>
      </c>
      <c r="F620" t="s">
        <v>106</v>
      </c>
      <c r="G620">
        <v>8</v>
      </c>
      <c r="H620" s="32" t="str">
        <f t="shared" si="27"/>
        <v>OK</v>
      </c>
      <c r="I620" s="30">
        <v>2515.04</v>
      </c>
      <c r="J620" s="33" t="str">
        <f t="shared" si="28"/>
        <v>OK</v>
      </c>
      <c r="K620" s="30">
        <v>1409.61</v>
      </c>
      <c r="L620" t="s">
        <v>16</v>
      </c>
      <c r="M620" s="31" t="str">
        <f t="shared" si="29"/>
        <v>OK</v>
      </c>
    </row>
    <row r="621" spans="1:13">
      <c r="A621" t="s">
        <v>632</v>
      </c>
      <c r="B621" s="1">
        <v>45848</v>
      </c>
      <c r="C621" t="s">
        <v>231</v>
      </c>
      <c r="D621" t="s">
        <v>19</v>
      </c>
      <c r="E621" t="s">
        <v>82</v>
      </c>
      <c r="F621" t="s">
        <v>137</v>
      </c>
      <c r="G621">
        <v>0</v>
      </c>
      <c r="H621" s="32" t="str">
        <f t="shared" si="27"/>
        <v>Zero Quantity</v>
      </c>
      <c r="I621" s="30">
        <v>5443.62</v>
      </c>
      <c r="J621" s="33" t="str">
        <f t="shared" si="28"/>
        <v>OK</v>
      </c>
      <c r="K621" s="30">
        <v>3767.5</v>
      </c>
      <c r="L621" t="s">
        <v>22</v>
      </c>
      <c r="M621" s="31" t="str">
        <f t="shared" si="29"/>
        <v>OK</v>
      </c>
    </row>
    <row r="622" spans="1:13">
      <c r="A622" t="s">
        <v>722</v>
      </c>
      <c r="B622" s="1">
        <v>45848</v>
      </c>
      <c r="C622" t="s">
        <v>59</v>
      </c>
      <c r="D622" t="s">
        <v>19</v>
      </c>
      <c r="E622" t="s">
        <v>20</v>
      </c>
      <c r="F622" t="s">
        <v>191</v>
      </c>
      <c r="G622">
        <v>5</v>
      </c>
      <c r="H622" s="32" t="str">
        <f t="shared" si="27"/>
        <v>OK</v>
      </c>
      <c r="I622" s="30">
        <v>4733.62</v>
      </c>
      <c r="J622" s="33" t="str">
        <f t="shared" si="28"/>
        <v>OK</v>
      </c>
      <c r="K622" s="30">
        <v>2677.41</v>
      </c>
      <c r="L622" t="s">
        <v>22</v>
      </c>
      <c r="M622" s="31" t="str">
        <f t="shared" si="29"/>
        <v>OK</v>
      </c>
    </row>
    <row r="623" spans="1:13">
      <c r="A623" t="s">
        <v>784</v>
      </c>
      <c r="B623" s="1">
        <v>45848</v>
      </c>
      <c r="C623" t="s">
        <v>85</v>
      </c>
      <c r="D623" t="s">
        <v>12</v>
      </c>
      <c r="E623" t="s">
        <v>26</v>
      </c>
      <c r="F623" t="s">
        <v>103</v>
      </c>
      <c r="G623">
        <v>3</v>
      </c>
      <c r="H623" s="32" t="str">
        <f t="shared" si="27"/>
        <v>OK</v>
      </c>
      <c r="I623" s="30">
        <v>2686.77</v>
      </c>
      <c r="J623" s="33" t="str">
        <f t="shared" si="28"/>
        <v>OK</v>
      </c>
      <c r="K623" s="30">
        <v>2252.16</v>
      </c>
      <c r="L623" t="s">
        <v>16</v>
      </c>
      <c r="M623" s="31" t="str">
        <f t="shared" si="29"/>
        <v>OK</v>
      </c>
    </row>
    <row r="624" spans="1:13">
      <c r="A624" t="s">
        <v>1187</v>
      </c>
      <c r="B624" s="1">
        <v>45848</v>
      </c>
      <c r="C624" t="s">
        <v>119</v>
      </c>
      <c r="D624" t="s">
        <v>63</v>
      </c>
      <c r="E624" t="s">
        <v>20</v>
      </c>
      <c r="F624" t="s">
        <v>14</v>
      </c>
      <c r="G624">
        <v>7</v>
      </c>
      <c r="H624" s="32" t="str">
        <f t="shared" si="27"/>
        <v>OK</v>
      </c>
      <c r="I624" s="30">
        <v>1571.02</v>
      </c>
      <c r="J624" s="33" t="str">
        <f t="shared" si="28"/>
        <v>OK</v>
      </c>
      <c r="K624" s="30">
        <v>920.26</v>
      </c>
      <c r="L624" t="s">
        <v>16</v>
      </c>
      <c r="M624" s="31" t="str">
        <f t="shared" si="29"/>
        <v>OK</v>
      </c>
    </row>
    <row r="625" spans="1:13">
      <c r="A625" t="s">
        <v>862</v>
      </c>
      <c r="B625" s="1">
        <v>45849</v>
      </c>
      <c r="C625" t="s">
        <v>129</v>
      </c>
      <c r="D625" t="s">
        <v>19</v>
      </c>
      <c r="E625" t="s">
        <v>20</v>
      </c>
      <c r="F625" t="s">
        <v>14</v>
      </c>
      <c r="G625">
        <v>1</v>
      </c>
      <c r="H625" s="32" t="str">
        <f t="shared" si="27"/>
        <v>OK</v>
      </c>
      <c r="I625" s="30">
        <v>4777.8500000000004</v>
      </c>
      <c r="J625" s="33" t="str">
        <f t="shared" si="28"/>
        <v>OK</v>
      </c>
      <c r="K625" s="30">
        <v>4067.89</v>
      </c>
      <c r="L625" t="s">
        <v>28</v>
      </c>
      <c r="M625" s="31" t="str">
        <f t="shared" si="29"/>
        <v>OK</v>
      </c>
    </row>
    <row r="626" spans="1:13">
      <c r="A626" t="s">
        <v>918</v>
      </c>
      <c r="B626" s="1">
        <v>45849</v>
      </c>
      <c r="C626" t="s">
        <v>220</v>
      </c>
      <c r="D626" t="s">
        <v>63</v>
      </c>
      <c r="E626" t="s">
        <v>20</v>
      </c>
      <c r="F626" t="s">
        <v>86</v>
      </c>
      <c r="G626">
        <v>4</v>
      </c>
      <c r="H626" s="32" t="str">
        <f t="shared" si="27"/>
        <v>OK</v>
      </c>
      <c r="I626" s="30">
        <v>1599.92</v>
      </c>
      <c r="J626" s="33" t="str">
        <f t="shared" si="28"/>
        <v>OK</v>
      </c>
      <c r="K626" s="30">
        <v>888.42</v>
      </c>
      <c r="L626" t="s">
        <v>16</v>
      </c>
      <c r="M626" s="31" t="str">
        <f t="shared" si="29"/>
        <v>OK</v>
      </c>
    </row>
    <row r="627" spans="1:13">
      <c r="A627" t="s">
        <v>1224</v>
      </c>
      <c r="B627" s="1">
        <v>45849</v>
      </c>
      <c r="C627" t="s">
        <v>48</v>
      </c>
      <c r="D627" t="s">
        <v>12</v>
      </c>
      <c r="E627" t="s">
        <v>26</v>
      </c>
      <c r="F627" t="s">
        <v>350</v>
      </c>
      <c r="G627">
        <v>5</v>
      </c>
      <c r="H627" s="32" t="str">
        <f t="shared" si="27"/>
        <v>OK</v>
      </c>
      <c r="I627" s="30">
        <v>1205.44</v>
      </c>
      <c r="J627" s="33" t="str">
        <f t="shared" si="28"/>
        <v>OK</v>
      </c>
      <c r="K627" s="30">
        <v>674.12</v>
      </c>
      <c r="L627" t="s">
        <v>71</v>
      </c>
      <c r="M627" s="31" t="str">
        <f t="shared" si="29"/>
        <v>OK</v>
      </c>
    </row>
    <row r="628" spans="1:13">
      <c r="A628" t="s">
        <v>1422</v>
      </c>
      <c r="B628" s="1">
        <v>45849</v>
      </c>
      <c r="C628" t="s">
        <v>18</v>
      </c>
      <c r="D628" t="s">
        <v>31</v>
      </c>
      <c r="E628" t="s">
        <v>32</v>
      </c>
      <c r="F628" t="s">
        <v>1616</v>
      </c>
      <c r="H628" s="32" t="str">
        <f t="shared" si="27"/>
        <v>Blank</v>
      </c>
      <c r="I628" s="30">
        <v>1578.96</v>
      </c>
      <c r="J628" s="33" t="str">
        <f t="shared" si="28"/>
        <v>OK</v>
      </c>
      <c r="K628" s="30">
        <v>1377.49</v>
      </c>
      <c r="L628" t="s">
        <v>71</v>
      </c>
      <c r="M628" s="31" t="str">
        <f t="shared" si="29"/>
        <v>OK</v>
      </c>
    </row>
    <row r="629" spans="1:13">
      <c r="A629" t="s">
        <v>1472</v>
      </c>
      <c r="B629" s="1">
        <v>45849</v>
      </c>
      <c r="C629" t="s">
        <v>54</v>
      </c>
      <c r="D629" t="s">
        <v>12</v>
      </c>
      <c r="E629" t="s">
        <v>36</v>
      </c>
      <c r="F629" t="s">
        <v>46</v>
      </c>
      <c r="G629">
        <v>8</v>
      </c>
      <c r="H629" s="32" t="str">
        <f t="shared" si="27"/>
        <v>OK</v>
      </c>
      <c r="I629" s="30">
        <v>5972.11</v>
      </c>
      <c r="J629" s="33" t="str">
        <f t="shared" si="28"/>
        <v>OK</v>
      </c>
      <c r="K629" s="30">
        <v>3583.57</v>
      </c>
      <c r="L629" t="s">
        <v>71</v>
      </c>
      <c r="M629" s="31" t="str">
        <f t="shared" si="29"/>
        <v>OK</v>
      </c>
    </row>
    <row r="630" spans="1:13">
      <c r="A630" t="s">
        <v>353</v>
      </c>
      <c r="B630" s="1">
        <v>45850</v>
      </c>
      <c r="C630" t="s">
        <v>162</v>
      </c>
      <c r="D630" t="s">
        <v>57</v>
      </c>
      <c r="E630" t="s">
        <v>26</v>
      </c>
      <c r="F630" t="s">
        <v>79</v>
      </c>
      <c r="G630">
        <v>7</v>
      </c>
      <c r="H630" s="32" t="str">
        <f t="shared" si="27"/>
        <v>OK</v>
      </c>
      <c r="I630" s="30">
        <v>853.65</v>
      </c>
      <c r="J630" s="33" t="str">
        <f t="shared" si="28"/>
        <v>OK</v>
      </c>
      <c r="K630" s="30">
        <v>634.54999999999995</v>
      </c>
      <c r="L630" t="s">
        <v>28</v>
      </c>
      <c r="M630" s="31" t="str">
        <f t="shared" si="29"/>
        <v>OK</v>
      </c>
    </row>
    <row r="631" spans="1:13">
      <c r="A631" t="s">
        <v>760</v>
      </c>
      <c r="B631" s="1">
        <v>45850</v>
      </c>
      <c r="C631" t="s">
        <v>30</v>
      </c>
      <c r="D631" t="s">
        <v>63</v>
      </c>
      <c r="E631" t="s">
        <v>26</v>
      </c>
      <c r="F631" t="s">
        <v>131</v>
      </c>
      <c r="G631">
        <v>4</v>
      </c>
      <c r="H631" s="32" t="str">
        <f t="shared" si="27"/>
        <v>OK</v>
      </c>
      <c r="I631" s="30">
        <v>1551.02</v>
      </c>
      <c r="J631" s="33" t="str">
        <f t="shared" si="28"/>
        <v>OK</v>
      </c>
      <c r="K631" s="30">
        <v>1275.8800000000001</v>
      </c>
      <c r="L631" t="s">
        <v>16</v>
      </c>
      <c r="M631" s="31" t="str">
        <f t="shared" si="29"/>
        <v>OK</v>
      </c>
    </row>
    <row r="632" spans="1:13">
      <c r="A632" t="s">
        <v>1561</v>
      </c>
      <c r="B632" s="1">
        <v>45850</v>
      </c>
      <c r="C632" t="s">
        <v>115</v>
      </c>
      <c r="D632" t="s">
        <v>57</v>
      </c>
      <c r="E632" t="s">
        <v>82</v>
      </c>
      <c r="F632" t="s">
        <v>150</v>
      </c>
      <c r="G632">
        <v>5</v>
      </c>
      <c r="H632" s="32" t="str">
        <f t="shared" si="27"/>
        <v>OK</v>
      </c>
      <c r="I632" s="30">
        <v>6552.05</v>
      </c>
      <c r="J632" s="33" t="str">
        <f t="shared" si="28"/>
        <v>OK</v>
      </c>
      <c r="K632" s="30">
        <v>4626.84</v>
      </c>
      <c r="L632" t="s">
        <v>22</v>
      </c>
      <c r="M632" s="31" t="str">
        <f t="shared" si="29"/>
        <v>OK</v>
      </c>
    </row>
    <row r="633" spans="1:13">
      <c r="A633" t="s">
        <v>774</v>
      </c>
      <c r="B633" s="1">
        <v>45851</v>
      </c>
      <c r="C633" t="s">
        <v>105</v>
      </c>
      <c r="D633" t="s">
        <v>31</v>
      </c>
      <c r="E633" t="s">
        <v>82</v>
      </c>
      <c r="F633" t="s">
        <v>109</v>
      </c>
      <c r="G633">
        <v>7</v>
      </c>
      <c r="H633" s="32" t="str">
        <f t="shared" si="27"/>
        <v>OK</v>
      </c>
      <c r="I633" s="30">
        <v>689.78</v>
      </c>
      <c r="J633" s="33" t="str">
        <f t="shared" si="28"/>
        <v>OK</v>
      </c>
      <c r="K633" s="30">
        <v>418.28</v>
      </c>
      <c r="L633" t="s">
        <v>22</v>
      </c>
      <c r="M633" s="31" t="str">
        <f t="shared" si="29"/>
        <v>OK</v>
      </c>
    </row>
    <row r="634" spans="1:13">
      <c r="A634" t="s">
        <v>877</v>
      </c>
      <c r="B634" s="1">
        <v>45851</v>
      </c>
      <c r="C634" t="s">
        <v>56</v>
      </c>
      <c r="D634" t="s">
        <v>1617</v>
      </c>
      <c r="E634" t="s">
        <v>32</v>
      </c>
      <c r="F634" t="s">
        <v>1616</v>
      </c>
      <c r="G634">
        <v>6</v>
      </c>
      <c r="H634" s="32" t="str">
        <f t="shared" si="27"/>
        <v>OK</v>
      </c>
      <c r="I634" s="30">
        <v>1551.66</v>
      </c>
      <c r="J634" s="33" t="str">
        <f t="shared" si="28"/>
        <v>OK</v>
      </c>
      <c r="K634" s="30">
        <v>1313.35</v>
      </c>
      <c r="L634" t="s">
        <v>16</v>
      </c>
      <c r="M634" s="31" t="str">
        <f t="shared" si="29"/>
        <v>OK</v>
      </c>
    </row>
    <row r="635" spans="1:13">
      <c r="A635" t="s">
        <v>339</v>
      </c>
      <c r="B635" s="1">
        <v>45852</v>
      </c>
      <c r="C635" t="s">
        <v>135</v>
      </c>
      <c r="D635" t="s">
        <v>63</v>
      </c>
      <c r="E635" t="s">
        <v>20</v>
      </c>
      <c r="F635" t="s">
        <v>196</v>
      </c>
      <c r="G635">
        <v>6</v>
      </c>
      <c r="H635" s="32" t="str">
        <f t="shared" si="27"/>
        <v>OK</v>
      </c>
      <c r="I635" s="30">
        <v>3862.47</v>
      </c>
      <c r="J635" s="33" t="str">
        <f t="shared" si="28"/>
        <v>OK</v>
      </c>
      <c r="K635" s="30">
        <v>3223.81</v>
      </c>
      <c r="L635" t="s">
        <v>71</v>
      </c>
      <c r="M635" s="31" t="str">
        <f t="shared" si="29"/>
        <v>OK</v>
      </c>
    </row>
    <row r="636" spans="1:13">
      <c r="A636" t="s">
        <v>807</v>
      </c>
      <c r="B636" s="1">
        <v>45853</v>
      </c>
      <c r="C636" t="s">
        <v>30</v>
      </c>
      <c r="D636" t="s">
        <v>12</v>
      </c>
      <c r="E636" t="s">
        <v>82</v>
      </c>
      <c r="F636" t="s">
        <v>150</v>
      </c>
      <c r="G636">
        <v>6</v>
      </c>
      <c r="H636" s="32" t="str">
        <f t="shared" si="27"/>
        <v>OK</v>
      </c>
      <c r="I636" s="30">
        <v>3565.92</v>
      </c>
      <c r="J636" s="33" t="str">
        <f t="shared" si="28"/>
        <v>OK</v>
      </c>
      <c r="K636" s="30">
        <v>2880.81</v>
      </c>
      <c r="L636" t="s">
        <v>22</v>
      </c>
      <c r="M636" s="31" t="str">
        <f t="shared" si="29"/>
        <v>OK</v>
      </c>
    </row>
    <row r="637" spans="1:13">
      <c r="A637" t="s">
        <v>1174</v>
      </c>
      <c r="B637" s="1">
        <v>45853</v>
      </c>
      <c r="C637" t="s">
        <v>67</v>
      </c>
      <c r="D637" t="s">
        <v>12</v>
      </c>
      <c r="E637" t="s">
        <v>26</v>
      </c>
      <c r="F637" t="s">
        <v>106</v>
      </c>
      <c r="G637">
        <v>7</v>
      </c>
      <c r="H637" s="32" t="str">
        <f t="shared" si="27"/>
        <v>OK</v>
      </c>
      <c r="I637" s="30">
        <v>2877.45</v>
      </c>
      <c r="J637" s="33" t="str">
        <f t="shared" si="28"/>
        <v>OK</v>
      </c>
      <c r="K637" s="30">
        <v>1794.87</v>
      </c>
      <c r="L637" t="s">
        <v>16</v>
      </c>
      <c r="M637" s="31" t="str">
        <f t="shared" si="29"/>
        <v>OK</v>
      </c>
    </row>
    <row r="638" spans="1:13">
      <c r="A638" t="s">
        <v>1229</v>
      </c>
      <c r="B638" s="1">
        <v>45853</v>
      </c>
      <c r="C638" t="s">
        <v>135</v>
      </c>
      <c r="D638" t="s">
        <v>12</v>
      </c>
      <c r="E638" t="s">
        <v>26</v>
      </c>
      <c r="F638" t="s">
        <v>79</v>
      </c>
      <c r="G638">
        <v>6</v>
      </c>
      <c r="H638" s="32" t="str">
        <f t="shared" si="27"/>
        <v>OK</v>
      </c>
      <c r="I638" s="30">
        <v>602.12</v>
      </c>
      <c r="J638" s="33" t="str">
        <f t="shared" si="28"/>
        <v>OK</v>
      </c>
      <c r="K638" s="30">
        <v>377.63</v>
      </c>
      <c r="L638" t="s">
        <v>16</v>
      </c>
      <c r="M638" s="31" t="str">
        <f t="shared" si="29"/>
        <v>OK</v>
      </c>
    </row>
    <row r="639" spans="1:13">
      <c r="A639" t="s">
        <v>1427</v>
      </c>
      <c r="B639" s="1">
        <v>45853</v>
      </c>
      <c r="C639" t="s">
        <v>74</v>
      </c>
      <c r="D639" t="s">
        <v>19</v>
      </c>
      <c r="E639" t="s">
        <v>26</v>
      </c>
      <c r="F639" t="s">
        <v>103</v>
      </c>
      <c r="G639">
        <v>3</v>
      </c>
      <c r="H639" s="32" t="str">
        <f t="shared" si="27"/>
        <v>OK</v>
      </c>
      <c r="I639" s="30">
        <v>2335.12</v>
      </c>
      <c r="J639" s="33" t="str">
        <f t="shared" si="28"/>
        <v>OK</v>
      </c>
      <c r="K639" s="30">
        <v>1806.11</v>
      </c>
      <c r="L639" t="s">
        <v>16</v>
      </c>
      <c r="M639" s="31" t="str">
        <f t="shared" si="29"/>
        <v>OK</v>
      </c>
    </row>
    <row r="640" spans="1:13">
      <c r="A640" t="s">
        <v>1470</v>
      </c>
      <c r="B640" s="1">
        <v>45853</v>
      </c>
      <c r="C640" t="s">
        <v>105</v>
      </c>
      <c r="D640" t="s">
        <v>12</v>
      </c>
      <c r="E640" t="s">
        <v>82</v>
      </c>
      <c r="F640" t="s">
        <v>97</v>
      </c>
      <c r="G640">
        <v>2</v>
      </c>
      <c r="H640" s="32" t="str">
        <f t="shared" si="27"/>
        <v>OK</v>
      </c>
      <c r="I640" s="30">
        <v>3032.47</v>
      </c>
      <c r="J640" s="33" t="str">
        <f t="shared" si="28"/>
        <v>OK</v>
      </c>
      <c r="K640" s="30">
        <v>1846</v>
      </c>
      <c r="L640" t="s">
        <v>28</v>
      </c>
      <c r="M640" s="31" t="str">
        <f t="shared" si="29"/>
        <v>OK</v>
      </c>
    </row>
    <row r="641" spans="1:13">
      <c r="A641" t="s">
        <v>1550</v>
      </c>
      <c r="B641" s="1">
        <v>45853</v>
      </c>
      <c r="C641" t="s">
        <v>135</v>
      </c>
      <c r="D641" t="s">
        <v>57</v>
      </c>
      <c r="E641" t="s">
        <v>36</v>
      </c>
      <c r="F641" t="s">
        <v>42</v>
      </c>
      <c r="G641">
        <v>4</v>
      </c>
      <c r="H641" s="32" t="str">
        <f t="shared" si="27"/>
        <v>OK</v>
      </c>
      <c r="I641" s="30">
        <v>8036.4</v>
      </c>
      <c r="J641" s="33" t="str">
        <f t="shared" si="28"/>
        <v>OK</v>
      </c>
      <c r="K641" s="30">
        <v>5939.35</v>
      </c>
      <c r="L641" t="s">
        <v>28</v>
      </c>
      <c r="M641" s="31" t="str">
        <f t="shared" si="29"/>
        <v>OK</v>
      </c>
    </row>
    <row r="642" spans="1:13">
      <c r="A642" t="s">
        <v>1563</v>
      </c>
      <c r="B642" s="1">
        <v>45853</v>
      </c>
      <c r="C642" t="s">
        <v>74</v>
      </c>
      <c r="D642" t="s">
        <v>12</v>
      </c>
      <c r="E642" t="s">
        <v>32</v>
      </c>
      <c r="F642" t="s">
        <v>1616</v>
      </c>
      <c r="G642">
        <v>7</v>
      </c>
      <c r="H642" s="32" t="str">
        <f t="shared" ref="H642:H705" si="30">IF(G642="","Blank",IF(G642&lt;0,"Negative Quantity",IF(G642=0,"Zero Quantity",IF(G642&gt;0,"OK",""))))</f>
        <v>OK</v>
      </c>
      <c r="I642" s="30">
        <v>2473.35</v>
      </c>
      <c r="J642" s="33" t="str">
        <f t="shared" ref="J642:J705" si="31">IF(I642="","Missing Sales",IF(I642&lt;0,"Negative Sales","OK"))</f>
        <v>OK</v>
      </c>
      <c r="K642" s="30">
        <v>2007.1</v>
      </c>
      <c r="L642" t="s">
        <v>71</v>
      </c>
      <c r="M642" s="31" t="str">
        <f t="shared" ref="M642:M705" si="32">IF(OR(I642="",K642=""),"Missing Data",IF(I642&lt;K642,"Sales &lt; Cost","OK"))</f>
        <v>OK</v>
      </c>
    </row>
    <row r="643" spans="1:13">
      <c r="A643" t="s">
        <v>147</v>
      </c>
      <c r="B643" s="1">
        <v>45854</v>
      </c>
      <c r="C643" t="s">
        <v>30</v>
      </c>
      <c r="D643" t="s">
        <v>12</v>
      </c>
      <c r="E643" t="s">
        <v>32</v>
      </c>
      <c r="F643" t="s">
        <v>101</v>
      </c>
      <c r="G643">
        <v>3</v>
      </c>
      <c r="H643" s="32" t="str">
        <f t="shared" si="30"/>
        <v>OK</v>
      </c>
      <c r="I643" s="30">
        <v>611.61</v>
      </c>
      <c r="J643" s="33" t="str">
        <f t="shared" si="31"/>
        <v>OK</v>
      </c>
      <c r="K643" s="30">
        <v>530.21</v>
      </c>
      <c r="L643" t="s">
        <v>16</v>
      </c>
      <c r="M643" s="31" t="str">
        <f t="shared" si="32"/>
        <v>OK</v>
      </c>
    </row>
    <row r="644" spans="1:13">
      <c r="A644" t="s">
        <v>410</v>
      </c>
      <c r="B644" s="1">
        <v>45854</v>
      </c>
      <c r="C644" t="s">
        <v>67</v>
      </c>
      <c r="D644" t="s">
        <v>31</v>
      </c>
      <c r="E644" t="s">
        <v>36</v>
      </c>
      <c r="F644" t="s">
        <v>42</v>
      </c>
      <c r="G644">
        <v>7</v>
      </c>
      <c r="H644" s="32" t="str">
        <f t="shared" si="30"/>
        <v>OK</v>
      </c>
      <c r="I644" s="30">
        <v>11398.81</v>
      </c>
      <c r="J644" s="33" t="str">
        <f t="shared" si="31"/>
        <v>OK</v>
      </c>
      <c r="K644" s="30">
        <v>8229.16</v>
      </c>
      <c r="L644" t="s">
        <v>38</v>
      </c>
      <c r="M644" s="31" t="str">
        <f t="shared" si="32"/>
        <v>OK</v>
      </c>
    </row>
    <row r="645" spans="1:13">
      <c r="A645" t="s">
        <v>566</v>
      </c>
      <c r="B645" s="1">
        <v>45854</v>
      </c>
      <c r="C645" t="s">
        <v>67</v>
      </c>
      <c r="D645" t="s">
        <v>57</v>
      </c>
      <c r="E645" t="s">
        <v>20</v>
      </c>
      <c r="F645" t="s">
        <v>86</v>
      </c>
      <c r="G645">
        <v>3</v>
      </c>
      <c r="H645" s="32" t="str">
        <f t="shared" si="30"/>
        <v>OK</v>
      </c>
      <c r="I645" s="30">
        <v>4385.3100000000004</v>
      </c>
      <c r="J645" s="33" t="str">
        <f t="shared" si="31"/>
        <v>OK</v>
      </c>
      <c r="K645" s="30">
        <v>2504.87</v>
      </c>
      <c r="L645" t="s">
        <v>28</v>
      </c>
      <c r="M645" s="31" t="str">
        <f t="shared" si="32"/>
        <v>OK</v>
      </c>
    </row>
    <row r="646" spans="1:13">
      <c r="A646" t="s">
        <v>1140</v>
      </c>
      <c r="B646" s="1">
        <v>45854</v>
      </c>
      <c r="C646" t="s">
        <v>162</v>
      </c>
      <c r="D646" t="s">
        <v>12</v>
      </c>
      <c r="E646" t="s">
        <v>36</v>
      </c>
      <c r="F646" t="s">
        <v>1614</v>
      </c>
      <c r="G646">
        <v>3</v>
      </c>
      <c r="H646" s="32" t="str">
        <f t="shared" si="30"/>
        <v>OK</v>
      </c>
      <c r="I646" s="30">
        <v>8068.92</v>
      </c>
      <c r="J646" s="33" t="str">
        <f t="shared" si="31"/>
        <v>OK</v>
      </c>
      <c r="K646" s="30">
        <v>6149.12</v>
      </c>
      <c r="L646" t="s">
        <v>38</v>
      </c>
      <c r="M646" s="31" t="str">
        <f t="shared" si="32"/>
        <v>OK</v>
      </c>
    </row>
    <row r="647" spans="1:13">
      <c r="A647" t="s">
        <v>210</v>
      </c>
      <c r="B647" s="1">
        <v>45855</v>
      </c>
      <c r="C647" t="s">
        <v>135</v>
      </c>
      <c r="D647" t="s">
        <v>12</v>
      </c>
      <c r="E647" t="s">
        <v>36</v>
      </c>
      <c r="F647" t="s">
        <v>42</v>
      </c>
      <c r="G647">
        <v>5</v>
      </c>
      <c r="H647" s="32" t="str">
        <f t="shared" si="30"/>
        <v>OK</v>
      </c>
      <c r="I647" s="30">
        <v>11282.67</v>
      </c>
      <c r="J647" s="33" t="str">
        <f t="shared" si="31"/>
        <v>OK</v>
      </c>
      <c r="K647" s="30">
        <v>8856.23</v>
      </c>
      <c r="L647" t="s">
        <v>38</v>
      </c>
      <c r="M647" s="31" t="str">
        <f t="shared" si="32"/>
        <v>OK</v>
      </c>
    </row>
    <row r="648" spans="1:13">
      <c r="A648" t="s">
        <v>1393</v>
      </c>
      <c r="B648" s="1">
        <v>45855</v>
      </c>
      <c r="C648" t="s">
        <v>133</v>
      </c>
      <c r="D648" t="s">
        <v>63</v>
      </c>
      <c r="E648" t="s">
        <v>32</v>
      </c>
      <c r="F648" t="s">
        <v>101</v>
      </c>
      <c r="G648">
        <v>8</v>
      </c>
      <c r="H648" s="32" t="str">
        <f t="shared" si="30"/>
        <v>OK</v>
      </c>
      <c r="I648" s="30">
        <v>2039.77</v>
      </c>
      <c r="J648" s="33" t="str">
        <f t="shared" si="31"/>
        <v>OK</v>
      </c>
      <c r="K648" s="30">
        <v>1558.63</v>
      </c>
      <c r="L648" t="s">
        <v>71</v>
      </c>
      <c r="M648" s="31" t="str">
        <f t="shared" si="32"/>
        <v>OK</v>
      </c>
    </row>
    <row r="649" spans="1:13">
      <c r="A649" t="s">
        <v>447</v>
      </c>
      <c r="B649" s="1">
        <v>45856</v>
      </c>
      <c r="C649" t="s">
        <v>24</v>
      </c>
      <c r="D649" t="s">
        <v>31</v>
      </c>
      <c r="E649" t="s">
        <v>82</v>
      </c>
      <c r="F649" t="s">
        <v>137</v>
      </c>
      <c r="G649">
        <v>5</v>
      </c>
      <c r="H649" s="32" t="str">
        <f t="shared" si="30"/>
        <v>OK</v>
      </c>
      <c r="I649" s="30">
        <v>1586.78</v>
      </c>
      <c r="J649" s="33" t="str">
        <f t="shared" si="31"/>
        <v>OK</v>
      </c>
      <c r="K649" s="30">
        <v>1039.71</v>
      </c>
      <c r="L649" t="s">
        <v>71</v>
      </c>
      <c r="M649" s="31" t="str">
        <f t="shared" si="32"/>
        <v>OK</v>
      </c>
    </row>
    <row r="650" spans="1:13">
      <c r="A650" t="s">
        <v>703</v>
      </c>
      <c r="B650" s="1">
        <v>45856</v>
      </c>
      <c r="C650" t="s">
        <v>67</v>
      </c>
      <c r="D650" t="s">
        <v>12</v>
      </c>
      <c r="E650" t="s">
        <v>20</v>
      </c>
      <c r="F650" t="s">
        <v>86</v>
      </c>
      <c r="G650">
        <v>7</v>
      </c>
      <c r="H650" s="32" t="str">
        <f t="shared" si="30"/>
        <v>OK</v>
      </c>
      <c r="I650" s="30">
        <v>2067.15</v>
      </c>
      <c r="J650" s="33" t="str">
        <f t="shared" si="31"/>
        <v>OK</v>
      </c>
      <c r="K650" s="30">
        <v>1650.3</v>
      </c>
      <c r="L650" t="s">
        <v>71</v>
      </c>
      <c r="M650" s="31" t="str">
        <f t="shared" si="32"/>
        <v>OK</v>
      </c>
    </row>
    <row r="651" spans="1:13">
      <c r="A651" t="s">
        <v>972</v>
      </c>
      <c r="B651" s="1">
        <v>45856</v>
      </c>
      <c r="C651" t="s">
        <v>129</v>
      </c>
      <c r="D651" t="s">
        <v>1617</v>
      </c>
      <c r="E651" t="s">
        <v>32</v>
      </c>
      <c r="F651" t="s">
        <v>33</v>
      </c>
      <c r="G651">
        <v>8</v>
      </c>
      <c r="H651" s="32" t="str">
        <f t="shared" si="30"/>
        <v>OK</v>
      </c>
      <c r="I651" s="30">
        <v>817.5</v>
      </c>
      <c r="J651" s="33" t="str">
        <f t="shared" si="31"/>
        <v>OK</v>
      </c>
      <c r="K651" s="30">
        <v>611.58000000000004</v>
      </c>
      <c r="L651" t="s">
        <v>16</v>
      </c>
      <c r="M651" s="31" t="str">
        <f t="shared" si="32"/>
        <v>OK</v>
      </c>
    </row>
    <row r="652" spans="1:13">
      <c r="A652" t="s">
        <v>1033</v>
      </c>
      <c r="B652" s="1">
        <v>45856</v>
      </c>
      <c r="C652" t="s">
        <v>1617</v>
      </c>
      <c r="D652" t="s">
        <v>19</v>
      </c>
      <c r="E652" t="s">
        <v>20</v>
      </c>
      <c r="F652" t="s">
        <v>196</v>
      </c>
      <c r="G652">
        <v>7</v>
      </c>
      <c r="H652" s="32" t="str">
        <f t="shared" si="30"/>
        <v>OK</v>
      </c>
      <c r="I652" s="30">
        <v>3780.34</v>
      </c>
      <c r="J652" s="33" t="str">
        <f t="shared" si="31"/>
        <v>OK</v>
      </c>
      <c r="K652" s="30">
        <v>2796.26</v>
      </c>
      <c r="L652" t="s">
        <v>28</v>
      </c>
      <c r="M652" s="31" t="str">
        <f t="shared" si="32"/>
        <v>OK</v>
      </c>
    </row>
    <row r="653" spans="1:13">
      <c r="A653" t="s">
        <v>1570</v>
      </c>
      <c r="B653" s="1">
        <v>45856</v>
      </c>
      <c r="C653" t="s">
        <v>24</v>
      </c>
      <c r="D653" t="s">
        <v>31</v>
      </c>
      <c r="E653" t="s">
        <v>32</v>
      </c>
      <c r="F653" t="s">
        <v>52</v>
      </c>
      <c r="G653">
        <v>6</v>
      </c>
      <c r="H653" s="32" t="str">
        <f t="shared" si="30"/>
        <v>OK</v>
      </c>
      <c r="I653" s="30">
        <v>513.73</v>
      </c>
      <c r="J653" s="33" t="str">
        <f t="shared" si="31"/>
        <v>OK</v>
      </c>
      <c r="K653" s="30">
        <v>404.58</v>
      </c>
      <c r="L653" t="s">
        <v>22</v>
      </c>
      <c r="M653" s="31" t="str">
        <f t="shared" si="32"/>
        <v>OK</v>
      </c>
    </row>
    <row r="654" spans="1:13">
      <c r="A654" t="s">
        <v>1128</v>
      </c>
      <c r="B654" s="1">
        <v>45857</v>
      </c>
      <c r="C654" t="s">
        <v>220</v>
      </c>
      <c r="D654" t="s">
        <v>19</v>
      </c>
      <c r="E654" t="s">
        <v>26</v>
      </c>
      <c r="F654" t="s">
        <v>79</v>
      </c>
      <c r="G654">
        <v>4</v>
      </c>
      <c r="H654" s="32" t="str">
        <f t="shared" si="30"/>
        <v>OK</v>
      </c>
      <c r="I654" s="30">
        <v>3290.38</v>
      </c>
      <c r="J654" s="33" t="str">
        <f t="shared" si="31"/>
        <v>OK</v>
      </c>
      <c r="K654" s="30">
        <v>2046.43</v>
      </c>
      <c r="L654" t="s">
        <v>16</v>
      </c>
      <c r="M654" s="31" t="str">
        <f t="shared" si="32"/>
        <v>OK</v>
      </c>
    </row>
    <row r="655" spans="1:13">
      <c r="A655" t="s">
        <v>275</v>
      </c>
      <c r="B655" s="1">
        <v>45858</v>
      </c>
      <c r="C655" t="s">
        <v>18</v>
      </c>
      <c r="D655" t="s">
        <v>63</v>
      </c>
      <c r="E655" t="s">
        <v>36</v>
      </c>
      <c r="F655" t="s">
        <v>37</v>
      </c>
      <c r="G655">
        <v>3</v>
      </c>
      <c r="H655" s="32" t="str">
        <f t="shared" si="30"/>
        <v>OK</v>
      </c>
      <c r="I655" s="30">
        <v>5831.17</v>
      </c>
      <c r="J655" s="33" t="str">
        <f t="shared" si="31"/>
        <v>OK</v>
      </c>
      <c r="K655" s="30">
        <v>5047.97</v>
      </c>
      <c r="L655" t="s">
        <v>16</v>
      </c>
      <c r="M655" s="31" t="str">
        <f t="shared" si="32"/>
        <v>OK</v>
      </c>
    </row>
    <row r="656" spans="1:13">
      <c r="A656" t="s">
        <v>564</v>
      </c>
      <c r="B656" s="1">
        <v>45858</v>
      </c>
      <c r="C656" t="s">
        <v>108</v>
      </c>
      <c r="D656" t="s">
        <v>31</v>
      </c>
      <c r="E656" t="s">
        <v>26</v>
      </c>
      <c r="F656" t="s">
        <v>350</v>
      </c>
      <c r="G656">
        <v>3</v>
      </c>
      <c r="H656" s="32" t="str">
        <f t="shared" si="30"/>
        <v>OK</v>
      </c>
      <c r="I656" s="30">
        <v>2523.75</v>
      </c>
      <c r="J656" s="33" t="str">
        <f t="shared" si="31"/>
        <v>OK</v>
      </c>
      <c r="K656" s="30">
        <v>1942.05</v>
      </c>
      <c r="L656" t="s">
        <v>22</v>
      </c>
      <c r="M656" s="31" t="str">
        <f t="shared" si="32"/>
        <v>OK</v>
      </c>
    </row>
    <row r="657" spans="1:13">
      <c r="A657" t="s">
        <v>1365</v>
      </c>
      <c r="B657" s="1">
        <v>45858</v>
      </c>
      <c r="C657" t="s">
        <v>119</v>
      </c>
      <c r="D657" t="s">
        <v>57</v>
      </c>
      <c r="E657" t="s">
        <v>36</v>
      </c>
      <c r="F657" t="s">
        <v>1614</v>
      </c>
      <c r="G657">
        <v>2</v>
      </c>
      <c r="H657" s="32" t="str">
        <f t="shared" si="30"/>
        <v>OK</v>
      </c>
      <c r="I657" s="30">
        <v>10188.58</v>
      </c>
      <c r="J657" s="33" t="str">
        <f t="shared" si="31"/>
        <v>OK</v>
      </c>
      <c r="K657" s="30">
        <v>6214.31</v>
      </c>
      <c r="L657" t="s">
        <v>22</v>
      </c>
      <c r="M657" s="31" t="str">
        <f t="shared" si="32"/>
        <v>OK</v>
      </c>
    </row>
    <row r="658" spans="1:13">
      <c r="A658" t="s">
        <v>152</v>
      </c>
      <c r="B658" s="1">
        <v>45859</v>
      </c>
      <c r="C658" t="s">
        <v>115</v>
      </c>
      <c r="D658" t="s">
        <v>31</v>
      </c>
      <c r="E658" t="s">
        <v>20</v>
      </c>
      <c r="F658" t="s">
        <v>91</v>
      </c>
      <c r="G658">
        <v>2</v>
      </c>
      <c r="H658" s="32" t="str">
        <f t="shared" si="30"/>
        <v>OK</v>
      </c>
      <c r="I658" s="30">
        <v>3755.43</v>
      </c>
      <c r="J658" s="33" t="str">
        <f t="shared" si="31"/>
        <v>OK</v>
      </c>
      <c r="K658" s="30">
        <v>2142.67</v>
      </c>
      <c r="L658" t="s">
        <v>71</v>
      </c>
      <c r="M658" s="31" t="str">
        <f t="shared" si="32"/>
        <v>OK</v>
      </c>
    </row>
    <row r="659" spans="1:13">
      <c r="A659" t="s">
        <v>291</v>
      </c>
      <c r="B659" s="1">
        <v>45859</v>
      </c>
      <c r="C659" t="s">
        <v>220</v>
      </c>
      <c r="D659" t="s">
        <v>31</v>
      </c>
      <c r="E659" t="s">
        <v>82</v>
      </c>
      <c r="F659" t="s">
        <v>109</v>
      </c>
      <c r="G659">
        <v>7</v>
      </c>
      <c r="H659" s="32" t="str">
        <f t="shared" si="30"/>
        <v>OK</v>
      </c>
      <c r="I659" s="30">
        <v>2534.84</v>
      </c>
      <c r="J659" s="33" t="str">
        <f t="shared" si="31"/>
        <v>OK</v>
      </c>
      <c r="K659" s="30">
        <v>1415</v>
      </c>
      <c r="L659" t="s">
        <v>28</v>
      </c>
      <c r="M659" s="31" t="str">
        <f t="shared" si="32"/>
        <v>OK</v>
      </c>
    </row>
    <row r="660" spans="1:13">
      <c r="A660" t="s">
        <v>1185</v>
      </c>
      <c r="B660" s="1">
        <v>45859</v>
      </c>
      <c r="C660" t="s">
        <v>30</v>
      </c>
      <c r="D660" t="s">
        <v>19</v>
      </c>
      <c r="E660" t="s">
        <v>26</v>
      </c>
      <c r="F660" t="s">
        <v>350</v>
      </c>
      <c r="G660">
        <v>6</v>
      </c>
      <c r="H660" s="32" t="str">
        <f t="shared" si="30"/>
        <v>OK</v>
      </c>
      <c r="I660" s="30">
        <v>1283.69</v>
      </c>
      <c r="J660" s="33" t="str">
        <f t="shared" si="31"/>
        <v>OK</v>
      </c>
      <c r="K660" s="30">
        <v>821.23</v>
      </c>
      <c r="L660" t="s">
        <v>1617</v>
      </c>
      <c r="M660" s="31" t="str">
        <f t="shared" si="32"/>
        <v>OK</v>
      </c>
    </row>
    <row r="661" spans="1:13">
      <c r="A661" t="s">
        <v>596</v>
      </c>
      <c r="B661" s="1">
        <v>45860</v>
      </c>
      <c r="C661" t="s">
        <v>18</v>
      </c>
      <c r="D661" t="s">
        <v>12</v>
      </c>
      <c r="E661" t="s">
        <v>20</v>
      </c>
      <c r="F661" t="s">
        <v>91</v>
      </c>
      <c r="G661">
        <v>2</v>
      </c>
      <c r="H661" s="32" t="str">
        <f t="shared" si="30"/>
        <v>OK</v>
      </c>
      <c r="J661" s="33" t="str">
        <f t="shared" si="31"/>
        <v>Missing Sales</v>
      </c>
      <c r="K661" s="30">
        <v>3898.95</v>
      </c>
      <c r="L661" t="s">
        <v>28</v>
      </c>
      <c r="M661" s="31" t="str">
        <f t="shared" si="32"/>
        <v>Missing Data</v>
      </c>
    </row>
    <row r="662" spans="1:13">
      <c r="A662" t="s">
        <v>671</v>
      </c>
      <c r="B662" s="1">
        <v>45860</v>
      </c>
      <c r="C662" t="s">
        <v>108</v>
      </c>
      <c r="D662" t="s">
        <v>31</v>
      </c>
      <c r="E662" t="s">
        <v>26</v>
      </c>
      <c r="F662" t="s">
        <v>27</v>
      </c>
      <c r="G662">
        <v>1</v>
      </c>
      <c r="H662" s="32" t="str">
        <f t="shared" si="30"/>
        <v>OK</v>
      </c>
      <c r="I662" s="30">
        <v>1109.49</v>
      </c>
      <c r="J662" s="33" t="str">
        <f t="shared" si="31"/>
        <v>OK</v>
      </c>
      <c r="K662" s="30">
        <v>655.47</v>
      </c>
      <c r="L662" t="s">
        <v>22</v>
      </c>
      <c r="M662" s="31" t="str">
        <f t="shared" si="32"/>
        <v>OK</v>
      </c>
    </row>
    <row r="663" spans="1:13">
      <c r="A663" t="s">
        <v>882</v>
      </c>
      <c r="B663" s="1">
        <v>45860</v>
      </c>
      <c r="C663" t="s">
        <v>67</v>
      </c>
      <c r="D663" t="s">
        <v>12</v>
      </c>
      <c r="E663" t="s">
        <v>20</v>
      </c>
      <c r="F663" t="s">
        <v>21</v>
      </c>
      <c r="G663">
        <v>1</v>
      </c>
      <c r="H663" s="32" t="str">
        <f t="shared" si="30"/>
        <v>OK</v>
      </c>
      <c r="I663" s="30">
        <v>4224.51</v>
      </c>
      <c r="J663" s="33" t="str">
        <f t="shared" si="31"/>
        <v>OK</v>
      </c>
      <c r="K663" s="30">
        <v>2686.18</v>
      </c>
      <c r="L663" t="s">
        <v>71</v>
      </c>
      <c r="M663" s="31" t="str">
        <f t="shared" si="32"/>
        <v>OK</v>
      </c>
    </row>
    <row r="664" spans="1:13">
      <c r="A664" t="s">
        <v>1504</v>
      </c>
      <c r="B664" s="1">
        <v>45860</v>
      </c>
      <c r="C664" t="s">
        <v>135</v>
      </c>
      <c r="D664" t="s">
        <v>12</v>
      </c>
      <c r="E664" t="s">
        <v>20</v>
      </c>
      <c r="F664" t="s">
        <v>14</v>
      </c>
      <c r="G664">
        <v>5</v>
      </c>
      <c r="H664" s="32" t="str">
        <f t="shared" si="30"/>
        <v>OK</v>
      </c>
      <c r="I664" s="30">
        <v>4492.9399999999996</v>
      </c>
      <c r="J664" s="33" t="str">
        <f t="shared" si="31"/>
        <v>OK</v>
      </c>
      <c r="K664" s="30">
        <v>3590.88</v>
      </c>
      <c r="L664" t="s">
        <v>28</v>
      </c>
      <c r="M664" s="31" t="str">
        <f t="shared" si="32"/>
        <v>OK</v>
      </c>
    </row>
    <row r="665" spans="1:13">
      <c r="A665" t="s">
        <v>227</v>
      </c>
      <c r="B665" s="1">
        <v>45861</v>
      </c>
      <c r="C665" t="s">
        <v>11</v>
      </c>
      <c r="D665" t="s">
        <v>63</v>
      </c>
      <c r="E665" t="s">
        <v>36</v>
      </c>
      <c r="F665" t="s">
        <v>1614</v>
      </c>
      <c r="G665">
        <v>7</v>
      </c>
      <c r="H665" s="32" t="str">
        <f t="shared" si="30"/>
        <v>OK</v>
      </c>
      <c r="I665" s="30">
        <v>3768.8</v>
      </c>
      <c r="J665" s="33" t="str">
        <f t="shared" si="31"/>
        <v>OK</v>
      </c>
      <c r="K665" s="30">
        <v>2621.78</v>
      </c>
      <c r="L665" t="s">
        <v>38</v>
      </c>
      <c r="M665" s="31" t="str">
        <f t="shared" si="32"/>
        <v>OK</v>
      </c>
    </row>
    <row r="666" spans="1:13">
      <c r="A666" t="s">
        <v>336</v>
      </c>
      <c r="B666" s="1">
        <v>45861</v>
      </c>
      <c r="C666" t="s">
        <v>133</v>
      </c>
      <c r="D666" t="s">
        <v>19</v>
      </c>
      <c r="E666" t="s">
        <v>32</v>
      </c>
      <c r="F666" t="s">
        <v>52</v>
      </c>
      <c r="G666">
        <v>1</v>
      </c>
      <c r="H666" s="32" t="str">
        <f t="shared" si="30"/>
        <v>OK</v>
      </c>
      <c r="I666" s="30">
        <v>224.7</v>
      </c>
      <c r="J666" s="33" t="str">
        <f t="shared" si="31"/>
        <v>OK</v>
      </c>
      <c r="K666" s="30">
        <v>132.09</v>
      </c>
      <c r="L666" t="s">
        <v>71</v>
      </c>
      <c r="M666" s="31" t="str">
        <f t="shared" si="32"/>
        <v>OK</v>
      </c>
    </row>
    <row r="667" spans="1:13">
      <c r="A667" t="s">
        <v>930</v>
      </c>
      <c r="B667" s="1">
        <v>45861</v>
      </c>
      <c r="C667" t="s">
        <v>124</v>
      </c>
      <c r="D667" t="s">
        <v>31</v>
      </c>
      <c r="E667" t="s">
        <v>26</v>
      </c>
      <c r="F667" t="s">
        <v>131</v>
      </c>
      <c r="G667">
        <v>4</v>
      </c>
      <c r="H667" s="32" t="str">
        <f t="shared" si="30"/>
        <v>OK</v>
      </c>
      <c r="I667" s="30">
        <v>1592.99</v>
      </c>
      <c r="J667" s="33" t="str">
        <f t="shared" si="31"/>
        <v>OK</v>
      </c>
      <c r="K667" s="30">
        <v>1288.17</v>
      </c>
      <c r="L667" t="s">
        <v>28</v>
      </c>
      <c r="M667" s="31" t="str">
        <f t="shared" si="32"/>
        <v>OK</v>
      </c>
    </row>
    <row r="668" spans="1:13">
      <c r="A668" t="s">
        <v>968</v>
      </c>
      <c r="B668" s="1">
        <v>45861</v>
      </c>
      <c r="C668" t="s">
        <v>74</v>
      </c>
      <c r="D668" t="s">
        <v>31</v>
      </c>
      <c r="E668" t="s">
        <v>82</v>
      </c>
      <c r="F668" t="s">
        <v>97</v>
      </c>
      <c r="G668">
        <v>6</v>
      </c>
      <c r="H668" s="32" t="str">
        <f t="shared" si="30"/>
        <v>OK</v>
      </c>
      <c r="I668" s="30">
        <v>595.53</v>
      </c>
      <c r="J668" s="33" t="str">
        <f t="shared" si="31"/>
        <v>OK</v>
      </c>
      <c r="K668" s="30">
        <v>381.26</v>
      </c>
      <c r="L668" t="s">
        <v>28</v>
      </c>
      <c r="M668" s="31" t="str">
        <f t="shared" si="32"/>
        <v>OK</v>
      </c>
    </row>
    <row r="669" spans="1:13">
      <c r="A669" t="s">
        <v>1317</v>
      </c>
      <c r="B669" s="1">
        <v>45861</v>
      </c>
      <c r="C669" t="s">
        <v>56</v>
      </c>
      <c r="D669" t="s">
        <v>57</v>
      </c>
      <c r="E669" t="s">
        <v>82</v>
      </c>
      <c r="F669" t="s">
        <v>137</v>
      </c>
      <c r="G669">
        <v>6</v>
      </c>
      <c r="H669" s="32" t="str">
        <f t="shared" si="30"/>
        <v>OK</v>
      </c>
      <c r="I669" s="30">
        <v>4687.1000000000004</v>
      </c>
      <c r="J669" s="33" t="str">
        <f t="shared" si="31"/>
        <v>OK</v>
      </c>
      <c r="K669" s="30">
        <v>2963.99</v>
      </c>
      <c r="L669" t="s">
        <v>16</v>
      </c>
      <c r="M669" s="31" t="str">
        <f t="shared" si="32"/>
        <v>OK</v>
      </c>
    </row>
    <row r="670" spans="1:13">
      <c r="A670" t="s">
        <v>1518</v>
      </c>
      <c r="B670" s="1">
        <v>45861</v>
      </c>
      <c r="C670" t="s">
        <v>119</v>
      </c>
      <c r="D670" t="s">
        <v>12</v>
      </c>
      <c r="E670" t="s">
        <v>26</v>
      </c>
      <c r="F670" t="s">
        <v>27</v>
      </c>
      <c r="G670">
        <v>1</v>
      </c>
      <c r="H670" s="32" t="str">
        <f t="shared" si="30"/>
        <v>OK</v>
      </c>
      <c r="I670" s="30">
        <v>1667.71</v>
      </c>
      <c r="J670" s="33" t="str">
        <f t="shared" si="31"/>
        <v>OK</v>
      </c>
      <c r="K670" s="30">
        <v>1170.26</v>
      </c>
      <c r="L670" t="s">
        <v>16</v>
      </c>
      <c r="M670" s="31" t="str">
        <f t="shared" si="32"/>
        <v>OK</v>
      </c>
    </row>
    <row r="671" spans="1:13">
      <c r="A671" t="s">
        <v>1560</v>
      </c>
      <c r="B671" s="1">
        <v>45861</v>
      </c>
      <c r="C671" t="s">
        <v>30</v>
      </c>
      <c r="D671" t="s">
        <v>12</v>
      </c>
      <c r="E671" t="s">
        <v>36</v>
      </c>
      <c r="F671" t="s">
        <v>46</v>
      </c>
      <c r="G671">
        <v>8</v>
      </c>
      <c r="H671" s="32" t="str">
        <f t="shared" si="30"/>
        <v>OK</v>
      </c>
      <c r="I671" s="30">
        <v>6075.99</v>
      </c>
      <c r="J671" s="33" t="str">
        <f t="shared" si="31"/>
        <v>OK</v>
      </c>
      <c r="K671" s="30">
        <v>4537.13</v>
      </c>
      <c r="L671" t="s">
        <v>71</v>
      </c>
      <c r="M671" s="31" t="str">
        <f t="shared" si="32"/>
        <v>OK</v>
      </c>
    </row>
    <row r="672" spans="1:13">
      <c r="A672" t="s">
        <v>804</v>
      </c>
      <c r="B672" s="1">
        <v>45862</v>
      </c>
      <c r="C672" t="s">
        <v>85</v>
      </c>
      <c r="D672" t="s">
        <v>12</v>
      </c>
      <c r="E672" t="s">
        <v>20</v>
      </c>
      <c r="F672" t="s">
        <v>21</v>
      </c>
      <c r="G672">
        <v>7</v>
      </c>
      <c r="H672" s="32" t="str">
        <f t="shared" si="30"/>
        <v>OK</v>
      </c>
      <c r="I672" s="30">
        <v>1222.8</v>
      </c>
      <c r="J672" s="33" t="str">
        <f t="shared" si="31"/>
        <v>OK</v>
      </c>
      <c r="K672" s="30">
        <v>1058.99</v>
      </c>
      <c r="L672" t="s">
        <v>16</v>
      </c>
      <c r="M672" s="31" t="str">
        <f t="shared" si="32"/>
        <v>OK</v>
      </c>
    </row>
    <row r="673" spans="1:13">
      <c r="A673" t="s">
        <v>616</v>
      </c>
      <c r="B673" s="1">
        <v>45863</v>
      </c>
      <c r="C673" t="s">
        <v>11</v>
      </c>
      <c r="D673" t="s">
        <v>12</v>
      </c>
      <c r="E673" t="s">
        <v>20</v>
      </c>
      <c r="F673" t="s">
        <v>14</v>
      </c>
      <c r="G673">
        <v>7</v>
      </c>
      <c r="H673" s="32" t="str">
        <f t="shared" si="30"/>
        <v>OK</v>
      </c>
      <c r="I673" s="30">
        <v>3802.16</v>
      </c>
      <c r="J673" s="33" t="str">
        <f t="shared" si="31"/>
        <v>OK</v>
      </c>
      <c r="K673" s="30">
        <v>2278.46</v>
      </c>
      <c r="L673" t="s">
        <v>1617</v>
      </c>
      <c r="M673" s="31" t="str">
        <f t="shared" si="32"/>
        <v>OK</v>
      </c>
    </row>
    <row r="674" spans="1:13">
      <c r="A674" t="s">
        <v>1343</v>
      </c>
      <c r="B674" s="1">
        <v>45863</v>
      </c>
      <c r="C674" t="s">
        <v>67</v>
      </c>
      <c r="D674" t="s">
        <v>12</v>
      </c>
      <c r="E674" t="s">
        <v>26</v>
      </c>
      <c r="F674" t="s">
        <v>350</v>
      </c>
      <c r="G674">
        <v>3</v>
      </c>
      <c r="H674" s="32" t="str">
        <f t="shared" si="30"/>
        <v>OK</v>
      </c>
      <c r="I674" s="30">
        <v>1660.73</v>
      </c>
      <c r="J674" s="33" t="str">
        <f t="shared" si="31"/>
        <v>OK</v>
      </c>
      <c r="K674" s="30">
        <v>1128.93</v>
      </c>
      <c r="L674" t="s">
        <v>16</v>
      </c>
      <c r="M674" s="31" t="str">
        <f t="shared" si="32"/>
        <v>OK</v>
      </c>
    </row>
    <row r="675" spans="1:13">
      <c r="A675" t="s">
        <v>1441</v>
      </c>
      <c r="B675" s="1">
        <v>45864</v>
      </c>
      <c r="C675" t="s">
        <v>175</v>
      </c>
      <c r="D675" t="s">
        <v>63</v>
      </c>
      <c r="E675" t="s">
        <v>32</v>
      </c>
      <c r="F675" t="s">
        <v>33</v>
      </c>
      <c r="G675">
        <v>2</v>
      </c>
      <c r="H675" s="32" t="str">
        <f t="shared" si="30"/>
        <v>OK</v>
      </c>
      <c r="I675" s="30">
        <v>1442.3</v>
      </c>
      <c r="J675" s="33" t="str">
        <f t="shared" si="31"/>
        <v>OK</v>
      </c>
      <c r="K675" s="30">
        <v>794.84</v>
      </c>
      <c r="L675" t="s">
        <v>28</v>
      </c>
      <c r="M675" s="31" t="str">
        <f t="shared" si="32"/>
        <v>OK</v>
      </c>
    </row>
    <row r="676" spans="1:13">
      <c r="A676" t="s">
        <v>144</v>
      </c>
      <c r="B676" s="1">
        <v>45865</v>
      </c>
      <c r="C676" t="s">
        <v>51</v>
      </c>
      <c r="D676" t="s">
        <v>19</v>
      </c>
      <c r="E676" t="s">
        <v>36</v>
      </c>
      <c r="F676" t="s">
        <v>37</v>
      </c>
      <c r="G676">
        <v>8</v>
      </c>
      <c r="H676" s="32" t="str">
        <f t="shared" si="30"/>
        <v>OK</v>
      </c>
      <c r="I676" s="30">
        <v>14041.66</v>
      </c>
      <c r="J676" s="33" t="str">
        <f t="shared" si="31"/>
        <v>OK</v>
      </c>
      <c r="K676" s="30">
        <v>12114.73</v>
      </c>
      <c r="L676" t="s">
        <v>22</v>
      </c>
      <c r="M676" s="31" t="str">
        <f t="shared" si="32"/>
        <v>OK</v>
      </c>
    </row>
    <row r="677" spans="1:13">
      <c r="A677" t="s">
        <v>206</v>
      </c>
      <c r="B677" s="1">
        <v>45865</v>
      </c>
      <c r="C677" t="s">
        <v>35</v>
      </c>
      <c r="D677" t="s">
        <v>12</v>
      </c>
      <c r="E677" t="s">
        <v>82</v>
      </c>
      <c r="F677" t="s">
        <v>97</v>
      </c>
      <c r="G677">
        <v>4</v>
      </c>
      <c r="H677" s="32" t="str">
        <f t="shared" si="30"/>
        <v>OK</v>
      </c>
      <c r="I677" s="30">
        <v>6381.6</v>
      </c>
      <c r="J677" s="33" t="str">
        <f t="shared" si="31"/>
        <v>OK</v>
      </c>
      <c r="K677" s="30">
        <v>4671.5</v>
      </c>
      <c r="L677" t="s">
        <v>38</v>
      </c>
      <c r="M677" s="31" t="str">
        <f t="shared" si="32"/>
        <v>OK</v>
      </c>
    </row>
    <row r="678" spans="1:13">
      <c r="A678" t="s">
        <v>915</v>
      </c>
      <c r="B678" s="1">
        <v>45865</v>
      </c>
      <c r="C678" t="s">
        <v>67</v>
      </c>
      <c r="D678" t="s">
        <v>12</v>
      </c>
      <c r="E678" t="s">
        <v>82</v>
      </c>
      <c r="F678" t="s">
        <v>109</v>
      </c>
      <c r="G678">
        <v>1</v>
      </c>
      <c r="H678" s="32" t="str">
        <f t="shared" si="30"/>
        <v>OK</v>
      </c>
      <c r="I678" s="30">
        <v>2999.06</v>
      </c>
      <c r="J678" s="33" t="str">
        <f t="shared" si="31"/>
        <v>OK</v>
      </c>
      <c r="K678" s="30">
        <v>2458.52</v>
      </c>
      <c r="L678" t="s">
        <v>38</v>
      </c>
      <c r="M678" s="31" t="str">
        <f t="shared" si="32"/>
        <v>OK</v>
      </c>
    </row>
    <row r="679" spans="1:13">
      <c r="A679" t="s">
        <v>1322</v>
      </c>
      <c r="B679" s="1">
        <v>45865</v>
      </c>
      <c r="C679" t="s">
        <v>51</v>
      </c>
      <c r="D679" t="s">
        <v>63</v>
      </c>
      <c r="E679" t="s">
        <v>32</v>
      </c>
      <c r="F679" t="s">
        <v>52</v>
      </c>
      <c r="G679">
        <v>3</v>
      </c>
      <c r="H679" s="32" t="str">
        <f t="shared" si="30"/>
        <v>OK</v>
      </c>
      <c r="I679" s="30">
        <v>628.69000000000005</v>
      </c>
      <c r="J679" s="33" t="str">
        <f t="shared" si="31"/>
        <v>OK</v>
      </c>
      <c r="K679" s="30">
        <v>482.15</v>
      </c>
      <c r="L679" t="s">
        <v>28</v>
      </c>
      <c r="M679" s="31" t="str">
        <f t="shared" si="32"/>
        <v>OK</v>
      </c>
    </row>
    <row r="680" spans="1:13">
      <c r="A680" t="s">
        <v>1521</v>
      </c>
      <c r="B680" s="1">
        <v>45865</v>
      </c>
      <c r="C680" t="s">
        <v>11</v>
      </c>
      <c r="D680" t="s">
        <v>63</v>
      </c>
      <c r="E680" t="s">
        <v>36</v>
      </c>
      <c r="F680" t="s">
        <v>1614</v>
      </c>
      <c r="G680">
        <v>8</v>
      </c>
      <c r="H680" s="32" t="str">
        <f t="shared" si="30"/>
        <v>OK</v>
      </c>
      <c r="I680" s="30">
        <v>10561.54</v>
      </c>
      <c r="J680" s="33" t="str">
        <f t="shared" si="31"/>
        <v>OK</v>
      </c>
      <c r="K680" s="30">
        <v>9260.11</v>
      </c>
      <c r="L680" t="s">
        <v>71</v>
      </c>
      <c r="M680" s="31" t="str">
        <f t="shared" si="32"/>
        <v>OK</v>
      </c>
    </row>
    <row r="681" spans="1:13">
      <c r="A681" t="s">
        <v>102</v>
      </c>
      <c r="B681" s="1">
        <v>45866</v>
      </c>
      <c r="C681" t="s">
        <v>56</v>
      </c>
      <c r="D681" t="s">
        <v>12</v>
      </c>
      <c r="E681" t="s">
        <v>26</v>
      </c>
      <c r="F681" t="s">
        <v>103</v>
      </c>
      <c r="G681">
        <v>2</v>
      </c>
      <c r="H681" s="32" t="str">
        <f t="shared" si="30"/>
        <v>OK</v>
      </c>
      <c r="I681" s="30">
        <v>2065.5500000000002</v>
      </c>
      <c r="J681" s="33" t="str">
        <f t="shared" si="31"/>
        <v>OK</v>
      </c>
      <c r="K681" s="30">
        <v>1479.03</v>
      </c>
      <c r="L681" t="s">
        <v>22</v>
      </c>
      <c r="M681" s="31" t="str">
        <f t="shared" si="32"/>
        <v>OK</v>
      </c>
    </row>
    <row r="682" spans="1:13">
      <c r="A682" t="s">
        <v>947</v>
      </c>
      <c r="B682" s="1">
        <v>45866</v>
      </c>
      <c r="C682" t="s">
        <v>259</v>
      </c>
      <c r="D682" t="s">
        <v>57</v>
      </c>
      <c r="E682" t="s">
        <v>82</v>
      </c>
      <c r="F682" t="s">
        <v>109</v>
      </c>
      <c r="G682">
        <v>2</v>
      </c>
      <c r="H682" s="32" t="str">
        <f t="shared" si="30"/>
        <v>OK</v>
      </c>
      <c r="I682" s="30">
        <v>5425.3</v>
      </c>
      <c r="J682" s="33" t="str">
        <f t="shared" si="31"/>
        <v>OK</v>
      </c>
      <c r="K682" s="30">
        <v>3546.59</v>
      </c>
      <c r="L682" t="s">
        <v>28</v>
      </c>
      <c r="M682" s="31" t="str">
        <f t="shared" si="32"/>
        <v>OK</v>
      </c>
    </row>
    <row r="683" spans="1:13">
      <c r="A683" t="s">
        <v>1166</v>
      </c>
      <c r="B683" s="1">
        <v>45866</v>
      </c>
      <c r="C683" t="s">
        <v>121</v>
      </c>
      <c r="D683" t="s">
        <v>12</v>
      </c>
      <c r="E683" t="s">
        <v>36</v>
      </c>
      <c r="F683" t="s">
        <v>1614</v>
      </c>
      <c r="G683">
        <v>6</v>
      </c>
      <c r="H683" s="32" t="str">
        <f t="shared" si="30"/>
        <v>OK</v>
      </c>
      <c r="I683" s="30">
        <v>15353.7</v>
      </c>
      <c r="J683" s="33" t="str">
        <f t="shared" si="31"/>
        <v>OK</v>
      </c>
      <c r="K683" s="30">
        <v>11660.26</v>
      </c>
      <c r="L683" t="s">
        <v>16</v>
      </c>
      <c r="M683" s="31" t="str">
        <f t="shared" si="32"/>
        <v>OK</v>
      </c>
    </row>
    <row r="684" spans="1:13">
      <c r="A684" t="s">
        <v>1264</v>
      </c>
      <c r="B684" s="1">
        <v>45866</v>
      </c>
      <c r="C684" t="s">
        <v>56</v>
      </c>
      <c r="D684" t="s">
        <v>63</v>
      </c>
      <c r="E684" t="s">
        <v>20</v>
      </c>
      <c r="F684" t="s">
        <v>191</v>
      </c>
      <c r="G684">
        <v>4</v>
      </c>
      <c r="H684" s="32" t="str">
        <f t="shared" si="30"/>
        <v>OK</v>
      </c>
      <c r="I684" s="30">
        <v>1018.79</v>
      </c>
      <c r="J684" s="33" t="str">
        <f t="shared" si="31"/>
        <v>OK</v>
      </c>
      <c r="K684" s="30">
        <v>781.88</v>
      </c>
      <c r="L684" t="s">
        <v>22</v>
      </c>
      <c r="M684" s="31" t="str">
        <f t="shared" si="32"/>
        <v>OK</v>
      </c>
    </row>
    <row r="685" spans="1:13">
      <c r="A685" t="s">
        <v>1431</v>
      </c>
      <c r="B685" s="1">
        <v>45866</v>
      </c>
      <c r="C685" t="s">
        <v>67</v>
      </c>
      <c r="D685" t="s">
        <v>31</v>
      </c>
      <c r="E685" t="s">
        <v>20</v>
      </c>
      <c r="F685" t="s">
        <v>21</v>
      </c>
      <c r="G685">
        <v>7</v>
      </c>
      <c r="H685" s="32" t="str">
        <f t="shared" si="30"/>
        <v>OK</v>
      </c>
      <c r="I685" s="30">
        <v>2981.19</v>
      </c>
      <c r="J685" s="33" t="str">
        <f t="shared" si="31"/>
        <v>OK</v>
      </c>
      <c r="K685" s="30">
        <v>2037.55</v>
      </c>
      <c r="L685" t="s">
        <v>22</v>
      </c>
      <c r="M685" s="31" t="str">
        <f t="shared" si="32"/>
        <v>OK</v>
      </c>
    </row>
    <row r="686" spans="1:13">
      <c r="A686" t="s">
        <v>542</v>
      </c>
      <c r="B686" s="1">
        <v>45867</v>
      </c>
      <c r="C686" t="s">
        <v>48</v>
      </c>
      <c r="D686" t="s">
        <v>31</v>
      </c>
      <c r="E686" t="s">
        <v>26</v>
      </c>
      <c r="F686" t="s">
        <v>350</v>
      </c>
      <c r="G686">
        <v>6</v>
      </c>
      <c r="H686" s="32" t="str">
        <f t="shared" si="30"/>
        <v>OK</v>
      </c>
      <c r="I686" s="30">
        <v>609.01</v>
      </c>
      <c r="J686" s="33" t="str">
        <f t="shared" si="31"/>
        <v>OK</v>
      </c>
      <c r="K686" s="30">
        <v>440.1</v>
      </c>
      <c r="L686" t="s">
        <v>16</v>
      </c>
      <c r="M686" s="31" t="str">
        <f t="shared" si="32"/>
        <v>OK</v>
      </c>
    </row>
    <row r="687" spans="1:13">
      <c r="A687" t="s">
        <v>1029</v>
      </c>
      <c r="B687" s="1">
        <v>45867</v>
      </c>
      <c r="C687" t="s">
        <v>59</v>
      </c>
      <c r="D687" t="s">
        <v>57</v>
      </c>
      <c r="E687" t="s">
        <v>26</v>
      </c>
      <c r="F687" t="s">
        <v>106</v>
      </c>
      <c r="G687">
        <v>5</v>
      </c>
      <c r="H687" s="32" t="str">
        <f t="shared" si="30"/>
        <v>OK</v>
      </c>
      <c r="I687" s="30">
        <v>3054.42</v>
      </c>
      <c r="J687" s="33" t="str">
        <f t="shared" si="31"/>
        <v>OK</v>
      </c>
      <c r="K687" s="30">
        <v>1736.3</v>
      </c>
      <c r="L687" t="s">
        <v>38</v>
      </c>
      <c r="M687" s="31" t="str">
        <f t="shared" si="32"/>
        <v>OK</v>
      </c>
    </row>
    <row r="688" spans="1:13">
      <c r="A688" t="s">
        <v>104</v>
      </c>
      <c r="B688" s="1">
        <v>45868</v>
      </c>
      <c r="C688" t="s">
        <v>105</v>
      </c>
      <c r="D688" t="s">
        <v>12</v>
      </c>
      <c r="E688" t="s">
        <v>26</v>
      </c>
      <c r="F688" t="s">
        <v>106</v>
      </c>
      <c r="G688">
        <v>5</v>
      </c>
      <c r="H688" s="32" t="str">
        <f t="shared" si="30"/>
        <v>OK</v>
      </c>
      <c r="I688" s="30">
        <v>1689.76</v>
      </c>
      <c r="J688" s="33" t="str">
        <f t="shared" si="31"/>
        <v>OK</v>
      </c>
      <c r="K688" s="30">
        <v>1450.06</v>
      </c>
      <c r="L688" t="s">
        <v>22</v>
      </c>
      <c r="M688" s="31" t="str">
        <f t="shared" si="32"/>
        <v>OK</v>
      </c>
    </row>
    <row r="689" spans="1:13">
      <c r="A689" t="s">
        <v>510</v>
      </c>
      <c r="B689" s="1">
        <v>45868</v>
      </c>
      <c r="C689" t="s">
        <v>135</v>
      </c>
      <c r="D689" t="s">
        <v>63</v>
      </c>
      <c r="E689" t="s">
        <v>82</v>
      </c>
      <c r="F689" t="s">
        <v>137</v>
      </c>
      <c r="G689">
        <v>2</v>
      </c>
      <c r="H689" s="32" t="str">
        <f t="shared" si="30"/>
        <v>OK</v>
      </c>
      <c r="I689" s="30">
        <v>1121.21</v>
      </c>
      <c r="J689" s="33" t="str">
        <f t="shared" si="31"/>
        <v>OK</v>
      </c>
      <c r="K689" s="30">
        <v>828.53</v>
      </c>
      <c r="L689" t="s">
        <v>22</v>
      </c>
      <c r="M689" s="31" t="str">
        <f t="shared" si="32"/>
        <v>OK</v>
      </c>
    </row>
    <row r="690" spans="1:13">
      <c r="A690" t="s">
        <v>710</v>
      </c>
      <c r="B690" s="1">
        <v>45868</v>
      </c>
      <c r="C690" t="s">
        <v>30</v>
      </c>
      <c r="D690" t="s">
        <v>57</v>
      </c>
      <c r="E690" t="s">
        <v>26</v>
      </c>
      <c r="F690" t="s">
        <v>106</v>
      </c>
      <c r="G690">
        <v>6</v>
      </c>
      <c r="H690" s="32" t="str">
        <f t="shared" si="30"/>
        <v>OK</v>
      </c>
      <c r="I690" s="30">
        <v>3045.6</v>
      </c>
      <c r="J690" s="33" t="str">
        <f t="shared" si="31"/>
        <v>OK</v>
      </c>
      <c r="K690" s="30">
        <v>2590.8200000000002</v>
      </c>
      <c r="L690" t="s">
        <v>71</v>
      </c>
      <c r="M690" s="31" t="str">
        <f t="shared" si="32"/>
        <v>OK</v>
      </c>
    </row>
    <row r="691" spans="1:13">
      <c r="A691" t="s">
        <v>1058</v>
      </c>
      <c r="B691" s="1">
        <v>45868</v>
      </c>
      <c r="C691" t="s">
        <v>135</v>
      </c>
      <c r="D691" t="s">
        <v>12</v>
      </c>
      <c r="E691" t="s">
        <v>20</v>
      </c>
      <c r="F691" t="s">
        <v>21</v>
      </c>
      <c r="G691">
        <v>8</v>
      </c>
      <c r="H691" s="32" t="str">
        <f t="shared" si="30"/>
        <v>OK</v>
      </c>
      <c r="I691" s="30">
        <v>2085.1999999999998</v>
      </c>
      <c r="J691" s="33" t="str">
        <f t="shared" si="31"/>
        <v>OK</v>
      </c>
      <c r="K691" s="30">
        <v>1797.26</v>
      </c>
      <c r="L691" t="s">
        <v>38</v>
      </c>
      <c r="M691" s="31" t="str">
        <f t="shared" si="32"/>
        <v>OK</v>
      </c>
    </row>
    <row r="692" spans="1:13">
      <c r="A692" t="s">
        <v>1173</v>
      </c>
      <c r="B692" s="1">
        <v>45868</v>
      </c>
      <c r="C692" t="s">
        <v>162</v>
      </c>
      <c r="D692" t="s">
        <v>63</v>
      </c>
      <c r="E692" t="s">
        <v>20</v>
      </c>
      <c r="F692" t="s">
        <v>86</v>
      </c>
      <c r="G692">
        <v>3</v>
      </c>
      <c r="H692" s="32" t="str">
        <f t="shared" si="30"/>
        <v>OK</v>
      </c>
      <c r="I692" s="30">
        <v>4870.3900000000003</v>
      </c>
      <c r="J692" s="33" t="str">
        <f t="shared" si="31"/>
        <v>OK</v>
      </c>
      <c r="K692" s="30">
        <v>3997.37</v>
      </c>
      <c r="L692" t="s">
        <v>71</v>
      </c>
      <c r="M692" s="31" t="str">
        <f t="shared" si="32"/>
        <v>OK</v>
      </c>
    </row>
    <row r="693" spans="1:13">
      <c r="A693" t="s">
        <v>417</v>
      </c>
      <c r="B693" s="1">
        <v>45869</v>
      </c>
      <c r="C693" t="s">
        <v>67</v>
      </c>
      <c r="D693" t="s">
        <v>12</v>
      </c>
      <c r="E693" t="s">
        <v>20</v>
      </c>
      <c r="F693" t="s">
        <v>196</v>
      </c>
      <c r="G693">
        <v>6</v>
      </c>
      <c r="H693" s="32" t="str">
        <f t="shared" si="30"/>
        <v>OK</v>
      </c>
      <c r="I693" s="30">
        <v>3021.52</v>
      </c>
      <c r="J693" s="33" t="str">
        <f t="shared" si="31"/>
        <v>OK</v>
      </c>
      <c r="K693" s="30">
        <v>2407.5700000000002</v>
      </c>
      <c r="L693" t="s">
        <v>38</v>
      </c>
      <c r="M693" s="31" t="str">
        <f t="shared" si="32"/>
        <v>OK</v>
      </c>
    </row>
    <row r="694" spans="1:13">
      <c r="A694" t="s">
        <v>625</v>
      </c>
      <c r="B694" s="1">
        <v>45869</v>
      </c>
      <c r="C694" t="s">
        <v>85</v>
      </c>
      <c r="D694" t="s">
        <v>57</v>
      </c>
      <c r="E694" t="s">
        <v>20</v>
      </c>
      <c r="F694" t="s">
        <v>191</v>
      </c>
      <c r="G694">
        <v>7</v>
      </c>
      <c r="H694" s="32" t="str">
        <f t="shared" si="30"/>
        <v>OK</v>
      </c>
      <c r="I694" s="30">
        <v>5439.36</v>
      </c>
      <c r="J694" s="33" t="str">
        <f t="shared" si="31"/>
        <v>OK</v>
      </c>
      <c r="K694" s="30">
        <v>4700.1899999999996</v>
      </c>
      <c r="L694" t="s">
        <v>38</v>
      </c>
      <c r="M694" s="31" t="str">
        <f t="shared" si="32"/>
        <v>OK</v>
      </c>
    </row>
    <row r="695" spans="1:13">
      <c r="A695" t="s">
        <v>772</v>
      </c>
      <c r="B695" s="1">
        <v>45869</v>
      </c>
      <c r="C695" t="s">
        <v>119</v>
      </c>
      <c r="D695" t="s">
        <v>12</v>
      </c>
      <c r="E695" t="s">
        <v>82</v>
      </c>
      <c r="F695" t="s">
        <v>83</v>
      </c>
      <c r="G695">
        <v>1</v>
      </c>
      <c r="H695" s="32" t="str">
        <f t="shared" si="30"/>
        <v>OK</v>
      </c>
      <c r="I695" s="30">
        <v>1638.04</v>
      </c>
      <c r="J695" s="33" t="str">
        <f t="shared" si="31"/>
        <v>OK</v>
      </c>
      <c r="K695" s="30">
        <v>1096.48</v>
      </c>
      <c r="L695" t="s">
        <v>28</v>
      </c>
      <c r="M695" s="31" t="str">
        <f t="shared" si="32"/>
        <v>OK</v>
      </c>
    </row>
    <row r="696" spans="1:13">
      <c r="A696" t="s">
        <v>928</v>
      </c>
      <c r="B696" s="1">
        <v>45869</v>
      </c>
      <c r="C696" t="s">
        <v>24</v>
      </c>
      <c r="D696" t="s">
        <v>57</v>
      </c>
      <c r="E696" t="s">
        <v>26</v>
      </c>
      <c r="F696" t="s">
        <v>350</v>
      </c>
      <c r="G696">
        <v>1</v>
      </c>
      <c r="H696" s="32" t="str">
        <f t="shared" si="30"/>
        <v>OK</v>
      </c>
      <c r="I696" s="30">
        <v>2078.21</v>
      </c>
      <c r="J696" s="33" t="str">
        <f t="shared" si="31"/>
        <v>OK</v>
      </c>
      <c r="K696" s="30">
        <v>1294.77</v>
      </c>
      <c r="L696" t="s">
        <v>71</v>
      </c>
      <c r="M696" s="31" t="str">
        <f t="shared" si="32"/>
        <v>OK</v>
      </c>
    </row>
    <row r="697" spans="1:13">
      <c r="A697" t="s">
        <v>153</v>
      </c>
      <c r="B697" s="1">
        <v>45870</v>
      </c>
      <c r="C697" t="s">
        <v>24</v>
      </c>
      <c r="D697" t="s">
        <v>19</v>
      </c>
      <c r="E697" t="s">
        <v>26</v>
      </c>
      <c r="F697" t="s">
        <v>131</v>
      </c>
      <c r="G697">
        <v>3</v>
      </c>
      <c r="H697" s="32" t="str">
        <f t="shared" si="30"/>
        <v>OK</v>
      </c>
      <c r="I697" s="30">
        <v>902.58</v>
      </c>
      <c r="J697" s="33" t="str">
        <f t="shared" si="31"/>
        <v>OK</v>
      </c>
      <c r="K697" s="30">
        <v>730.68</v>
      </c>
      <c r="L697" t="s">
        <v>22</v>
      </c>
      <c r="M697" s="31" t="str">
        <f t="shared" si="32"/>
        <v>OK</v>
      </c>
    </row>
    <row r="698" spans="1:13">
      <c r="A698" t="s">
        <v>637</v>
      </c>
      <c r="B698" s="1">
        <v>45870</v>
      </c>
      <c r="C698" t="s">
        <v>119</v>
      </c>
      <c r="D698" t="s">
        <v>57</v>
      </c>
      <c r="E698" t="s">
        <v>26</v>
      </c>
      <c r="F698" t="s">
        <v>27</v>
      </c>
      <c r="G698">
        <v>1</v>
      </c>
      <c r="H698" s="32" t="str">
        <f t="shared" si="30"/>
        <v>OK</v>
      </c>
      <c r="I698" s="30">
        <v>3261.54</v>
      </c>
      <c r="J698" s="33" t="str">
        <f t="shared" si="31"/>
        <v>OK</v>
      </c>
      <c r="K698" s="30">
        <v>2695.22</v>
      </c>
      <c r="L698" t="s">
        <v>38</v>
      </c>
      <c r="M698" s="31" t="str">
        <f t="shared" si="32"/>
        <v>OK</v>
      </c>
    </row>
    <row r="699" spans="1:13">
      <c r="A699" t="s">
        <v>1176</v>
      </c>
      <c r="B699" s="1">
        <v>45870</v>
      </c>
      <c r="C699" t="s">
        <v>67</v>
      </c>
      <c r="D699" t="s">
        <v>57</v>
      </c>
      <c r="E699" t="s">
        <v>32</v>
      </c>
      <c r="F699" t="s">
        <v>1616</v>
      </c>
      <c r="G699">
        <v>8</v>
      </c>
      <c r="H699" s="32" t="str">
        <f t="shared" si="30"/>
        <v>OK</v>
      </c>
      <c r="I699" s="30">
        <v>863.86</v>
      </c>
      <c r="J699" s="33" t="str">
        <f t="shared" si="31"/>
        <v>OK</v>
      </c>
      <c r="K699" s="30">
        <v>704.8</v>
      </c>
      <c r="L699" t="s">
        <v>28</v>
      </c>
      <c r="M699" s="31" t="str">
        <f t="shared" si="32"/>
        <v>OK</v>
      </c>
    </row>
    <row r="700" spans="1:13">
      <c r="A700" t="s">
        <v>1319</v>
      </c>
      <c r="B700" s="1">
        <v>45870</v>
      </c>
      <c r="C700" t="s">
        <v>74</v>
      </c>
      <c r="D700" t="s">
        <v>12</v>
      </c>
      <c r="E700" t="s">
        <v>36</v>
      </c>
      <c r="F700" t="s">
        <v>113</v>
      </c>
      <c r="G700">
        <v>5</v>
      </c>
      <c r="H700" s="32" t="str">
        <f t="shared" si="30"/>
        <v>OK</v>
      </c>
      <c r="I700" s="30">
        <v>13734.42</v>
      </c>
      <c r="J700" s="33" t="str">
        <f t="shared" si="31"/>
        <v>OK</v>
      </c>
      <c r="K700" s="30">
        <v>8591.89</v>
      </c>
      <c r="L700" t="s">
        <v>22</v>
      </c>
      <c r="M700" s="31" t="str">
        <f t="shared" si="32"/>
        <v>OK</v>
      </c>
    </row>
    <row r="701" spans="1:13">
      <c r="A701" t="s">
        <v>665</v>
      </c>
      <c r="B701" s="1">
        <v>45871</v>
      </c>
      <c r="C701" t="s">
        <v>74</v>
      </c>
      <c r="D701" t="s">
        <v>57</v>
      </c>
      <c r="E701" t="s">
        <v>32</v>
      </c>
      <c r="F701" t="s">
        <v>1616</v>
      </c>
      <c r="G701">
        <v>4</v>
      </c>
      <c r="H701" s="32" t="str">
        <f t="shared" si="30"/>
        <v>OK</v>
      </c>
      <c r="I701" s="30">
        <v>1208.97</v>
      </c>
      <c r="J701" s="33" t="str">
        <f t="shared" si="31"/>
        <v>OK</v>
      </c>
      <c r="K701" s="30">
        <v>1005.22</v>
      </c>
      <c r="L701" t="s">
        <v>16</v>
      </c>
      <c r="M701" s="31" t="str">
        <f t="shared" si="32"/>
        <v>OK</v>
      </c>
    </row>
    <row r="702" spans="1:13">
      <c r="A702" t="s">
        <v>753</v>
      </c>
      <c r="B702" s="1">
        <v>45871</v>
      </c>
      <c r="C702" t="s">
        <v>24</v>
      </c>
      <c r="D702" t="s">
        <v>12</v>
      </c>
      <c r="E702" t="s">
        <v>82</v>
      </c>
      <c r="F702" t="s">
        <v>83</v>
      </c>
      <c r="G702">
        <v>3</v>
      </c>
      <c r="H702" s="32" t="str">
        <f t="shared" si="30"/>
        <v>OK</v>
      </c>
      <c r="I702" s="30">
        <v>2963.57</v>
      </c>
      <c r="J702" s="33" t="str">
        <f t="shared" si="31"/>
        <v>OK</v>
      </c>
      <c r="K702" s="30">
        <v>1879.34</v>
      </c>
      <c r="L702" t="s">
        <v>22</v>
      </c>
      <c r="M702" s="31" t="str">
        <f t="shared" si="32"/>
        <v>OK</v>
      </c>
    </row>
    <row r="703" spans="1:13">
      <c r="A703" t="s">
        <v>936</v>
      </c>
      <c r="B703" s="1">
        <v>45871</v>
      </c>
      <c r="C703" t="s">
        <v>59</v>
      </c>
      <c r="D703" t="s">
        <v>12</v>
      </c>
      <c r="E703" t="s">
        <v>82</v>
      </c>
      <c r="F703" t="s">
        <v>137</v>
      </c>
      <c r="G703">
        <v>8</v>
      </c>
      <c r="H703" s="32" t="str">
        <f t="shared" si="30"/>
        <v>OK</v>
      </c>
      <c r="I703" s="30">
        <v>4969.5600000000004</v>
      </c>
      <c r="J703" s="33" t="str">
        <f t="shared" si="31"/>
        <v>OK</v>
      </c>
      <c r="K703" s="30">
        <v>3071.35</v>
      </c>
      <c r="L703" t="s">
        <v>22</v>
      </c>
      <c r="M703" s="31" t="str">
        <f t="shared" si="32"/>
        <v>OK</v>
      </c>
    </row>
    <row r="704" spans="1:13">
      <c r="A704" t="s">
        <v>1136</v>
      </c>
      <c r="B704" s="1">
        <v>45871</v>
      </c>
      <c r="C704" t="s">
        <v>105</v>
      </c>
      <c r="D704" t="s">
        <v>63</v>
      </c>
      <c r="E704" t="s">
        <v>26</v>
      </c>
      <c r="F704" t="s">
        <v>350</v>
      </c>
      <c r="G704">
        <v>2</v>
      </c>
      <c r="H704" s="32" t="str">
        <f t="shared" si="30"/>
        <v>OK</v>
      </c>
      <c r="I704" s="30">
        <v>860.79</v>
      </c>
      <c r="J704" s="33" t="str">
        <f t="shared" si="31"/>
        <v>OK</v>
      </c>
      <c r="K704" s="30">
        <v>533.48</v>
      </c>
      <c r="L704" t="s">
        <v>28</v>
      </c>
      <c r="M704" s="31" t="str">
        <f t="shared" si="32"/>
        <v>OK</v>
      </c>
    </row>
    <row r="705" spans="1:13">
      <c r="A705" t="s">
        <v>1230</v>
      </c>
      <c r="B705" s="1">
        <v>45871</v>
      </c>
      <c r="C705" t="s">
        <v>67</v>
      </c>
      <c r="D705" t="s">
        <v>57</v>
      </c>
      <c r="E705" t="s">
        <v>36</v>
      </c>
      <c r="F705" t="s">
        <v>113</v>
      </c>
      <c r="G705">
        <v>4</v>
      </c>
      <c r="H705" s="32" t="str">
        <f t="shared" si="30"/>
        <v>OK</v>
      </c>
      <c r="I705" s="30">
        <v>14164.36</v>
      </c>
      <c r="J705" s="33" t="str">
        <f t="shared" si="31"/>
        <v>OK</v>
      </c>
      <c r="K705" s="30">
        <v>9568.3799999999992</v>
      </c>
      <c r="L705" t="s">
        <v>28</v>
      </c>
      <c r="M705" s="31" t="str">
        <f t="shared" si="32"/>
        <v>OK</v>
      </c>
    </row>
    <row r="706" spans="1:13">
      <c r="A706" t="s">
        <v>939</v>
      </c>
      <c r="B706" s="1">
        <v>45872</v>
      </c>
      <c r="C706" t="s">
        <v>24</v>
      </c>
      <c r="D706" t="s">
        <v>63</v>
      </c>
      <c r="E706" t="s">
        <v>36</v>
      </c>
      <c r="F706" t="s">
        <v>93</v>
      </c>
      <c r="G706">
        <v>1</v>
      </c>
      <c r="H706" s="32" t="str">
        <f t="shared" ref="H706:H769" si="33">IF(G706="","Blank",IF(G706&lt;0,"Negative Quantity",IF(G706=0,"Zero Quantity",IF(G706&gt;0,"OK",""))))</f>
        <v>OK</v>
      </c>
      <c r="I706" s="30">
        <v>3754.59</v>
      </c>
      <c r="J706" s="33" t="str">
        <f t="shared" ref="J706:J769" si="34">IF(I706="","Missing Sales",IF(I706&lt;0,"Negative Sales","OK"))</f>
        <v>OK</v>
      </c>
      <c r="K706" s="30">
        <v>2404.6999999999998</v>
      </c>
      <c r="L706" t="s">
        <v>71</v>
      </c>
      <c r="M706" s="31" t="str">
        <f t="shared" ref="M706:M769" si="35">IF(OR(I706="",K706=""),"Missing Data",IF(I706&lt;K706,"Sales &lt; Cost","OK"))</f>
        <v>OK</v>
      </c>
    </row>
    <row r="707" spans="1:13">
      <c r="A707" t="s">
        <v>1222</v>
      </c>
      <c r="B707" s="1">
        <v>45872</v>
      </c>
      <c r="C707" t="s">
        <v>67</v>
      </c>
      <c r="D707" t="s">
        <v>12</v>
      </c>
      <c r="E707" t="s">
        <v>26</v>
      </c>
      <c r="F707" t="s">
        <v>350</v>
      </c>
      <c r="G707">
        <v>1</v>
      </c>
      <c r="H707" s="32" t="str">
        <f t="shared" si="33"/>
        <v>OK</v>
      </c>
      <c r="I707" s="30">
        <v>2062.56</v>
      </c>
      <c r="J707" s="33" t="str">
        <f t="shared" si="34"/>
        <v>OK</v>
      </c>
      <c r="K707" s="30">
        <v>1265.03</v>
      </c>
      <c r="L707" t="s">
        <v>38</v>
      </c>
      <c r="M707" s="31" t="str">
        <f t="shared" si="35"/>
        <v>OK</v>
      </c>
    </row>
    <row r="708" spans="1:13">
      <c r="A708" t="s">
        <v>1423</v>
      </c>
      <c r="B708" s="1">
        <v>45872</v>
      </c>
      <c r="C708" t="s">
        <v>18</v>
      </c>
      <c r="D708" t="s">
        <v>12</v>
      </c>
      <c r="E708" t="s">
        <v>32</v>
      </c>
      <c r="F708" t="s">
        <v>101</v>
      </c>
      <c r="G708">
        <v>3</v>
      </c>
      <c r="H708" s="32" t="str">
        <f t="shared" si="33"/>
        <v>OK</v>
      </c>
      <c r="I708" s="30">
        <v>1149.81</v>
      </c>
      <c r="J708" s="33" t="str">
        <f t="shared" si="34"/>
        <v>OK</v>
      </c>
      <c r="K708" s="30">
        <v>709.76</v>
      </c>
      <c r="L708" t="s">
        <v>38</v>
      </c>
      <c r="M708" s="31" t="str">
        <f t="shared" si="35"/>
        <v>OK</v>
      </c>
    </row>
    <row r="709" spans="1:13">
      <c r="A709" t="s">
        <v>1123</v>
      </c>
      <c r="B709" s="1">
        <v>45873</v>
      </c>
      <c r="C709" t="s">
        <v>119</v>
      </c>
      <c r="D709" t="s">
        <v>12</v>
      </c>
      <c r="E709" t="s">
        <v>32</v>
      </c>
      <c r="F709" t="s">
        <v>1615</v>
      </c>
      <c r="G709">
        <v>6</v>
      </c>
      <c r="H709" s="32" t="str">
        <f t="shared" si="33"/>
        <v>OK</v>
      </c>
      <c r="I709" s="30">
        <v>2212.1</v>
      </c>
      <c r="J709" s="33" t="str">
        <f t="shared" si="34"/>
        <v>OK</v>
      </c>
      <c r="K709" s="30">
        <v>1725.93</v>
      </c>
      <c r="L709" t="s">
        <v>28</v>
      </c>
      <c r="M709" s="31" t="str">
        <f t="shared" si="35"/>
        <v>OK</v>
      </c>
    </row>
    <row r="710" spans="1:13">
      <c r="A710" t="s">
        <v>219</v>
      </c>
      <c r="B710" s="1">
        <v>45874</v>
      </c>
      <c r="C710" t="s">
        <v>220</v>
      </c>
      <c r="D710" t="s">
        <v>12</v>
      </c>
      <c r="E710" t="s">
        <v>36</v>
      </c>
      <c r="F710" t="s">
        <v>46</v>
      </c>
      <c r="G710">
        <v>2</v>
      </c>
      <c r="H710" s="32" t="str">
        <f t="shared" si="33"/>
        <v>OK</v>
      </c>
      <c r="I710" s="30">
        <v>5476.93</v>
      </c>
      <c r="J710" s="33" t="str">
        <f t="shared" si="34"/>
        <v>OK</v>
      </c>
      <c r="K710" s="30">
        <v>4708.72</v>
      </c>
      <c r="L710" t="s">
        <v>38</v>
      </c>
      <c r="M710" s="31" t="str">
        <f t="shared" si="35"/>
        <v>OK</v>
      </c>
    </row>
    <row r="711" spans="1:13">
      <c r="A711" t="s">
        <v>707</v>
      </c>
      <c r="B711" s="1">
        <v>45874</v>
      </c>
      <c r="C711" t="s">
        <v>105</v>
      </c>
      <c r="D711" t="s">
        <v>63</v>
      </c>
      <c r="E711" t="s">
        <v>26</v>
      </c>
      <c r="F711" t="s">
        <v>131</v>
      </c>
      <c r="G711">
        <v>2</v>
      </c>
      <c r="H711" s="32" t="str">
        <f t="shared" si="33"/>
        <v>OK</v>
      </c>
      <c r="I711" s="30">
        <v>2929.3</v>
      </c>
      <c r="J711" s="33" t="str">
        <f t="shared" si="34"/>
        <v>OK</v>
      </c>
      <c r="K711" s="30">
        <v>2286.3200000000002</v>
      </c>
      <c r="L711" t="s">
        <v>38</v>
      </c>
      <c r="M711" s="31" t="str">
        <f t="shared" si="35"/>
        <v>OK</v>
      </c>
    </row>
    <row r="712" spans="1:13">
      <c r="A712" t="s">
        <v>840</v>
      </c>
      <c r="B712" s="1">
        <v>45874</v>
      </c>
      <c r="C712" t="s">
        <v>124</v>
      </c>
      <c r="D712" t="s">
        <v>19</v>
      </c>
      <c r="E712" t="s">
        <v>82</v>
      </c>
      <c r="F712" t="s">
        <v>155</v>
      </c>
      <c r="G712">
        <v>5</v>
      </c>
      <c r="H712" s="32" t="str">
        <f t="shared" si="33"/>
        <v>OK</v>
      </c>
      <c r="I712" s="30">
        <v>759.44</v>
      </c>
      <c r="J712" s="33" t="str">
        <f t="shared" si="34"/>
        <v>OK</v>
      </c>
      <c r="K712" s="30">
        <v>511.12</v>
      </c>
      <c r="L712" t="s">
        <v>28</v>
      </c>
      <c r="M712" s="31" t="str">
        <f t="shared" si="35"/>
        <v>OK</v>
      </c>
    </row>
    <row r="713" spans="1:13">
      <c r="A713" t="s">
        <v>1498</v>
      </c>
      <c r="B713" s="1">
        <v>45874</v>
      </c>
      <c r="C713" t="s">
        <v>48</v>
      </c>
      <c r="D713" t="s">
        <v>12</v>
      </c>
      <c r="E713" t="s">
        <v>20</v>
      </c>
      <c r="F713" t="s">
        <v>91</v>
      </c>
      <c r="G713">
        <v>2</v>
      </c>
      <c r="H713" s="32" t="str">
        <f t="shared" si="33"/>
        <v>OK</v>
      </c>
      <c r="I713" s="30">
        <v>2616.2199999999998</v>
      </c>
      <c r="J713" s="33" t="str">
        <f t="shared" si="34"/>
        <v>OK</v>
      </c>
      <c r="K713" s="30">
        <v>1953.38</v>
      </c>
      <c r="L713" t="s">
        <v>28</v>
      </c>
      <c r="M713" s="31" t="str">
        <f t="shared" si="35"/>
        <v>OK</v>
      </c>
    </row>
    <row r="714" spans="1:13">
      <c r="A714" t="s">
        <v>1432</v>
      </c>
      <c r="B714" s="1">
        <v>45875</v>
      </c>
      <c r="C714" t="s">
        <v>70</v>
      </c>
      <c r="D714" t="s">
        <v>12</v>
      </c>
      <c r="E714" t="s">
        <v>20</v>
      </c>
      <c r="F714" t="s">
        <v>91</v>
      </c>
      <c r="G714">
        <v>7</v>
      </c>
      <c r="H714" s="32" t="str">
        <f t="shared" si="33"/>
        <v>OK</v>
      </c>
      <c r="I714" s="30">
        <v>950.71</v>
      </c>
      <c r="J714" s="33" t="str">
        <f t="shared" si="34"/>
        <v>OK</v>
      </c>
      <c r="K714" s="30">
        <v>542.4</v>
      </c>
      <c r="L714" t="s">
        <v>71</v>
      </c>
      <c r="M714" s="31" t="str">
        <f t="shared" si="35"/>
        <v>OK</v>
      </c>
    </row>
    <row r="715" spans="1:13">
      <c r="A715" t="s">
        <v>1598</v>
      </c>
      <c r="B715" s="1">
        <v>45875</v>
      </c>
      <c r="C715" t="s">
        <v>30</v>
      </c>
      <c r="D715" t="s">
        <v>57</v>
      </c>
      <c r="E715" t="s">
        <v>36</v>
      </c>
      <c r="F715" t="s">
        <v>37</v>
      </c>
      <c r="G715">
        <v>4</v>
      </c>
      <c r="H715" s="32" t="str">
        <f t="shared" si="33"/>
        <v>OK</v>
      </c>
      <c r="I715" s="30">
        <v>3907.66</v>
      </c>
      <c r="J715" s="33" t="str">
        <f t="shared" si="34"/>
        <v>OK</v>
      </c>
      <c r="K715" s="30">
        <v>3384.54</v>
      </c>
      <c r="L715" t="s">
        <v>38</v>
      </c>
      <c r="M715" s="31" t="str">
        <f t="shared" si="35"/>
        <v>OK</v>
      </c>
    </row>
    <row r="716" spans="1:13">
      <c r="A716" t="s">
        <v>1190</v>
      </c>
      <c r="B716" s="1">
        <v>45876</v>
      </c>
      <c r="C716" t="s">
        <v>129</v>
      </c>
      <c r="D716" t="s">
        <v>57</v>
      </c>
      <c r="E716" t="s">
        <v>32</v>
      </c>
      <c r="F716" t="s">
        <v>52</v>
      </c>
      <c r="G716">
        <v>5</v>
      </c>
      <c r="H716" s="32" t="str">
        <f t="shared" si="33"/>
        <v>OK</v>
      </c>
      <c r="I716" s="30">
        <v>1791.22</v>
      </c>
      <c r="J716" s="33" t="str">
        <f t="shared" si="34"/>
        <v>OK</v>
      </c>
      <c r="K716" s="30">
        <v>1281.0999999999999</v>
      </c>
      <c r="L716" t="s">
        <v>38</v>
      </c>
      <c r="M716" s="31" t="str">
        <f t="shared" si="35"/>
        <v>OK</v>
      </c>
    </row>
    <row r="717" spans="1:13">
      <c r="A717" t="s">
        <v>858</v>
      </c>
      <c r="B717" s="1">
        <v>45877</v>
      </c>
      <c r="C717" t="s">
        <v>54</v>
      </c>
      <c r="D717" t="s">
        <v>63</v>
      </c>
      <c r="E717" t="s">
        <v>32</v>
      </c>
      <c r="F717" t="s">
        <v>33</v>
      </c>
      <c r="G717">
        <v>8</v>
      </c>
      <c r="H717" s="32" t="str">
        <f t="shared" si="33"/>
        <v>OK</v>
      </c>
      <c r="I717" s="30">
        <v>1081.6300000000001</v>
      </c>
      <c r="J717" s="33" t="str">
        <f t="shared" si="34"/>
        <v>OK</v>
      </c>
      <c r="K717" s="30">
        <v>608.36</v>
      </c>
      <c r="L717" t="s">
        <v>71</v>
      </c>
      <c r="M717" s="31" t="str">
        <f t="shared" si="35"/>
        <v>OK</v>
      </c>
    </row>
    <row r="718" spans="1:13">
      <c r="A718" t="s">
        <v>1081</v>
      </c>
      <c r="B718" s="1">
        <v>45877</v>
      </c>
      <c r="C718" t="s">
        <v>56</v>
      </c>
      <c r="D718" t="s">
        <v>12</v>
      </c>
      <c r="E718" t="s">
        <v>32</v>
      </c>
      <c r="F718" t="s">
        <v>101</v>
      </c>
      <c r="G718">
        <v>6</v>
      </c>
      <c r="H718" s="32" t="str">
        <f t="shared" si="33"/>
        <v>OK</v>
      </c>
      <c r="I718" s="30">
        <v>2019.48</v>
      </c>
      <c r="J718" s="33" t="str">
        <f t="shared" si="34"/>
        <v>OK</v>
      </c>
      <c r="K718" s="30">
        <v>1275.8499999999999</v>
      </c>
      <c r="L718" t="s">
        <v>16</v>
      </c>
      <c r="M718" s="31" t="str">
        <f t="shared" si="35"/>
        <v>OK</v>
      </c>
    </row>
    <row r="719" spans="1:13">
      <c r="A719" t="s">
        <v>1109</v>
      </c>
      <c r="B719" s="1">
        <v>45877</v>
      </c>
      <c r="C719" t="s">
        <v>54</v>
      </c>
      <c r="D719" t="s">
        <v>57</v>
      </c>
      <c r="E719" t="s">
        <v>82</v>
      </c>
      <c r="F719" t="s">
        <v>83</v>
      </c>
      <c r="G719">
        <v>2</v>
      </c>
      <c r="H719" s="32" t="str">
        <f t="shared" si="33"/>
        <v>OK</v>
      </c>
      <c r="I719" s="30">
        <v>1933.89</v>
      </c>
      <c r="J719" s="33" t="str">
        <f t="shared" si="34"/>
        <v>OK</v>
      </c>
      <c r="K719" s="30">
        <v>1131.21</v>
      </c>
      <c r="L719" t="s">
        <v>1617</v>
      </c>
      <c r="M719" s="31" t="str">
        <f t="shared" si="35"/>
        <v>OK</v>
      </c>
    </row>
    <row r="720" spans="1:13">
      <c r="A720" t="s">
        <v>224</v>
      </c>
      <c r="B720" s="1">
        <v>45878</v>
      </c>
      <c r="C720" t="s">
        <v>121</v>
      </c>
      <c r="D720" t="s">
        <v>31</v>
      </c>
      <c r="E720" t="s">
        <v>36</v>
      </c>
      <c r="F720" t="s">
        <v>37</v>
      </c>
      <c r="G720">
        <v>3</v>
      </c>
      <c r="H720" s="32" t="str">
        <f t="shared" si="33"/>
        <v>OK</v>
      </c>
      <c r="I720" s="30">
        <v>15989.99</v>
      </c>
      <c r="J720" s="33" t="str">
        <f t="shared" si="34"/>
        <v>OK</v>
      </c>
      <c r="K720" s="30">
        <v>12633.33</v>
      </c>
      <c r="L720" t="s">
        <v>28</v>
      </c>
      <c r="M720" s="31" t="str">
        <f t="shared" si="35"/>
        <v>OK</v>
      </c>
    </row>
    <row r="721" spans="1:13">
      <c r="A721" t="s">
        <v>302</v>
      </c>
      <c r="B721" s="1">
        <v>45878</v>
      </c>
      <c r="C721" t="s">
        <v>231</v>
      </c>
      <c r="D721" t="s">
        <v>12</v>
      </c>
      <c r="E721" t="s">
        <v>20</v>
      </c>
      <c r="F721" t="s">
        <v>191</v>
      </c>
      <c r="G721">
        <v>3</v>
      </c>
      <c r="H721" s="32" t="str">
        <f t="shared" si="33"/>
        <v>OK</v>
      </c>
      <c r="I721" s="30">
        <v>2218.5300000000002</v>
      </c>
      <c r="J721" s="33" t="str">
        <f t="shared" si="34"/>
        <v>OK</v>
      </c>
      <c r="K721" s="30">
        <v>1505.04</v>
      </c>
      <c r="L721" t="s">
        <v>16</v>
      </c>
      <c r="M721" s="31" t="str">
        <f t="shared" si="35"/>
        <v>OK</v>
      </c>
    </row>
    <row r="722" spans="1:13">
      <c r="A722" t="s">
        <v>1056</v>
      </c>
      <c r="B722" s="1">
        <v>45878</v>
      </c>
      <c r="C722" t="s">
        <v>85</v>
      </c>
      <c r="D722" t="s">
        <v>12</v>
      </c>
      <c r="E722" t="s">
        <v>32</v>
      </c>
      <c r="F722" t="s">
        <v>180</v>
      </c>
      <c r="G722">
        <v>3</v>
      </c>
      <c r="H722" s="32" t="str">
        <f t="shared" si="33"/>
        <v>OK</v>
      </c>
      <c r="I722" s="30">
        <v>1454.59</v>
      </c>
      <c r="J722" s="33" t="str">
        <f t="shared" si="34"/>
        <v>OK</v>
      </c>
      <c r="K722" s="30">
        <v>954.21</v>
      </c>
      <c r="L722" t="s">
        <v>16</v>
      </c>
      <c r="M722" s="31" t="str">
        <f t="shared" si="35"/>
        <v>OK</v>
      </c>
    </row>
    <row r="723" spans="1:13">
      <c r="A723" t="s">
        <v>194</v>
      </c>
      <c r="B723" s="1">
        <v>45879</v>
      </c>
      <c r="C723" t="s">
        <v>105</v>
      </c>
      <c r="D723" t="s">
        <v>19</v>
      </c>
      <c r="E723" t="s">
        <v>20</v>
      </c>
      <c r="F723" t="s">
        <v>196</v>
      </c>
      <c r="G723">
        <v>7</v>
      </c>
      <c r="H723" s="32" t="str">
        <f t="shared" si="33"/>
        <v>OK</v>
      </c>
      <c r="I723" s="30">
        <v>1578.35</v>
      </c>
      <c r="J723" s="33" t="str">
        <f t="shared" si="34"/>
        <v>OK</v>
      </c>
      <c r="K723" s="30">
        <v>1284.8</v>
      </c>
      <c r="L723" t="s">
        <v>71</v>
      </c>
      <c r="M723" s="31" t="str">
        <f t="shared" si="35"/>
        <v>OK</v>
      </c>
    </row>
    <row r="724" spans="1:13">
      <c r="A724" t="s">
        <v>211</v>
      </c>
      <c r="B724" s="1">
        <v>45879</v>
      </c>
      <c r="C724" t="s">
        <v>67</v>
      </c>
      <c r="D724" t="s">
        <v>12</v>
      </c>
      <c r="E724" t="s">
        <v>36</v>
      </c>
      <c r="F724" t="s">
        <v>37</v>
      </c>
      <c r="G724">
        <v>2</v>
      </c>
      <c r="H724" s="32" t="str">
        <f t="shared" si="33"/>
        <v>OK</v>
      </c>
      <c r="I724" s="30">
        <v>13632.47</v>
      </c>
      <c r="J724" s="33" t="str">
        <f t="shared" si="34"/>
        <v>OK</v>
      </c>
      <c r="K724" s="30">
        <v>9174.2900000000009</v>
      </c>
      <c r="L724" t="s">
        <v>71</v>
      </c>
      <c r="M724" s="31" t="str">
        <f t="shared" si="35"/>
        <v>OK</v>
      </c>
    </row>
    <row r="725" spans="1:13">
      <c r="A725" t="s">
        <v>756</v>
      </c>
      <c r="B725" s="1">
        <v>45879</v>
      </c>
      <c r="C725" t="s">
        <v>40</v>
      </c>
      <c r="D725" t="s">
        <v>63</v>
      </c>
      <c r="E725" t="s">
        <v>32</v>
      </c>
      <c r="F725" t="s">
        <v>180</v>
      </c>
      <c r="G725">
        <v>6</v>
      </c>
      <c r="H725" s="32" t="str">
        <f t="shared" si="33"/>
        <v>OK</v>
      </c>
      <c r="I725" s="30">
        <v>1661.85</v>
      </c>
      <c r="J725" s="33" t="str">
        <f t="shared" si="34"/>
        <v>OK</v>
      </c>
      <c r="K725" s="30">
        <v>1368.49</v>
      </c>
      <c r="L725" t="s">
        <v>71</v>
      </c>
      <c r="M725" s="31" t="str">
        <f t="shared" si="35"/>
        <v>OK</v>
      </c>
    </row>
    <row r="726" spans="1:13">
      <c r="A726" t="s">
        <v>1435</v>
      </c>
      <c r="B726" s="1">
        <v>45879</v>
      </c>
      <c r="C726" t="s">
        <v>129</v>
      </c>
      <c r="D726" t="s">
        <v>31</v>
      </c>
      <c r="E726" t="s">
        <v>82</v>
      </c>
      <c r="F726" t="s">
        <v>150</v>
      </c>
      <c r="G726">
        <v>4</v>
      </c>
      <c r="H726" s="32" t="str">
        <f t="shared" si="33"/>
        <v>OK</v>
      </c>
      <c r="I726" s="30">
        <v>3580.74</v>
      </c>
      <c r="J726" s="33" t="str">
        <f t="shared" si="34"/>
        <v>OK</v>
      </c>
      <c r="K726" s="30">
        <v>2753.68</v>
      </c>
      <c r="L726" t="s">
        <v>28</v>
      </c>
      <c r="M726" s="31" t="str">
        <f t="shared" si="35"/>
        <v>OK</v>
      </c>
    </row>
    <row r="727" spans="1:13">
      <c r="A727" t="s">
        <v>413</v>
      </c>
      <c r="B727" s="1">
        <v>45880</v>
      </c>
      <c r="C727" t="s">
        <v>11</v>
      </c>
      <c r="D727" t="s">
        <v>12</v>
      </c>
      <c r="E727" t="s">
        <v>82</v>
      </c>
      <c r="F727" t="s">
        <v>97</v>
      </c>
      <c r="G727">
        <v>1</v>
      </c>
      <c r="H727" s="32" t="str">
        <f t="shared" si="33"/>
        <v>OK</v>
      </c>
      <c r="I727" s="30">
        <v>3846.98</v>
      </c>
      <c r="J727" s="33" t="str">
        <f t="shared" si="34"/>
        <v>OK</v>
      </c>
      <c r="K727" s="30">
        <v>2578.29</v>
      </c>
      <c r="L727" t="s">
        <v>71</v>
      </c>
      <c r="M727" s="31" t="str">
        <f t="shared" si="35"/>
        <v>OK</v>
      </c>
    </row>
    <row r="728" spans="1:13">
      <c r="A728" t="s">
        <v>498</v>
      </c>
      <c r="B728" s="1">
        <v>45880</v>
      </c>
      <c r="C728" t="s">
        <v>59</v>
      </c>
      <c r="D728" t="s">
        <v>12</v>
      </c>
      <c r="E728" t="s">
        <v>36</v>
      </c>
      <c r="F728" t="s">
        <v>37</v>
      </c>
      <c r="G728">
        <v>1</v>
      </c>
      <c r="H728" s="32" t="str">
        <f t="shared" si="33"/>
        <v>OK</v>
      </c>
      <c r="I728" s="30">
        <v>3640.02</v>
      </c>
      <c r="J728" s="33" t="str">
        <f t="shared" si="34"/>
        <v>OK</v>
      </c>
      <c r="K728" s="30">
        <v>3117.89</v>
      </c>
      <c r="L728" t="s">
        <v>28</v>
      </c>
      <c r="M728" s="31" t="str">
        <f t="shared" si="35"/>
        <v>OK</v>
      </c>
    </row>
    <row r="729" spans="1:13">
      <c r="A729" t="s">
        <v>630</v>
      </c>
      <c r="B729" s="1">
        <v>45880</v>
      </c>
      <c r="C729" t="s">
        <v>220</v>
      </c>
      <c r="D729" t="s">
        <v>12</v>
      </c>
      <c r="E729" t="s">
        <v>26</v>
      </c>
      <c r="F729" t="s">
        <v>350</v>
      </c>
      <c r="G729">
        <v>7</v>
      </c>
      <c r="H729" s="32" t="str">
        <f t="shared" si="33"/>
        <v>OK</v>
      </c>
      <c r="I729" s="30">
        <v>3273.3</v>
      </c>
      <c r="J729" s="33" t="str">
        <f t="shared" si="34"/>
        <v>OK</v>
      </c>
      <c r="K729" s="30">
        <v>1930.52</v>
      </c>
      <c r="L729" t="s">
        <v>71</v>
      </c>
      <c r="M729" s="31" t="str">
        <f t="shared" si="35"/>
        <v>OK</v>
      </c>
    </row>
    <row r="730" spans="1:13">
      <c r="A730" t="s">
        <v>686</v>
      </c>
      <c r="B730" s="1">
        <v>45880</v>
      </c>
      <c r="C730" t="s">
        <v>117</v>
      </c>
      <c r="D730" t="s">
        <v>12</v>
      </c>
      <c r="E730" t="s">
        <v>26</v>
      </c>
      <c r="F730" t="s">
        <v>79</v>
      </c>
      <c r="G730">
        <v>5</v>
      </c>
      <c r="H730" s="32" t="str">
        <f t="shared" si="33"/>
        <v>OK</v>
      </c>
      <c r="I730" s="30">
        <v>2328.2800000000002</v>
      </c>
      <c r="J730" s="33" t="str">
        <f t="shared" si="34"/>
        <v>OK</v>
      </c>
      <c r="K730" s="30">
        <v>1888.67</v>
      </c>
      <c r="L730" t="s">
        <v>16</v>
      </c>
      <c r="M730" s="31" t="str">
        <f t="shared" si="35"/>
        <v>OK</v>
      </c>
    </row>
    <row r="731" spans="1:13">
      <c r="A731" t="s">
        <v>517</v>
      </c>
      <c r="B731" s="1">
        <v>45881</v>
      </c>
      <c r="C731" t="s">
        <v>117</v>
      </c>
      <c r="D731" t="s">
        <v>57</v>
      </c>
      <c r="E731" t="s">
        <v>26</v>
      </c>
      <c r="F731" t="s">
        <v>79</v>
      </c>
      <c r="G731">
        <v>6</v>
      </c>
      <c r="H731" s="32" t="str">
        <f t="shared" si="33"/>
        <v>OK</v>
      </c>
      <c r="I731" s="30">
        <v>1261.3599999999999</v>
      </c>
      <c r="J731" s="33" t="str">
        <f t="shared" si="34"/>
        <v>OK</v>
      </c>
      <c r="K731" s="30">
        <v>1062.22</v>
      </c>
      <c r="L731" t="s">
        <v>71</v>
      </c>
      <c r="M731" s="31" t="str">
        <f t="shared" si="35"/>
        <v>OK</v>
      </c>
    </row>
    <row r="732" spans="1:13">
      <c r="A732" t="s">
        <v>745</v>
      </c>
      <c r="B732" s="1">
        <v>45881</v>
      </c>
      <c r="C732" t="s">
        <v>35</v>
      </c>
      <c r="D732" t="s">
        <v>19</v>
      </c>
      <c r="E732" t="s">
        <v>32</v>
      </c>
      <c r="F732" t="s">
        <v>1616</v>
      </c>
      <c r="G732">
        <v>1</v>
      </c>
      <c r="H732" s="32" t="str">
        <f t="shared" si="33"/>
        <v>OK</v>
      </c>
      <c r="I732" s="30">
        <v>571.07000000000005</v>
      </c>
      <c r="J732" s="33" t="str">
        <f t="shared" si="34"/>
        <v>OK</v>
      </c>
      <c r="K732" s="30">
        <v>450.94</v>
      </c>
      <c r="L732" t="s">
        <v>28</v>
      </c>
      <c r="M732" s="31" t="str">
        <f t="shared" si="35"/>
        <v>OK</v>
      </c>
    </row>
    <row r="733" spans="1:13">
      <c r="A733" t="s">
        <v>1061</v>
      </c>
      <c r="B733" s="1">
        <v>45881</v>
      </c>
      <c r="C733" t="s">
        <v>48</v>
      </c>
      <c r="D733" t="s">
        <v>12</v>
      </c>
      <c r="E733" t="s">
        <v>32</v>
      </c>
      <c r="F733" t="s">
        <v>1616</v>
      </c>
      <c r="G733">
        <v>3</v>
      </c>
      <c r="H733" s="32" t="str">
        <f t="shared" si="33"/>
        <v>OK</v>
      </c>
      <c r="I733" s="30">
        <v>394.73</v>
      </c>
      <c r="J733" s="33" t="str">
        <f t="shared" si="34"/>
        <v>OK</v>
      </c>
      <c r="K733" s="30">
        <v>300.76</v>
      </c>
      <c r="L733" t="s">
        <v>28</v>
      </c>
      <c r="M733" s="31" t="str">
        <f t="shared" si="35"/>
        <v>OK</v>
      </c>
    </row>
    <row r="734" spans="1:13">
      <c r="A734" t="s">
        <v>1262</v>
      </c>
      <c r="B734" s="1">
        <v>45881</v>
      </c>
      <c r="C734" t="s">
        <v>133</v>
      </c>
      <c r="D734" t="s">
        <v>31</v>
      </c>
      <c r="E734" t="s">
        <v>20</v>
      </c>
      <c r="F734" t="s">
        <v>86</v>
      </c>
      <c r="G734">
        <v>5</v>
      </c>
      <c r="H734" s="32" t="str">
        <f t="shared" si="33"/>
        <v>OK</v>
      </c>
      <c r="I734" s="30">
        <v>4741.99</v>
      </c>
      <c r="J734" s="33" t="str">
        <f t="shared" si="34"/>
        <v>OK</v>
      </c>
      <c r="K734" s="30">
        <v>3784.21</v>
      </c>
      <c r="L734" t="s">
        <v>22</v>
      </c>
      <c r="M734" s="31" t="str">
        <f t="shared" si="35"/>
        <v>OK</v>
      </c>
    </row>
    <row r="735" spans="1:13">
      <c r="A735" t="s">
        <v>656</v>
      </c>
      <c r="B735" s="1">
        <v>45882</v>
      </c>
      <c r="C735" t="s">
        <v>30</v>
      </c>
      <c r="D735" t="s">
        <v>12</v>
      </c>
      <c r="E735" t="s">
        <v>36</v>
      </c>
      <c r="F735" t="s">
        <v>93</v>
      </c>
      <c r="G735">
        <v>-2</v>
      </c>
      <c r="H735" s="32" t="str">
        <f t="shared" si="33"/>
        <v>Negative Quantity</v>
      </c>
      <c r="I735" s="30">
        <v>10129.89</v>
      </c>
      <c r="J735" s="33" t="str">
        <f t="shared" si="34"/>
        <v>OK</v>
      </c>
      <c r="K735" s="30">
        <v>8093.25</v>
      </c>
      <c r="L735" t="s">
        <v>16</v>
      </c>
      <c r="M735" s="31" t="str">
        <f t="shared" si="35"/>
        <v>OK</v>
      </c>
    </row>
    <row r="736" spans="1:13">
      <c r="A736" t="s">
        <v>1036</v>
      </c>
      <c r="B736" s="1">
        <v>45882</v>
      </c>
      <c r="C736" t="s">
        <v>108</v>
      </c>
      <c r="D736" t="s">
        <v>31</v>
      </c>
      <c r="E736" t="s">
        <v>36</v>
      </c>
      <c r="F736" t="s">
        <v>46</v>
      </c>
      <c r="G736">
        <v>7</v>
      </c>
      <c r="H736" s="32" t="str">
        <f t="shared" si="33"/>
        <v>OK</v>
      </c>
      <c r="I736" s="30">
        <v>10518.73</v>
      </c>
      <c r="J736" s="33" t="str">
        <f t="shared" si="34"/>
        <v>OK</v>
      </c>
      <c r="K736" s="30">
        <v>7139.92</v>
      </c>
      <c r="L736" t="s">
        <v>38</v>
      </c>
      <c r="M736" s="31" t="str">
        <f t="shared" si="35"/>
        <v>OK</v>
      </c>
    </row>
    <row r="737" spans="1:13">
      <c r="A737" t="s">
        <v>1379</v>
      </c>
      <c r="B737" s="1">
        <v>45882</v>
      </c>
      <c r="C737" t="s">
        <v>11</v>
      </c>
      <c r="D737" t="s">
        <v>12</v>
      </c>
      <c r="E737" t="s">
        <v>32</v>
      </c>
      <c r="F737" t="s">
        <v>1616</v>
      </c>
      <c r="G737">
        <v>5</v>
      </c>
      <c r="H737" s="32" t="str">
        <f t="shared" si="33"/>
        <v>OK</v>
      </c>
      <c r="I737" s="30">
        <v>1448.29</v>
      </c>
      <c r="J737" s="33" t="str">
        <f t="shared" si="34"/>
        <v>OK</v>
      </c>
      <c r="K737" s="30">
        <v>1030.79</v>
      </c>
      <c r="L737" t="s">
        <v>38</v>
      </c>
      <c r="M737" s="31" t="str">
        <f t="shared" si="35"/>
        <v>OK</v>
      </c>
    </row>
    <row r="738" spans="1:13">
      <c r="A738" t="s">
        <v>87</v>
      </c>
      <c r="B738" s="1">
        <v>45883</v>
      </c>
      <c r="C738" t="s">
        <v>35</v>
      </c>
      <c r="D738" t="s">
        <v>12</v>
      </c>
      <c r="E738" t="s">
        <v>36</v>
      </c>
      <c r="F738" t="s">
        <v>1614</v>
      </c>
      <c r="G738">
        <v>1</v>
      </c>
      <c r="H738" s="32" t="str">
        <f t="shared" si="33"/>
        <v>OK</v>
      </c>
      <c r="I738" s="30">
        <v>10810.71</v>
      </c>
      <c r="J738" s="33" t="str">
        <f t="shared" si="34"/>
        <v>OK</v>
      </c>
      <c r="K738" s="30">
        <v>8558.61</v>
      </c>
      <c r="L738" t="s">
        <v>16</v>
      </c>
      <c r="M738" s="31" t="str">
        <f t="shared" si="35"/>
        <v>OK</v>
      </c>
    </row>
    <row r="739" spans="1:13">
      <c r="A739" t="s">
        <v>148</v>
      </c>
      <c r="B739" s="1">
        <v>45883</v>
      </c>
      <c r="C739" t="s">
        <v>119</v>
      </c>
      <c r="D739" t="s">
        <v>19</v>
      </c>
      <c r="E739" t="s">
        <v>82</v>
      </c>
      <c r="F739" t="s">
        <v>150</v>
      </c>
      <c r="G739">
        <v>4</v>
      </c>
      <c r="H739" s="32" t="str">
        <f t="shared" si="33"/>
        <v>OK</v>
      </c>
      <c r="I739" s="30">
        <v>6932.52</v>
      </c>
      <c r="J739" s="33" t="str">
        <f t="shared" si="34"/>
        <v>OK</v>
      </c>
      <c r="K739" s="30">
        <v>4047.19</v>
      </c>
      <c r="L739" t="s">
        <v>71</v>
      </c>
      <c r="M739" s="31" t="str">
        <f t="shared" si="35"/>
        <v>OK</v>
      </c>
    </row>
    <row r="740" spans="1:13">
      <c r="A740" t="s">
        <v>605</v>
      </c>
      <c r="B740" s="1">
        <v>45883</v>
      </c>
      <c r="C740" t="s">
        <v>124</v>
      </c>
      <c r="D740" t="s">
        <v>12</v>
      </c>
      <c r="E740" t="s">
        <v>82</v>
      </c>
      <c r="F740" t="s">
        <v>109</v>
      </c>
      <c r="G740">
        <v>2</v>
      </c>
      <c r="H740" s="32" t="str">
        <f t="shared" si="33"/>
        <v>OK</v>
      </c>
      <c r="I740" s="30">
        <v>1593.6</v>
      </c>
      <c r="J740" s="33" t="str">
        <f t="shared" si="34"/>
        <v>OK</v>
      </c>
      <c r="K740" s="30">
        <v>1063.08</v>
      </c>
      <c r="L740" t="s">
        <v>28</v>
      </c>
      <c r="M740" s="31" t="str">
        <f t="shared" si="35"/>
        <v>OK</v>
      </c>
    </row>
    <row r="741" spans="1:13">
      <c r="A741" t="s">
        <v>1068</v>
      </c>
      <c r="B741" s="1">
        <v>45883</v>
      </c>
      <c r="C741" t="s">
        <v>119</v>
      </c>
      <c r="D741" t="s">
        <v>31</v>
      </c>
      <c r="E741" t="s">
        <v>32</v>
      </c>
      <c r="F741" t="s">
        <v>101</v>
      </c>
      <c r="G741">
        <v>6</v>
      </c>
      <c r="H741" s="32" t="str">
        <f t="shared" si="33"/>
        <v>OK</v>
      </c>
      <c r="I741" s="30">
        <v>1190.42</v>
      </c>
      <c r="J741" s="33" t="str">
        <f t="shared" si="34"/>
        <v>OK</v>
      </c>
      <c r="K741" s="30">
        <v>978.25</v>
      </c>
      <c r="L741" t="s">
        <v>38</v>
      </c>
      <c r="M741" s="31" t="str">
        <f t="shared" si="35"/>
        <v>OK</v>
      </c>
    </row>
    <row r="742" spans="1:13">
      <c r="A742" t="s">
        <v>1194</v>
      </c>
      <c r="B742" s="1">
        <v>45883</v>
      </c>
      <c r="C742" t="s">
        <v>162</v>
      </c>
      <c r="D742" t="s">
        <v>63</v>
      </c>
      <c r="E742" t="s">
        <v>36</v>
      </c>
      <c r="F742" t="s">
        <v>93</v>
      </c>
      <c r="G742">
        <v>1</v>
      </c>
      <c r="H742" s="32" t="str">
        <f t="shared" si="33"/>
        <v>OK</v>
      </c>
      <c r="I742" s="30">
        <v>1983.05</v>
      </c>
      <c r="J742" s="33" t="str">
        <f t="shared" si="34"/>
        <v>OK</v>
      </c>
      <c r="K742" s="30">
        <v>1519.3</v>
      </c>
      <c r="L742" t="s">
        <v>16</v>
      </c>
      <c r="M742" s="31" t="str">
        <f t="shared" si="35"/>
        <v>OK</v>
      </c>
    </row>
    <row r="743" spans="1:13">
      <c r="A743" t="s">
        <v>204</v>
      </c>
      <c r="B743" s="1">
        <v>45884</v>
      </c>
      <c r="C743" t="s">
        <v>35</v>
      </c>
      <c r="D743" t="s">
        <v>57</v>
      </c>
      <c r="E743" t="s">
        <v>82</v>
      </c>
      <c r="F743" t="s">
        <v>109</v>
      </c>
      <c r="G743">
        <v>8</v>
      </c>
      <c r="H743" s="32" t="str">
        <f t="shared" si="33"/>
        <v>OK</v>
      </c>
      <c r="I743" s="30">
        <v>2321.14</v>
      </c>
      <c r="J743" s="33" t="str">
        <f t="shared" si="34"/>
        <v>OK</v>
      </c>
      <c r="K743" s="30">
        <v>1387.56</v>
      </c>
      <c r="L743" t="s">
        <v>71</v>
      </c>
      <c r="M743" s="31" t="str">
        <f t="shared" si="35"/>
        <v>OK</v>
      </c>
    </row>
    <row r="744" spans="1:13">
      <c r="A744" t="s">
        <v>628</v>
      </c>
      <c r="B744" s="1">
        <v>45884</v>
      </c>
      <c r="C744" t="s">
        <v>1617</v>
      </c>
      <c r="D744" t="s">
        <v>57</v>
      </c>
      <c r="E744" t="s">
        <v>82</v>
      </c>
      <c r="F744" t="s">
        <v>155</v>
      </c>
      <c r="G744">
        <v>6</v>
      </c>
      <c r="H744" s="32" t="str">
        <f t="shared" si="33"/>
        <v>OK</v>
      </c>
      <c r="I744" s="30">
        <v>4948.37</v>
      </c>
      <c r="J744" s="33" t="str">
        <f t="shared" si="34"/>
        <v>OK</v>
      </c>
      <c r="K744" s="30">
        <v>3916.34</v>
      </c>
      <c r="L744" t="s">
        <v>16</v>
      </c>
      <c r="M744" s="31" t="str">
        <f t="shared" si="35"/>
        <v>OK</v>
      </c>
    </row>
    <row r="745" spans="1:13">
      <c r="A745" t="s">
        <v>1091</v>
      </c>
      <c r="B745" s="1">
        <v>45884</v>
      </c>
      <c r="C745" t="s">
        <v>85</v>
      </c>
      <c r="D745" t="s">
        <v>12</v>
      </c>
      <c r="E745" t="s">
        <v>26</v>
      </c>
      <c r="F745" t="s">
        <v>27</v>
      </c>
      <c r="G745">
        <v>3</v>
      </c>
      <c r="H745" s="32" t="str">
        <f t="shared" si="33"/>
        <v>OK</v>
      </c>
      <c r="I745" s="30">
        <v>2752.99</v>
      </c>
      <c r="J745" s="33" t="str">
        <f t="shared" si="34"/>
        <v>OK</v>
      </c>
      <c r="K745" s="30">
        <v>2166.1</v>
      </c>
      <c r="L745" t="s">
        <v>38</v>
      </c>
      <c r="M745" s="31" t="str">
        <f t="shared" si="35"/>
        <v>OK</v>
      </c>
    </row>
    <row r="746" spans="1:13">
      <c r="A746" t="s">
        <v>1434</v>
      </c>
      <c r="B746" s="1">
        <v>45884</v>
      </c>
      <c r="C746" t="s">
        <v>24</v>
      </c>
      <c r="D746" t="s">
        <v>63</v>
      </c>
      <c r="E746" t="s">
        <v>82</v>
      </c>
      <c r="F746" t="s">
        <v>155</v>
      </c>
      <c r="G746">
        <v>4</v>
      </c>
      <c r="H746" s="32" t="str">
        <f t="shared" si="33"/>
        <v>OK</v>
      </c>
      <c r="I746" s="30">
        <v>972.14</v>
      </c>
      <c r="J746" s="33" t="str">
        <f t="shared" si="34"/>
        <v>OK</v>
      </c>
      <c r="K746" s="30">
        <v>566.91</v>
      </c>
      <c r="L746" t="s">
        <v>1617</v>
      </c>
      <c r="M746" s="31" t="str">
        <f t="shared" si="35"/>
        <v>OK</v>
      </c>
    </row>
    <row r="747" spans="1:13">
      <c r="A747" t="s">
        <v>1603</v>
      </c>
      <c r="B747" s="1">
        <v>45884</v>
      </c>
      <c r="C747" t="s">
        <v>54</v>
      </c>
      <c r="D747" t="s">
        <v>12</v>
      </c>
      <c r="E747" t="s">
        <v>26</v>
      </c>
      <c r="F747" t="s">
        <v>106</v>
      </c>
      <c r="G747">
        <v>8</v>
      </c>
      <c r="H747" s="32" t="str">
        <f t="shared" si="33"/>
        <v>OK</v>
      </c>
      <c r="I747" s="30">
        <v>2445.79</v>
      </c>
      <c r="J747" s="33" t="str">
        <f t="shared" si="34"/>
        <v>OK</v>
      </c>
      <c r="K747" s="30">
        <v>1757.76</v>
      </c>
      <c r="L747" t="s">
        <v>71</v>
      </c>
      <c r="M747" s="31" t="str">
        <f t="shared" si="35"/>
        <v>OK</v>
      </c>
    </row>
    <row r="748" spans="1:13">
      <c r="A748" t="s">
        <v>281</v>
      </c>
      <c r="B748" s="1">
        <v>45885</v>
      </c>
      <c r="C748" t="s">
        <v>162</v>
      </c>
      <c r="D748" t="s">
        <v>31</v>
      </c>
      <c r="E748" t="s">
        <v>82</v>
      </c>
      <c r="F748" t="s">
        <v>97</v>
      </c>
      <c r="H748" s="32" t="str">
        <f t="shared" si="33"/>
        <v>Blank</v>
      </c>
      <c r="I748" s="30">
        <v>2406.94</v>
      </c>
      <c r="J748" s="33" t="str">
        <f t="shared" si="34"/>
        <v>OK</v>
      </c>
      <c r="K748" s="30">
        <v>1428.63</v>
      </c>
      <c r="L748" t="s">
        <v>22</v>
      </c>
      <c r="M748" s="31" t="str">
        <f t="shared" si="35"/>
        <v>OK</v>
      </c>
    </row>
    <row r="749" spans="1:13">
      <c r="A749" t="s">
        <v>621</v>
      </c>
      <c r="B749" s="1">
        <v>45885</v>
      </c>
      <c r="C749" t="s">
        <v>117</v>
      </c>
      <c r="D749" t="s">
        <v>12</v>
      </c>
      <c r="E749" t="s">
        <v>26</v>
      </c>
      <c r="F749" t="s">
        <v>103</v>
      </c>
      <c r="G749">
        <v>8</v>
      </c>
      <c r="H749" s="32" t="str">
        <f t="shared" si="33"/>
        <v>OK</v>
      </c>
      <c r="I749" s="30">
        <v>3339.3</v>
      </c>
      <c r="J749" s="33" t="str">
        <f t="shared" si="34"/>
        <v>OK</v>
      </c>
      <c r="K749" s="30">
        <v>2779.29</v>
      </c>
      <c r="L749" t="s">
        <v>16</v>
      </c>
      <c r="M749" s="31" t="str">
        <f t="shared" si="35"/>
        <v>OK</v>
      </c>
    </row>
    <row r="750" spans="1:13">
      <c r="A750" t="s">
        <v>1015</v>
      </c>
      <c r="B750" s="1">
        <v>45885</v>
      </c>
      <c r="C750" t="s">
        <v>35</v>
      </c>
      <c r="D750" t="s">
        <v>12</v>
      </c>
      <c r="E750" t="s">
        <v>20</v>
      </c>
      <c r="F750" t="s">
        <v>91</v>
      </c>
      <c r="G750">
        <v>3</v>
      </c>
      <c r="H750" s="32" t="str">
        <f t="shared" si="33"/>
        <v>OK</v>
      </c>
      <c r="I750" s="30">
        <v>516.91999999999996</v>
      </c>
      <c r="J750" s="33" t="str">
        <f t="shared" si="34"/>
        <v>OK</v>
      </c>
      <c r="K750" s="30">
        <v>318.44</v>
      </c>
      <c r="L750" t="s">
        <v>22</v>
      </c>
      <c r="M750" s="31" t="str">
        <f t="shared" si="35"/>
        <v>OK</v>
      </c>
    </row>
    <row r="751" spans="1:13">
      <c r="A751" t="s">
        <v>450</v>
      </c>
      <c r="B751" s="1">
        <v>45886</v>
      </c>
      <c r="C751" t="s">
        <v>74</v>
      </c>
      <c r="D751" t="s">
        <v>12</v>
      </c>
      <c r="E751" t="s">
        <v>26</v>
      </c>
      <c r="F751" t="s">
        <v>350</v>
      </c>
      <c r="G751">
        <v>7</v>
      </c>
      <c r="H751" s="32" t="str">
        <f t="shared" si="33"/>
        <v>OK</v>
      </c>
      <c r="I751" s="30">
        <v>791.6</v>
      </c>
      <c r="J751" s="33" t="str">
        <f t="shared" si="34"/>
        <v>OK</v>
      </c>
      <c r="K751" s="30">
        <v>551.34</v>
      </c>
      <c r="L751" t="s">
        <v>28</v>
      </c>
      <c r="M751" s="31" t="str">
        <f t="shared" si="35"/>
        <v>OK</v>
      </c>
    </row>
    <row r="752" spans="1:13">
      <c r="A752" t="s">
        <v>639</v>
      </c>
      <c r="B752" s="1">
        <v>45886</v>
      </c>
      <c r="C752" t="s">
        <v>135</v>
      </c>
      <c r="D752" t="s">
        <v>31</v>
      </c>
      <c r="E752" t="s">
        <v>32</v>
      </c>
      <c r="F752" t="s">
        <v>1616</v>
      </c>
      <c r="G752">
        <v>2</v>
      </c>
      <c r="H752" s="32" t="str">
        <f t="shared" si="33"/>
        <v>OK</v>
      </c>
      <c r="I752" s="30">
        <v>1076.46</v>
      </c>
      <c r="J752" s="33" t="str">
        <f t="shared" si="34"/>
        <v>OK</v>
      </c>
      <c r="K752" s="30">
        <v>693.84</v>
      </c>
      <c r="L752" t="s">
        <v>71</v>
      </c>
      <c r="M752" s="31" t="str">
        <f t="shared" si="35"/>
        <v>OK</v>
      </c>
    </row>
    <row r="753" spans="1:13">
      <c r="A753" t="s">
        <v>926</v>
      </c>
      <c r="B753" s="1">
        <v>45886</v>
      </c>
      <c r="C753" t="s">
        <v>18</v>
      </c>
      <c r="D753" t="s">
        <v>12</v>
      </c>
      <c r="E753" t="s">
        <v>36</v>
      </c>
      <c r="F753" t="s">
        <v>113</v>
      </c>
      <c r="G753">
        <v>2</v>
      </c>
      <c r="H753" s="32" t="str">
        <f t="shared" si="33"/>
        <v>OK</v>
      </c>
      <c r="I753" s="30">
        <v>17586.86</v>
      </c>
      <c r="J753" s="33" t="str">
        <f t="shared" si="34"/>
        <v>OK</v>
      </c>
      <c r="K753" s="30">
        <v>11961.88</v>
      </c>
      <c r="L753" t="s">
        <v>28</v>
      </c>
      <c r="M753" s="31" t="str">
        <f t="shared" si="35"/>
        <v>OK</v>
      </c>
    </row>
    <row r="754" spans="1:13">
      <c r="A754" t="s">
        <v>1226</v>
      </c>
      <c r="B754" s="1">
        <v>45886</v>
      </c>
      <c r="C754" t="s">
        <v>18</v>
      </c>
      <c r="D754" t="s">
        <v>31</v>
      </c>
      <c r="E754" t="s">
        <v>32</v>
      </c>
      <c r="F754" t="s">
        <v>52</v>
      </c>
      <c r="G754">
        <v>4</v>
      </c>
      <c r="H754" s="32" t="str">
        <f t="shared" si="33"/>
        <v>OK</v>
      </c>
      <c r="I754" s="30">
        <v>1878.57</v>
      </c>
      <c r="J754" s="33" t="str">
        <f t="shared" si="34"/>
        <v>OK</v>
      </c>
      <c r="K754" s="30">
        <v>1302.2</v>
      </c>
      <c r="L754" t="s">
        <v>71</v>
      </c>
      <c r="M754" s="31" t="str">
        <f t="shared" si="35"/>
        <v>OK</v>
      </c>
    </row>
    <row r="755" spans="1:13">
      <c r="A755" t="s">
        <v>721</v>
      </c>
      <c r="B755" s="1">
        <v>45887</v>
      </c>
      <c r="C755" t="s">
        <v>30</v>
      </c>
      <c r="D755" t="s">
        <v>57</v>
      </c>
      <c r="E755" t="s">
        <v>20</v>
      </c>
      <c r="F755" t="s">
        <v>196</v>
      </c>
      <c r="G755">
        <v>3</v>
      </c>
      <c r="H755" s="32" t="str">
        <f t="shared" si="33"/>
        <v>OK</v>
      </c>
      <c r="I755" s="30">
        <v>2820.35</v>
      </c>
      <c r="J755" s="33" t="str">
        <f t="shared" si="34"/>
        <v>OK</v>
      </c>
      <c r="K755" s="30">
        <v>1810.44</v>
      </c>
      <c r="L755" t="s">
        <v>71</v>
      </c>
      <c r="M755" s="31" t="str">
        <f t="shared" si="35"/>
        <v>OK</v>
      </c>
    </row>
    <row r="756" spans="1:13">
      <c r="A756" t="s">
        <v>829</v>
      </c>
      <c r="B756" s="1">
        <v>45887</v>
      </c>
      <c r="C756" t="s">
        <v>74</v>
      </c>
      <c r="D756" t="s">
        <v>12</v>
      </c>
      <c r="E756" t="s">
        <v>82</v>
      </c>
      <c r="F756" t="s">
        <v>97</v>
      </c>
      <c r="G756">
        <v>7</v>
      </c>
      <c r="H756" s="32" t="str">
        <f t="shared" si="33"/>
        <v>OK</v>
      </c>
      <c r="I756" s="30">
        <v>3772.77</v>
      </c>
      <c r="J756" s="33" t="str">
        <f t="shared" si="34"/>
        <v>OK</v>
      </c>
      <c r="K756" s="30">
        <v>2998.59</v>
      </c>
      <c r="L756" t="s">
        <v>38</v>
      </c>
      <c r="M756" s="31" t="str">
        <f t="shared" si="35"/>
        <v>OK</v>
      </c>
    </row>
    <row r="757" spans="1:13">
      <c r="A757" t="s">
        <v>818</v>
      </c>
      <c r="B757" s="1">
        <v>45888</v>
      </c>
      <c r="C757" t="s">
        <v>59</v>
      </c>
      <c r="D757" t="s">
        <v>12</v>
      </c>
      <c r="E757" t="s">
        <v>82</v>
      </c>
      <c r="F757" t="s">
        <v>109</v>
      </c>
      <c r="G757">
        <v>5</v>
      </c>
      <c r="H757" s="32" t="str">
        <f t="shared" si="33"/>
        <v>OK</v>
      </c>
      <c r="I757" s="30">
        <v>5808.16</v>
      </c>
      <c r="J757" s="33" t="str">
        <f t="shared" si="34"/>
        <v>OK</v>
      </c>
      <c r="K757" s="30">
        <v>4232.58</v>
      </c>
      <c r="L757" t="s">
        <v>28</v>
      </c>
      <c r="M757" s="31" t="str">
        <f t="shared" si="35"/>
        <v>OK</v>
      </c>
    </row>
    <row r="758" spans="1:13">
      <c r="A758" t="s">
        <v>975</v>
      </c>
      <c r="B758" s="1">
        <v>45888</v>
      </c>
      <c r="C758" t="s">
        <v>40</v>
      </c>
      <c r="D758" t="s">
        <v>12</v>
      </c>
      <c r="E758" t="s">
        <v>82</v>
      </c>
      <c r="F758" t="s">
        <v>109</v>
      </c>
      <c r="G758">
        <v>7</v>
      </c>
      <c r="H758" s="32" t="str">
        <f t="shared" si="33"/>
        <v>OK</v>
      </c>
      <c r="I758" s="30">
        <v>2966.32</v>
      </c>
      <c r="J758" s="33" t="str">
        <f t="shared" si="34"/>
        <v>OK</v>
      </c>
      <c r="K758" s="30">
        <v>2321.33</v>
      </c>
      <c r="L758" t="s">
        <v>71</v>
      </c>
      <c r="M758" s="31" t="str">
        <f t="shared" si="35"/>
        <v>OK</v>
      </c>
    </row>
    <row r="759" spans="1:13">
      <c r="A759" t="s">
        <v>263</v>
      </c>
      <c r="B759" s="1">
        <v>45889</v>
      </c>
      <c r="C759" t="s">
        <v>115</v>
      </c>
      <c r="D759" t="s">
        <v>31</v>
      </c>
      <c r="E759" t="s">
        <v>26</v>
      </c>
      <c r="F759" t="s">
        <v>103</v>
      </c>
      <c r="G759">
        <v>5</v>
      </c>
      <c r="H759" s="32" t="str">
        <f t="shared" si="33"/>
        <v>OK</v>
      </c>
      <c r="I759" s="30">
        <v>1755.88</v>
      </c>
      <c r="J759" s="33" t="str">
        <f t="shared" si="34"/>
        <v>OK</v>
      </c>
      <c r="K759" s="30">
        <v>1459.7</v>
      </c>
      <c r="L759" t="s">
        <v>16</v>
      </c>
      <c r="M759" s="31" t="str">
        <f t="shared" si="35"/>
        <v>OK</v>
      </c>
    </row>
    <row r="760" spans="1:13">
      <c r="A760" t="s">
        <v>764</v>
      </c>
      <c r="B760" s="1">
        <v>45889</v>
      </c>
      <c r="C760" t="s">
        <v>11</v>
      </c>
      <c r="D760" t="s">
        <v>63</v>
      </c>
      <c r="E760" t="s">
        <v>26</v>
      </c>
      <c r="F760" t="s">
        <v>350</v>
      </c>
      <c r="G760">
        <v>3</v>
      </c>
      <c r="H760" s="32" t="str">
        <f t="shared" si="33"/>
        <v>OK</v>
      </c>
      <c r="I760" s="30">
        <v>699.09</v>
      </c>
      <c r="J760" s="33" t="str">
        <f t="shared" si="34"/>
        <v>OK</v>
      </c>
      <c r="K760" s="30">
        <v>523.5</v>
      </c>
      <c r="L760" t="s">
        <v>38</v>
      </c>
      <c r="M760" s="31" t="str">
        <f t="shared" si="35"/>
        <v>OK</v>
      </c>
    </row>
    <row r="761" spans="1:13">
      <c r="A761" t="s">
        <v>812</v>
      </c>
      <c r="B761" s="1">
        <v>45889</v>
      </c>
      <c r="C761" t="s">
        <v>129</v>
      </c>
      <c r="D761" t="s">
        <v>12</v>
      </c>
      <c r="E761" t="s">
        <v>26</v>
      </c>
      <c r="F761" t="s">
        <v>106</v>
      </c>
      <c r="G761">
        <v>1</v>
      </c>
      <c r="H761" s="32" t="str">
        <f t="shared" si="33"/>
        <v>OK</v>
      </c>
      <c r="I761" s="30">
        <v>434.89</v>
      </c>
      <c r="J761" s="33" t="str">
        <f t="shared" si="34"/>
        <v>OK</v>
      </c>
      <c r="K761" s="30">
        <v>358.55</v>
      </c>
      <c r="L761" t="s">
        <v>16</v>
      </c>
      <c r="M761" s="31" t="str">
        <f t="shared" si="35"/>
        <v>OK</v>
      </c>
    </row>
    <row r="762" spans="1:13">
      <c r="A762" t="s">
        <v>1453</v>
      </c>
      <c r="B762" s="1">
        <v>45889</v>
      </c>
      <c r="C762" t="s">
        <v>108</v>
      </c>
      <c r="D762" t="s">
        <v>31</v>
      </c>
      <c r="E762" t="s">
        <v>32</v>
      </c>
      <c r="F762" t="s">
        <v>101</v>
      </c>
      <c r="G762">
        <v>8</v>
      </c>
      <c r="H762" s="32" t="str">
        <f t="shared" si="33"/>
        <v>OK</v>
      </c>
      <c r="I762" s="30">
        <v>2209.06</v>
      </c>
      <c r="J762" s="33" t="str">
        <f t="shared" si="34"/>
        <v>OK</v>
      </c>
      <c r="K762" s="30">
        <v>1312.31</v>
      </c>
      <c r="L762" t="s">
        <v>71</v>
      </c>
      <c r="M762" s="31" t="str">
        <f t="shared" si="35"/>
        <v>OK</v>
      </c>
    </row>
    <row r="763" spans="1:13">
      <c r="A763" t="s">
        <v>1474</v>
      </c>
      <c r="B763" s="1">
        <v>45889</v>
      </c>
      <c r="C763" t="s">
        <v>35</v>
      </c>
      <c r="D763" t="s">
        <v>12</v>
      </c>
      <c r="E763" t="s">
        <v>20</v>
      </c>
      <c r="F763" t="s">
        <v>86</v>
      </c>
      <c r="G763">
        <v>2</v>
      </c>
      <c r="H763" s="32" t="str">
        <f t="shared" si="33"/>
        <v>OK</v>
      </c>
      <c r="I763" s="30">
        <v>4895.57</v>
      </c>
      <c r="J763" s="33" t="str">
        <f t="shared" si="34"/>
        <v>OK</v>
      </c>
      <c r="K763" s="30">
        <v>2746.54</v>
      </c>
      <c r="L763" t="s">
        <v>16</v>
      </c>
      <c r="M763" s="31" t="str">
        <f t="shared" si="35"/>
        <v>OK</v>
      </c>
    </row>
    <row r="764" spans="1:13">
      <c r="A764" t="s">
        <v>1590</v>
      </c>
      <c r="B764" s="1">
        <v>45889</v>
      </c>
      <c r="C764" t="s">
        <v>18</v>
      </c>
      <c r="D764" t="s">
        <v>31</v>
      </c>
      <c r="E764" t="s">
        <v>36</v>
      </c>
      <c r="F764" t="s">
        <v>1614</v>
      </c>
      <c r="G764">
        <v>2</v>
      </c>
      <c r="H764" s="32" t="str">
        <f t="shared" si="33"/>
        <v>OK</v>
      </c>
      <c r="I764" s="30">
        <v>11435.46</v>
      </c>
      <c r="J764" s="33" t="str">
        <f t="shared" si="34"/>
        <v>OK</v>
      </c>
      <c r="K764" s="30">
        <v>8838.74</v>
      </c>
      <c r="L764" t="s">
        <v>38</v>
      </c>
      <c r="M764" s="31" t="str">
        <f t="shared" si="35"/>
        <v>OK</v>
      </c>
    </row>
    <row r="765" spans="1:13">
      <c r="A765" t="s">
        <v>409</v>
      </c>
      <c r="B765" s="1">
        <v>45890</v>
      </c>
      <c r="C765" t="s">
        <v>30</v>
      </c>
      <c r="D765" t="s">
        <v>31</v>
      </c>
      <c r="E765" t="s">
        <v>20</v>
      </c>
      <c r="F765" t="s">
        <v>191</v>
      </c>
      <c r="G765">
        <v>6</v>
      </c>
      <c r="H765" s="32" t="str">
        <f t="shared" si="33"/>
        <v>OK</v>
      </c>
      <c r="I765" s="30">
        <v>4187.67</v>
      </c>
      <c r="J765" s="33" t="str">
        <f t="shared" si="34"/>
        <v>OK</v>
      </c>
      <c r="K765" s="30">
        <v>3330.19</v>
      </c>
      <c r="L765" t="s">
        <v>38</v>
      </c>
      <c r="M765" s="31" t="str">
        <f t="shared" si="35"/>
        <v>OK</v>
      </c>
    </row>
    <row r="766" spans="1:13">
      <c r="A766" t="s">
        <v>453</v>
      </c>
      <c r="B766" s="1">
        <v>45890</v>
      </c>
      <c r="C766" t="s">
        <v>162</v>
      </c>
      <c r="D766" t="s">
        <v>31</v>
      </c>
      <c r="E766" t="s">
        <v>26</v>
      </c>
      <c r="F766" t="s">
        <v>103</v>
      </c>
      <c r="G766">
        <v>2</v>
      </c>
      <c r="H766" s="32" t="str">
        <f t="shared" si="33"/>
        <v>OK</v>
      </c>
      <c r="I766" s="30">
        <v>647.12</v>
      </c>
      <c r="J766" s="33" t="str">
        <f t="shared" si="34"/>
        <v>OK</v>
      </c>
      <c r="K766" s="30">
        <v>460.41</v>
      </c>
      <c r="L766" t="s">
        <v>71</v>
      </c>
      <c r="M766" s="31" t="str">
        <f t="shared" si="35"/>
        <v>OK</v>
      </c>
    </row>
    <row r="767" spans="1:13">
      <c r="A767" t="s">
        <v>183</v>
      </c>
      <c r="B767" s="1">
        <v>45891</v>
      </c>
      <c r="C767" t="s">
        <v>162</v>
      </c>
      <c r="D767" t="s">
        <v>12</v>
      </c>
      <c r="E767" t="s">
        <v>32</v>
      </c>
      <c r="F767" t="s">
        <v>101</v>
      </c>
      <c r="G767">
        <v>5</v>
      </c>
      <c r="H767" s="32" t="str">
        <f t="shared" si="33"/>
        <v>OK</v>
      </c>
      <c r="I767" s="30">
        <v>1780.21</v>
      </c>
      <c r="J767" s="33" t="str">
        <f t="shared" si="34"/>
        <v>OK</v>
      </c>
      <c r="K767" s="30">
        <v>1473.23</v>
      </c>
      <c r="L767" t="s">
        <v>71</v>
      </c>
      <c r="M767" s="31" t="str">
        <f t="shared" si="35"/>
        <v>OK</v>
      </c>
    </row>
    <row r="768" spans="1:13">
      <c r="A768" t="s">
        <v>475</v>
      </c>
      <c r="B768" s="1">
        <v>45891</v>
      </c>
      <c r="C768" t="s">
        <v>40</v>
      </c>
      <c r="D768" t="s">
        <v>12</v>
      </c>
      <c r="E768" t="s">
        <v>20</v>
      </c>
      <c r="F768" t="s">
        <v>191</v>
      </c>
      <c r="G768">
        <v>1</v>
      </c>
      <c r="H768" s="32" t="str">
        <f t="shared" si="33"/>
        <v>OK</v>
      </c>
      <c r="I768" s="30">
        <v>5955.11</v>
      </c>
      <c r="J768" s="33" t="str">
        <f t="shared" si="34"/>
        <v>OK</v>
      </c>
      <c r="K768" s="30">
        <v>4116.0200000000004</v>
      </c>
      <c r="L768" t="s">
        <v>71</v>
      </c>
      <c r="M768" s="31" t="str">
        <f t="shared" si="35"/>
        <v>OK</v>
      </c>
    </row>
    <row r="769" spans="1:13">
      <c r="A769" t="s">
        <v>889</v>
      </c>
      <c r="B769" s="1">
        <v>45891</v>
      </c>
      <c r="C769" t="s">
        <v>67</v>
      </c>
      <c r="D769" t="s">
        <v>12</v>
      </c>
      <c r="E769" t="s">
        <v>26</v>
      </c>
      <c r="F769" t="s">
        <v>350</v>
      </c>
      <c r="G769">
        <v>6</v>
      </c>
      <c r="H769" s="32" t="str">
        <f t="shared" si="33"/>
        <v>OK</v>
      </c>
      <c r="I769" s="30">
        <v>1659.41</v>
      </c>
      <c r="J769" s="33" t="str">
        <f t="shared" si="34"/>
        <v>OK</v>
      </c>
      <c r="K769" s="30">
        <v>1288.76</v>
      </c>
      <c r="L769" t="s">
        <v>71</v>
      </c>
      <c r="M769" s="31" t="str">
        <f t="shared" si="35"/>
        <v>OK</v>
      </c>
    </row>
    <row r="770" spans="1:13">
      <c r="A770" t="s">
        <v>1208</v>
      </c>
      <c r="B770" s="1">
        <v>45891</v>
      </c>
      <c r="C770" t="s">
        <v>48</v>
      </c>
      <c r="D770" t="s">
        <v>19</v>
      </c>
      <c r="E770" t="s">
        <v>36</v>
      </c>
      <c r="F770" t="s">
        <v>42</v>
      </c>
      <c r="G770">
        <v>8</v>
      </c>
      <c r="H770" s="32" t="str">
        <f t="shared" ref="H770:H833" si="36">IF(G770="","Blank",IF(G770&lt;0,"Negative Quantity",IF(G770=0,"Zero Quantity",IF(G770&gt;0,"OK",""))))</f>
        <v>OK</v>
      </c>
      <c r="I770" s="30">
        <v>5553.49</v>
      </c>
      <c r="J770" s="33" t="str">
        <f t="shared" ref="J770:J833" si="37">IF(I770="","Missing Sales",IF(I770&lt;0,"Negative Sales","OK"))</f>
        <v>OK</v>
      </c>
      <c r="K770" s="30">
        <v>4195.71</v>
      </c>
      <c r="L770" t="s">
        <v>71</v>
      </c>
      <c r="M770" s="31" t="str">
        <f t="shared" ref="M770:M833" si="38">IF(OR(I770="",K770=""),"Missing Data",IF(I770&lt;K770,"Sales &lt; Cost","OK"))</f>
        <v>OK</v>
      </c>
    </row>
    <row r="771" spans="1:13">
      <c r="A771" t="s">
        <v>39</v>
      </c>
      <c r="B771" s="1">
        <v>45892</v>
      </c>
      <c r="C771" t="s">
        <v>40</v>
      </c>
      <c r="D771" t="s">
        <v>12</v>
      </c>
      <c r="E771" t="s">
        <v>36</v>
      </c>
      <c r="F771" t="s">
        <v>42</v>
      </c>
      <c r="G771">
        <v>6</v>
      </c>
      <c r="H771" s="32" t="str">
        <f t="shared" si="36"/>
        <v>OK</v>
      </c>
      <c r="I771" s="30">
        <v>15436.82</v>
      </c>
      <c r="J771" s="33" t="str">
        <f t="shared" si="37"/>
        <v>OK</v>
      </c>
      <c r="K771" s="30">
        <v>12543.55</v>
      </c>
      <c r="L771" t="s">
        <v>28</v>
      </c>
      <c r="M771" s="31" t="str">
        <f t="shared" si="38"/>
        <v>OK</v>
      </c>
    </row>
    <row r="772" spans="1:13">
      <c r="A772" t="s">
        <v>164</v>
      </c>
      <c r="B772" s="1">
        <v>45892</v>
      </c>
      <c r="C772" t="s">
        <v>40</v>
      </c>
      <c r="D772" t="s">
        <v>31</v>
      </c>
      <c r="E772" t="s">
        <v>26</v>
      </c>
      <c r="F772" t="s">
        <v>27</v>
      </c>
      <c r="G772">
        <v>8</v>
      </c>
      <c r="H772" s="32" t="str">
        <f t="shared" si="36"/>
        <v>OK</v>
      </c>
      <c r="I772" s="30">
        <v>3030.09</v>
      </c>
      <c r="J772" s="33" t="str">
        <f t="shared" si="37"/>
        <v>OK</v>
      </c>
      <c r="K772" s="30">
        <v>2210.0100000000002</v>
      </c>
      <c r="L772" t="s">
        <v>16</v>
      </c>
      <c r="M772" s="31" t="str">
        <f t="shared" si="38"/>
        <v>OK</v>
      </c>
    </row>
    <row r="773" spans="1:13">
      <c r="A773" t="s">
        <v>288</v>
      </c>
      <c r="B773" s="1">
        <v>45892</v>
      </c>
      <c r="C773" t="s">
        <v>105</v>
      </c>
      <c r="D773" t="s">
        <v>12</v>
      </c>
      <c r="E773" t="s">
        <v>82</v>
      </c>
      <c r="F773" t="s">
        <v>137</v>
      </c>
      <c r="G773">
        <v>1</v>
      </c>
      <c r="H773" s="32" t="str">
        <f t="shared" si="36"/>
        <v>OK</v>
      </c>
      <c r="I773" s="30">
        <v>801.45</v>
      </c>
      <c r="J773" s="33" t="str">
        <f t="shared" si="37"/>
        <v>OK</v>
      </c>
      <c r="K773" s="30">
        <v>567.48</v>
      </c>
      <c r="L773" t="s">
        <v>28</v>
      </c>
      <c r="M773" s="31" t="str">
        <f t="shared" si="38"/>
        <v>OK</v>
      </c>
    </row>
    <row r="774" spans="1:13">
      <c r="A774" t="s">
        <v>644</v>
      </c>
      <c r="B774" s="1">
        <v>45892</v>
      </c>
      <c r="C774" t="s">
        <v>135</v>
      </c>
      <c r="D774" t="s">
        <v>12</v>
      </c>
      <c r="E774" t="s">
        <v>36</v>
      </c>
      <c r="F774" t="s">
        <v>93</v>
      </c>
      <c r="G774">
        <v>2</v>
      </c>
      <c r="H774" s="32" t="str">
        <f t="shared" si="36"/>
        <v>OK</v>
      </c>
      <c r="I774" s="30">
        <v>17566.68</v>
      </c>
      <c r="J774" s="33" t="str">
        <f t="shared" si="37"/>
        <v>OK</v>
      </c>
      <c r="K774" s="30">
        <v>14192.92</v>
      </c>
      <c r="L774" t="s">
        <v>38</v>
      </c>
      <c r="M774" s="31" t="str">
        <f t="shared" si="38"/>
        <v>OK</v>
      </c>
    </row>
    <row r="775" spans="1:13">
      <c r="A775" t="s">
        <v>1142</v>
      </c>
      <c r="B775" s="1">
        <v>45892</v>
      </c>
      <c r="C775" t="s">
        <v>70</v>
      </c>
      <c r="D775" t="s">
        <v>19</v>
      </c>
      <c r="E775" t="s">
        <v>36</v>
      </c>
      <c r="F775" t="s">
        <v>37</v>
      </c>
      <c r="G775">
        <v>2</v>
      </c>
      <c r="H775" s="32" t="str">
        <f t="shared" si="36"/>
        <v>OK</v>
      </c>
      <c r="I775" s="30">
        <v>2152.7600000000002</v>
      </c>
      <c r="J775" s="33" t="str">
        <f t="shared" si="37"/>
        <v>OK</v>
      </c>
      <c r="K775" s="30">
        <v>1335.45</v>
      </c>
      <c r="L775" t="s">
        <v>22</v>
      </c>
      <c r="M775" s="31" t="str">
        <f t="shared" si="38"/>
        <v>OK</v>
      </c>
    </row>
    <row r="776" spans="1:13">
      <c r="A776" t="s">
        <v>123</v>
      </c>
      <c r="B776" s="1">
        <v>45893</v>
      </c>
      <c r="C776" t="s">
        <v>124</v>
      </c>
      <c r="D776" t="s">
        <v>31</v>
      </c>
      <c r="E776" t="s">
        <v>26</v>
      </c>
      <c r="F776" t="s">
        <v>27</v>
      </c>
      <c r="G776">
        <v>5</v>
      </c>
      <c r="H776" s="32" t="str">
        <f t="shared" si="36"/>
        <v>OK</v>
      </c>
      <c r="I776" s="30">
        <v>2355.33</v>
      </c>
      <c r="J776" s="33" t="str">
        <f t="shared" si="37"/>
        <v>OK</v>
      </c>
      <c r="K776" s="30">
        <v>1432.71</v>
      </c>
      <c r="L776" t="s">
        <v>16</v>
      </c>
      <c r="M776" s="31" t="str">
        <f t="shared" si="38"/>
        <v>OK</v>
      </c>
    </row>
    <row r="777" spans="1:13">
      <c r="A777" t="s">
        <v>128</v>
      </c>
      <c r="B777" s="1">
        <v>45893</v>
      </c>
      <c r="C777" t="s">
        <v>129</v>
      </c>
      <c r="D777" t="s">
        <v>63</v>
      </c>
      <c r="E777" t="s">
        <v>26</v>
      </c>
      <c r="F777" t="s">
        <v>103</v>
      </c>
      <c r="G777">
        <v>6</v>
      </c>
      <c r="H777" s="32" t="str">
        <f t="shared" si="36"/>
        <v>OK</v>
      </c>
      <c r="I777" s="30">
        <v>2025.39</v>
      </c>
      <c r="J777" s="33" t="str">
        <f t="shared" si="37"/>
        <v>OK</v>
      </c>
      <c r="K777" s="30">
        <v>1565.7</v>
      </c>
      <c r="L777" t="s">
        <v>22</v>
      </c>
      <c r="M777" s="31" t="str">
        <f t="shared" si="38"/>
        <v>OK</v>
      </c>
    </row>
    <row r="778" spans="1:13">
      <c r="A778" t="s">
        <v>1316</v>
      </c>
      <c r="B778" s="1">
        <v>45893</v>
      </c>
      <c r="C778" t="s">
        <v>117</v>
      </c>
      <c r="D778" t="s">
        <v>19</v>
      </c>
      <c r="E778" t="s">
        <v>36</v>
      </c>
      <c r="F778" t="s">
        <v>113</v>
      </c>
      <c r="G778">
        <v>6</v>
      </c>
      <c r="H778" s="32" t="str">
        <f t="shared" si="36"/>
        <v>OK</v>
      </c>
      <c r="I778" s="30">
        <v>6001.8</v>
      </c>
      <c r="J778" s="33" t="str">
        <f t="shared" si="37"/>
        <v>OK</v>
      </c>
      <c r="K778" s="30">
        <v>3513.24</v>
      </c>
      <c r="L778" t="s">
        <v>22</v>
      </c>
      <c r="M778" s="31" t="str">
        <f t="shared" si="38"/>
        <v>OK</v>
      </c>
    </row>
    <row r="779" spans="1:13">
      <c r="A779" t="s">
        <v>1193</v>
      </c>
      <c r="B779" s="1">
        <v>45894</v>
      </c>
      <c r="C779" t="s">
        <v>11</v>
      </c>
      <c r="D779" t="s">
        <v>12</v>
      </c>
      <c r="E779" t="s">
        <v>82</v>
      </c>
      <c r="F779" t="s">
        <v>83</v>
      </c>
      <c r="G779">
        <v>4</v>
      </c>
      <c r="H779" s="32" t="str">
        <f t="shared" si="36"/>
        <v>OK</v>
      </c>
      <c r="I779" s="30">
        <v>5246.47</v>
      </c>
      <c r="J779" s="33" t="str">
        <f t="shared" si="37"/>
        <v>OK</v>
      </c>
      <c r="K779" s="30">
        <v>3904.84</v>
      </c>
      <c r="L779" t="s">
        <v>71</v>
      </c>
      <c r="M779" s="31" t="str">
        <f t="shared" si="38"/>
        <v>OK</v>
      </c>
    </row>
    <row r="780" spans="1:13">
      <c r="A780" t="s">
        <v>1404</v>
      </c>
      <c r="B780" s="1">
        <v>45894</v>
      </c>
      <c r="C780" t="s">
        <v>67</v>
      </c>
      <c r="D780" t="s">
        <v>19</v>
      </c>
      <c r="E780" t="s">
        <v>36</v>
      </c>
      <c r="F780" t="s">
        <v>37</v>
      </c>
      <c r="G780">
        <v>1</v>
      </c>
      <c r="H780" s="32" t="str">
        <f t="shared" si="36"/>
        <v>OK</v>
      </c>
      <c r="I780" s="30">
        <v>3772.62</v>
      </c>
      <c r="J780" s="33" t="str">
        <f t="shared" si="37"/>
        <v>OK</v>
      </c>
      <c r="K780" s="30">
        <v>2789.41</v>
      </c>
      <c r="L780" t="s">
        <v>28</v>
      </c>
      <c r="M780" s="31" t="str">
        <f t="shared" si="38"/>
        <v>OK</v>
      </c>
    </row>
    <row r="781" spans="1:13">
      <c r="A781" t="s">
        <v>1468</v>
      </c>
      <c r="B781" s="1">
        <v>45894</v>
      </c>
      <c r="C781" t="s">
        <v>74</v>
      </c>
      <c r="D781" t="s">
        <v>12</v>
      </c>
      <c r="E781" t="s">
        <v>32</v>
      </c>
      <c r="F781" t="s">
        <v>33</v>
      </c>
      <c r="G781">
        <v>2</v>
      </c>
      <c r="H781" s="32" t="str">
        <f t="shared" si="36"/>
        <v>OK</v>
      </c>
      <c r="I781" s="30">
        <v>389.86</v>
      </c>
      <c r="J781" s="33" t="str">
        <f t="shared" si="37"/>
        <v>OK</v>
      </c>
      <c r="K781" s="30">
        <v>298.95</v>
      </c>
      <c r="L781" t="s">
        <v>28</v>
      </c>
      <c r="M781" s="31" t="str">
        <f t="shared" si="38"/>
        <v>OK</v>
      </c>
    </row>
    <row r="782" spans="1:13">
      <c r="A782" t="s">
        <v>1471</v>
      </c>
      <c r="B782" s="1">
        <v>45894</v>
      </c>
      <c r="C782" t="s">
        <v>162</v>
      </c>
      <c r="D782" t="s">
        <v>31</v>
      </c>
      <c r="E782" t="s">
        <v>20</v>
      </c>
      <c r="F782" t="s">
        <v>86</v>
      </c>
      <c r="G782">
        <v>5</v>
      </c>
      <c r="H782" s="32" t="str">
        <f t="shared" si="36"/>
        <v>OK</v>
      </c>
      <c r="I782" s="30">
        <v>3027.64</v>
      </c>
      <c r="J782" s="33" t="str">
        <f t="shared" si="37"/>
        <v>OK</v>
      </c>
      <c r="K782" s="30">
        <v>2331.46</v>
      </c>
      <c r="L782" t="s">
        <v>28</v>
      </c>
      <c r="M782" s="31" t="str">
        <f t="shared" si="38"/>
        <v>OK</v>
      </c>
    </row>
    <row r="783" spans="1:13">
      <c r="A783" t="s">
        <v>487</v>
      </c>
      <c r="B783" s="1">
        <v>45895</v>
      </c>
      <c r="C783" t="s">
        <v>24</v>
      </c>
      <c r="D783" t="s">
        <v>12</v>
      </c>
      <c r="E783" t="s">
        <v>82</v>
      </c>
      <c r="F783" t="s">
        <v>109</v>
      </c>
      <c r="G783">
        <v>8</v>
      </c>
      <c r="H783" s="32" t="str">
        <f t="shared" si="36"/>
        <v>OK</v>
      </c>
      <c r="I783" s="30">
        <v>996.91</v>
      </c>
      <c r="J783" s="33" t="str">
        <f t="shared" si="37"/>
        <v>OK</v>
      </c>
      <c r="K783" s="30">
        <v>713.01</v>
      </c>
      <c r="L783" t="s">
        <v>71</v>
      </c>
      <c r="M783" s="31" t="str">
        <f t="shared" si="38"/>
        <v>OK</v>
      </c>
    </row>
    <row r="784" spans="1:13">
      <c r="A784" t="s">
        <v>1096</v>
      </c>
      <c r="B784" s="1">
        <v>45895</v>
      </c>
      <c r="C784" t="s">
        <v>115</v>
      </c>
      <c r="D784" t="s">
        <v>19</v>
      </c>
      <c r="E784" t="s">
        <v>36</v>
      </c>
      <c r="F784" t="s">
        <v>1614</v>
      </c>
      <c r="G784">
        <v>7</v>
      </c>
      <c r="H784" s="32" t="str">
        <f t="shared" si="36"/>
        <v>OK</v>
      </c>
      <c r="I784" s="30">
        <v>2019.34</v>
      </c>
      <c r="J784" s="33" t="str">
        <f t="shared" si="37"/>
        <v>OK</v>
      </c>
      <c r="K784" s="30">
        <v>1129.9000000000001</v>
      </c>
      <c r="L784" t="s">
        <v>71</v>
      </c>
      <c r="M784" s="31" t="str">
        <f t="shared" si="38"/>
        <v>OK</v>
      </c>
    </row>
    <row r="785" spans="1:13">
      <c r="A785" t="s">
        <v>1249</v>
      </c>
      <c r="B785" s="1">
        <v>45895</v>
      </c>
      <c r="C785" t="s">
        <v>59</v>
      </c>
      <c r="D785" t="s">
        <v>63</v>
      </c>
      <c r="E785" t="s">
        <v>32</v>
      </c>
      <c r="F785" t="s">
        <v>33</v>
      </c>
      <c r="G785">
        <v>4</v>
      </c>
      <c r="H785" s="32" t="str">
        <f t="shared" si="36"/>
        <v>OK</v>
      </c>
      <c r="J785" s="33" t="str">
        <f t="shared" si="37"/>
        <v>Missing Sales</v>
      </c>
      <c r="K785" s="30">
        <v>586.91999999999996</v>
      </c>
      <c r="L785" t="s">
        <v>22</v>
      </c>
      <c r="M785" s="31" t="str">
        <f t="shared" si="38"/>
        <v>Missing Data</v>
      </c>
    </row>
    <row r="786" spans="1:13">
      <c r="A786" t="s">
        <v>435</v>
      </c>
      <c r="B786" s="1">
        <v>45896</v>
      </c>
      <c r="C786" t="s">
        <v>175</v>
      </c>
      <c r="D786" t="s">
        <v>12</v>
      </c>
      <c r="E786" t="s">
        <v>82</v>
      </c>
      <c r="F786" t="s">
        <v>150</v>
      </c>
      <c r="G786">
        <v>3</v>
      </c>
      <c r="H786" s="32" t="str">
        <f t="shared" si="36"/>
        <v>OK</v>
      </c>
      <c r="I786" s="30">
        <v>1013.25</v>
      </c>
      <c r="J786" s="33" t="str">
        <f t="shared" si="37"/>
        <v>OK</v>
      </c>
      <c r="K786" s="30">
        <v>825.57</v>
      </c>
      <c r="L786" t="s">
        <v>28</v>
      </c>
      <c r="M786" s="31" t="str">
        <f t="shared" si="38"/>
        <v>OK</v>
      </c>
    </row>
    <row r="787" spans="1:13">
      <c r="A787" t="s">
        <v>746</v>
      </c>
      <c r="B787" s="1">
        <v>45896</v>
      </c>
      <c r="C787" t="s">
        <v>11</v>
      </c>
      <c r="D787" t="s">
        <v>19</v>
      </c>
      <c r="E787" t="s">
        <v>82</v>
      </c>
      <c r="F787" t="s">
        <v>83</v>
      </c>
      <c r="G787">
        <v>2</v>
      </c>
      <c r="H787" s="32" t="str">
        <f t="shared" si="36"/>
        <v>OK</v>
      </c>
      <c r="I787" s="30">
        <v>5698.59</v>
      </c>
      <c r="J787" s="33" t="str">
        <f t="shared" si="37"/>
        <v>OK</v>
      </c>
      <c r="K787" s="30">
        <v>4492.75</v>
      </c>
      <c r="L787" t="s">
        <v>22</v>
      </c>
      <c r="M787" s="31" t="str">
        <f t="shared" si="38"/>
        <v>OK</v>
      </c>
    </row>
    <row r="788" spans="1:13">
      <c r="A788" t="s">
        <v>578</v>
      </c>
      <c r="B788" s="1">
        <v>45897</v>
      </c>
      <c r="C788" t="s">
        <v>59</v>
      </c>
      <c r="D788" t="s">
        <v>31</v>
      </c>
      <c r="E788" t="s">
        <v>26</v>
      </c>
      <c r="F788" t="s">
        <v>350</v>
      </c>
      <c r="G788">
        <v>5</v>
      </c>
      <c r="H788" s="32" t="str">
        <f t="shared" si="36"/>
        <v>OK</v>
      </c>
      <c r="I788" s="30">
        <v>3069.9</v>
      </c>
      <c r="J788" s="33" t="str">
        <f t="shared" si="37"/>
        <v>OK</v>
      </c>
      <c r="K788" s="30">
        <v>2294.9499999999998</v>
      </c>
      <c r="L788" t="s">
        <v>38</v>
      </c>
      <c r="M788" s="31" t="str">
        <f t="shared" si="38"/>
        <v>OK</v>
      </c>
    </row>
    <row r="789" spans="1:13">
      <c r="A789" t="s">
        <v>925</v>
      </c>
      <c r="B789" s="1">
        <v>45897</v>
      </c>
      <c r="C789" t="s">
        <v>40</v>
      </c>
      <c r="D789" t="s">
        <v>57</v>
      </c>
      <c r="E789" t="s">
        <v>32</v>
      </c>
      <c r="F789" t="s">
        <v>180</v>
      </c>
      <c r="G789">
        <v>1</v>
      </c>
      <c r="H789" s="32" t="str">
        <f t="shared" si="36"/>
        <v>OK</v>
      </c>
      <c r="I789" s="30">
        <v>1030.1300000000001</v>
      </c>
      <c r="J789" s="33" t="str">
        <f t="shared" si="37"/>
        <v>OK</v>
      </c>
      <c r="K789" s="30">
        <v>819.31</v>
      </c>
      <c r="L789" t="s">
        <v>28</v>
      </c>
      <c r="M789" s="31" t="str">
        <f t="shared" si="38"/>
        <v>OK</v>
      </c>
    </row>
    <row r="790" spans="1:13">
      <c r="A790" t="s">
        <v>822</v>
      </c>
      <c r="B790" s="1">
        <v>45898</v>
      </c>
      <c r="C790" t="s">
        <v>56</v>
      </c>
      <c r="D790" t="s">
        <v>19</v>
      </c>
      <c r="E790" t="s">
        <v>32</v>
      </c>
      <c r="F790" t="s">
        <v>180</v>
      </c>
      <c r="G790">
        <v>1</v>
      </c>
      <c r="H790" s="32" t="str">
        <f t="shared" si="36"/>
        <v>OK</v>
      </c>
      <c r="I790" s="30">
        <v>2192.6999999999998</v>
      </c>
      <c r="J790" s="33" t="str">
        <f t="shared" si="37"/>
        <v>OK</v>
      </c>
      <c r="K790" s="30">
        <v>1628.25</v>
      </c>
      <c r="L790" t="s">
        <v>38</v>
      </c>
      <c r="M790" s="31" t="str">
        <f t="shared" si="38"/>
        <v>OK</v>
      </c>
    </row>
    <row r="791" spans="1:13">
      <c r="A791" t="s">
        <v>1001</v>
      </c>
      <c r="B791" s="1">
        <v>45898</v>
      </c>
      <c r="C791" t="s">
        <v>11</v>
      </c>
      <c r="D791" t="s">
        <v>63</v>
      </c>
      <c r="E791" t="s">
        <v>26</v>
      </c>
      <c r="F791" t="s">
        <v>27</v>
      </c>
      <c r="G791">
        <v>1</v>
      </c>
      <c r="H791" s="32" t="str">
        <f t="shared" si="36"/>
        <v>OK</v>
      </c>
      <c r="I791" s="30">
        <v>2684.33</v>
      </c>
      <c r="J791" s="33" t="str">
        <f t="shared" si="37"/>
        <v>OK</v>
      </c>
      <c r="K791" s="30">
        <v>1522.52</v>
      </c>
      <c r="L791" t="s">
        <v>22</v>
      </c>
      <c r="M791" s="31" t="str">
        <f t="shared" si="38"/>
        <v>OK</v>
      </c>
    </row>
    <row r="792" spans="1:13">
      <c r="A792" t="s">
        <v>1512</v>
      </c>
      <c r="B792" s="1">
        <v>45898</v>
      </c>
      <c r="C792" t="s">
        <v>30</v>
      </c>
      <c r="D792" t="s">
        <v>31</v>
      </c>
      <c r="E792" t="s">
        <v>20</v>
      </c>
      <c r="F792" t="s">
        <v>21</v>
      </c>
      <c r="G792">
        <v>4</v>
      </c>
      <c r="H792" s="32" t="str">
        <f t="shared" si="36"/>
        <v>OK</v>
      </c>
      <c r="I792" s="30">
        <v>2523.13</v>
      </c>
      <c r="J792" s="33" t="str">
        <f t="shared" si="37"/>
        <v>OK</v>
      </c>
      <c r="K792" s="30">
        <v>2176.33</v>
      </c>
      <c r="L792" t="s">
        <v>28</v>
      </c>
      <c r="M792" s="31" t="str">
        <f t="shared" si="38"/>
        <v>OK</v>
      </c>
    </row>
    <row r="793" spans="1:13">
      <c r="A793" t="s">
        <v>1588</v>
      </c>
      <c r="B793" s="1">
        <v>45898</v>
      </c>
      <c r="C793" t="s">
        <v>162</v>
      </c>
      <c r="D793" t="s">
        <v>31</v>
      </c>
      <c r="E793" t="s">
        <v>82</v>
      </c>
      <c r="F793" t="s">
        <v>150</v>
      </c>
      <c r="G793">
        <v>5</v>
      </c>
      <c r="H793" s="32" t="str">
        <f t="shared" si="36"/>
        <v>OK</v>
      </c>
      <c r="I793" s="30">
        <v>3383.06</v>
      </c>
      <c r="J793" s="33" t="str">
        <f t="shared" si="37"/>
        <v>OK</v>
      </c>
      <c r="K793" s="30">
        <v>2271.6799999999998</v>
      </c>
      <c r="L793" t="s">
        <v>16</v>
      </c>
      <c r="M793" s="31" t="str">
        <f t="shared" si="38"/>
        <v>OK</v>
      </c>
    </row>
    <row r="794" spans="1:13">
      <c r="A794" t="s">
        <v>317</v>
      </c>
      <c r="B794" s="1">
        <v>45899</v>
      </c>
      <c r="C794" t="s">
        <v>105</v>
      </c>
      <c r="D794" t="s">
        <v>12</v>
      </c>
      <c r="E794" t="s">
        <v>32</v>
      </c>
      <c r="F794" t="s">
        <v>33</v>
      </c>
      <c r="G794">
        <v>1</v>
      </c>
      <c r="H794" s="32" t="str">
        <f t="shared" si="36"/>
        <v>OK</v>
      </c>
      <c r="I794" s="30">
        <v>2177.5300000000002</v>
      </c>
      <c r="J794" s="33" t="str">
        <f t="shared" si="37"/>
        <v>OK</v>
      </c>
      <c r="K794" s="30">
        <v>1618.18</v>
      </c>
      <c r="L794" t="s">
        <v>71</v>
      </c>
      <c r="M794" s="31" t="str">
        <f t="shared" si="38"/>
        <v>OK</v>
      </c>
    </row>
    <row r="795" spans="1:13">
      <c r="A795" t="s">
        <v>532</v>
      </c>
      <c r="B795" s="1">
        <v>45899</v>
      </c>
      <c r="C795" t="s">
        <v>175</v>
      </c>
      <c r="D795" t="s">
        <v>19</v>
      </c>
      <c r="E795" t="s">
        <v>32</v>
      </c>
      <c r="F795" t="s">
        <v>33</v>
      </c>
      <c r="G795">
        <v>4</v>
      </c>
      <c r="H795" s="32" t="str">
        <f t="shared" si="36"/>
        <v>OK</v>
      </c>
      <c r="I795" s="30">
        <v>1250.6099999999999</v>
      </c>
      <c r="J795" s="33" t="str">
        <f t="shared" si="37"/>
        <v>OK</v>
      </c>
      <c r="K795" s="30">
        <v>747.53</v>
      </c>
      <c r="L795" t="s">
        <v>71</v>
      </c>
      <c r="M795" s="31" t="str">
        <f t="shared" si="38"/>
        <v>OK</v>
      </c>
    </row>
    <row r="796" spans="1:13">
      <c r="A796" t="s">
        <v>1205</v>
      </c>
      <c r="B796" s="1">
        <v>45899</v>
      </c>
      <c r="C796" t="s">
        <v>119</v>
      </c>
      <c r="D796" t="s">
        <v>31</v>
      </c>
      <c r="E796" t="s">
        <v>36</v>
      </c>
      <c r="F796" t="s">
        <v>1614</v>
      </c>
      <c r="G796">
        <v>3</v>
      </c>
      <c r="H796" s="32" t="str">
        <f t="shared" si="36"/>
        <v>OK</v>
      </c>
      <c r="I796" s="30">
        <v>2986.6</v>
      </c>
      <c r="J796" s="33" t="str">
        <f t="shared" si="37"/>
        <v>OK</v>
      </c>
      <c r="K796" s="30">
        <v>2489.64</v>
      </c>
      <c r="L796" t="s">
        <v>22</v>
      </c>
      <c r="M796" s="31" t="str">
        <f t="shared" si="38"/>
        <v>OK</v>
      </c>
    </row>
    <row r="797" spans="1:13">
      <c r="A797" t="s">
        <v>1397</v>
      </c>
      <c r="B797" s="1">
        <v>45899</v>
      </c>
      <c r="C797" t="s">
        <v>108</v>
      </c>
      <c r="D797" t="s">
        <v>12</v>
      </c>
      <c r="E797" t="s">
        <v>26</v>
      </c>
      <c r="F797" t="s">
        <v>106</v>
      </c>
      <c r="G797">
        <v>8</v>
      </c>
      <c r="H797" s="32" t="str">
        <f t="shared" si="36"/>
        <v>OK</v>
      </c>
      <c r="I797" s="30">
        <v>3158.35</v>
      </c>
      <c r="J797" s="33" t="str">
        <f t="shared" si="37"/>
        <v>OK</v>
      </c>
      <c r="K797" s="30">
        <v>2013.29</v>
      </c>
      <c r="L797" t="s">
        <v>38</v>
      </c>
      <c r="M797" s="31" t="str">
        <f t="shared" si="38"/>
        <v>OK</v>
      </c>
    </row>
    <row r="798" spans="1:13">
      <c r="A798" t="s">
        <v>1408</v>
      </c>
      <c r="B798" s="1">
        <v>45899</v>
      </c>
      <c r="C798" t="s">
        <v>117</v>
      </c>
      <c r="D798" t="s">
        <v>12</v>
      </c>
      <c r="E798" t="s">
        <v>32</v>
      </c>
      <c r="F798" t="s">
        <v>101</v>
      </c>
      <c r="G798">
        <v>2</v>
      </c>
      <c r="H798" s="32" t="str">
        <f t="shared" si="36"/>
        <v>OK</v>
      </c>
      <c r="I798" s="30">
        <v>1766.74</v>
      </c>
      <c r="J798" s="33" t="str">
        <f t="shared" si="37"/>
        <v>OK</v>
      </c>
      <c r="K798" s="30">
        <v>1051.8499999999999</v>
      </c>
      <c r="L798" t="s">
        <v>38</v>
      </c>
      <c r="M798" s="31" t="str">
        <f t="shared" si="38"/>
        <v>OK</v>
      </c>
    </row>
    <row r="799" spans="1:13">
      <c r="A799" t="s">
        <v>592</v>
      </c>
      <c r="B799" s="1">
        <v>45900</v>
      </c>
      <c r="C799" t="s">
        <v>121</v>
      </c>
      <c r="D799" t="s">
        <v>63</v>
      </c>
      <c r="E799" t="s">
        <v>82</v>
      </c>
      <c r="F799" t="s">
        <v>109</v>
      </c>
      <c r="G799">
        <v>6</v>
      </c>
      <c r="H799" s="32" t="str">
        <f t="shared" si="36"/>
        <v>OK</v>
      </c>
      <c r="I799" s="30">
        <v>3172.86</v>
      </c>
      <c r="J799" s="33" t="str">
        <f t="shared" si="37"/>
        <v>OK</v>
      </c>
      <c r="K799" s="30">
        <v>2517.4899999999998</v>
      </c>
      <c r="L799" t="s">
        <v>16</v>
      </c>
      <c r="M799" s="31" t="str">
        <f t="shared" si="38"/>
        <v>OK</v>
      </c>
    </row>
    <row r="800" spans="1:13">
      <c r="A800" t="s">
        <v>817</v>
      </c>
      <c r="B800" s="1">
        <v>45900</v>
      </c>
      <c r="C800" t="s">
        <v>51</v>
      </c>
      <c r="D800" t="s">
        <v>31</v>
      </c>
      <c r="E800" t="s">
        <v>26</v>
      </c>
      <c r="F800" t="s">
        <v>350</v>
      </c>
      <c r="G800">
        <v>4</v>
      </c>
      <c r="H800" s="32" t="str">
        <f t="shared" si="36"/>
        <v>OK</v>
      </c>
      <c r="I800" s="30">
        <v>1984.06</v>
      </c>
      <c r="J800" s="33" t="str">
        <f t="shared" si="37"/>
        <v>OK</v>
      </c>
      <c r="K800" s="30">
        <v>1191.8499999999999</v>
      </c>
      <c r="L800" t="s">
        <v>71</v>
      </c>
      <c r="M800" s="31" t="str">
        <f t="shared" si="38"/>
        <v>OK</v>
      </c>
    </row>
    <row r="801" spans="1:13">
      <c r="A801" t="s">
        <v>1309</v>
      </c>
      <c r="B801" s="1">
        <v>45900</v>
      </c>
      <c r="C801" t="s">
        <v>18</v>
      </c>
      <c r="D801" t="s">
        <v>12</v>
      </c>
      <c r="E801" t="s">
        <v>26</v>
      </c>
      <c r="F801" t="s">
        <v>79</v>
      </c>
      <c r="G801">
        <v>3</v>
      </c>
      <c r="H801" s="32" t="str">
        <f t="shared" si="36"/>
        <v>OK</v>
      </c>
      <c r="I801" s="30">
        <v>3242.94</v>
      </c>
      <c r="J801" s="33" t="str">
        <f t="shared" si="37"/>
        <v>OK</v>
      </c>
      <c r="K801" s="30">
        <v>1847.37</v>
      </c>
      <c r="L801" t="s">
        <v>22</v>
      </c>
      <c r="M801" s="31" t="str">
        <f t="shared" si="38"/>
        <v>OK</v>
      </c>
    </row>
    <row r="802" spans="1:13">
      <c r="A802" t="s">
        <v>1577</v>
      </c>
      <c r="B802" s="1">
        <v>45900</v>
      </c>
      <c r="C802" t="s">
        <v>54</v>
      </c>
      <c r="D802" t="s">
        <v>57</v>
      </c>
      <c r="E802" t="s">
        <v>20</v>
      </c>
      <c r="F802" t="s">
        <v>86</v>
      </c>
      <c r="G802">
        <v>2</v>
      </c>
      <c r="H802" s="32" t="str">
        <f t="shared" si="36"/>
        <v>OK</v>
      </c>
      <c r="I802" s="30">
        <v>3601.83</v>
      </c>
      <c r="J802" s="33" t="str">
        <f t="shared" si="37"/>
        <v>OK</v>
      </c>
      <c r="K802" s="30">
        <v>2240.08</v>
      </c>
      <c r="L802" t="s">
        <v>22</v>
      </c>
      <c r="M802" s="31" t="str">
        <f t="shared" si="38"/>
        <v>OK</v>
      </c>
    </row>
    <row r="803" spans="1:13">
      <c r="A803" t="s">
        <v>1608</v>
      </c>
      <c r="B803" s="1">
        <v>45900</v>
      </c>
      <c r="C803" t="s">
        <v>175</v>
      </c>
      <c r="D803" t="s">
        <v>57</v>
      </c>
      <c r="E803" t="s">
        <v>32</v>
      </c>
      <c r="F803" t="s">
        <v>52</v>
      </c>
      <c r="G803">
        <v>2</v>
      </c>
      <c r="H803" s="32" t="str">
        <f t="shared" si="36"/>
        <v>OK</v>
      </c>
      <c r="I803" s="30">
        <v>1812.63</v>
      </c>
      <c r="J803" s="33" t="str">
        <f t="shared" si="37"/>
        <v>OK</v>
      </c>
      <c r="K803" s="30">
        <v>1297.43</v>
      </c>
      <c r="L803" t="s">
        <v>71</v>
      </c>
      <c r="M803" s="31" t="str">
        <f t="shared" si="38"/>
        <v>OK</v>
      </c>
    </row>
    <row r="804" spans="1:13">
      <c r="A804" t="s">
        <v>223</v>
      </c>
      <c r="B804" s="1">
        <v>45901</v>
      </c>
      <c r="C804" t="s">
        <v>67</v>
      </c>
      <c r="D804" t="s">
        <v>31</v>
      </c>
      <c r="E804" t="s">
        <v>32</v>
      </c>
      <c r="F804" t="s">
        <v>52</v>
      </c>
      <c r="G804">
        <v>2</v>
      </c>
      <c r="H804" s="32" t="str">
        <f t="shared" si="36"/>
        <v>OK</v>
      </c>
      <c r="I804" s="30">
        <v>956.34</v>
      </c>
      <c r="J804" s="33" t="str">
        <f t="shared" si="37"/>
        <v>OK</v>
      </c>
      <c r="K804" s="30">
        <v>829.57</v>
      </c>
      <c r="L804" t="s">
        <v>22</v>
      </c>
      <c r="M804" s="31" t="str">
        <f t="shared" si="38"/>
        <v>OK</v>
      </c>
    </row>
    <row r="805" spans="1:13">
      <c r="A805" t="s">
        <v>356</v>
      </c>
      <c r="B805" s="1">
        <v>45901</v>
      </c>
      <c r="C805" t="s">
        <v>24</v>
      </c>
      <c r="D805" t="s">
        <v>57</v>
      </c>
      <c r="E805" t="s">
        <v>32</v>
      </c>
      <c r="F805" t="s">
        <v>1616</v>
      </c>
      <c r="G805">
        <v>8</v>
      </c>
      <c r="H805" s="32" t="str">
        <f t="shared" si="36"/>
        <v>OK</v>
      </c>
      <c r="I805" s="30">
        <v>1696.24</v>
      </c>
      <c r="J805" s="33" t="str">
        <f t="shared" si="37"/>
        <v>OK</v>
      </c>
      <c r="K805" s="30">
        <v>1356.06</v>
      </c>
      <c r="L805" t="s">
        <v>22</v>
      </c>
      <c r="M805" s="31" t="str">
        <f t="shared" si="38"/>
        <v>OK</v>
      </c>
    </row>
    <row r="806" spans="1:13">
      <c r="A806" t="s">
        <v>471</v>
      </c>
      <c r="B806" s="1">
        <v>45901</v>
      </c>
      <c r="C806" t="s">
        <v>175</v>
      </c>
      <c r="D806" t="s">
        <v>57</v>
      </c>
      <c r="E806" t="s">
        <v>36</v>
      </c>
      <c r="F806" t="s">
        <v>42</v>
      </c>
      <c r="G806">
        <v>5</v>
      </c>
      <c r="H806" s="32" t="str">
        <f t="shared" si="36"/>
        <v>OK</v>
      </c>
      <c r="I806" s="30">
        <v>16239.24</v>
      </c>
      <c r="J806" s="33" t="str">
        <f t="shared" si="37"/>
        <v>OK</v>
      </c>
      <c r="K806" s="30">
        <v>9040.01</v>
      </c>
      <c r="L806" t="s">
        <v>22</v>
      </c>
      <c r="M806" s="31" t="str">
        <f t="shared" si="38"/>
        <v>OK</v>
      </c>
    </row>
    <row r="807" spans="1:13">
      <c r="A807" t="s">
        <v>954</v>
      </c>
      <c r="B807" s="1">
        <v>45901</v>
      </c>
      <c r="C807" t="s">
        <v>70</v>
      </c>
      <c r="D807" t="s">
        <v>63</v>
      </c>
      <c r="E807" t="s">
        <v>36</v>
      </c>
      <c r="F807" t="s">
        <v>37</v>
      </c>
      <c r="G807">
        <v>2</v>
      </c>
      <c r="H807" s="32" t="str">
        <f t="shared" si="36"/>
        <v>OK</v>
      </c>
      <c r="I807" s="30">
        <v>6909.64</v>
      </c>
      <c r="J807" s="33" t="str">
        <f t="shared" si="37"/>
        <v>OK</v>
      </c>
      <c r="K807" s="30">
        <v>4852.0200000000004</v>
      </c>
      <c r="L807" t="s">
        <v>71</v>
      </c>
      <c r="M807" s="31" t="str">
        <f t="shared" si="38"/>
        <v>OK</v>
      </c>
    </row>
    <row r="808" spans="1:13">
      <c r="A808" t="s">
        <v>172</v>
      </c>
      <c r="B808" s="1">
        <v>45902</v>
      </c>
      <c r="C808" t="s">
        <v>74</v>
      </c>
      <c r="D808" t="s">
        <v>57</v>
      </c>
      <c r="E808" t="s">
        <v>32</v>
      </c>
      <c r="F808" t="s">
        <v>33</v>
      </c>
      <c r="G808">
        <v>2</v>
      </c>
      <c r="H808" s="32" t="str">
        <f t="shared" si="36"/>
        <v>OK</v>
      </c>
      <c r="I808" s="30">
        <v>460.28</v>
      </c>
      <c r="J808" s="33" t="str">
        <f t="shared" si="37"/>
        <v>OK</v>
      </c>
      <c r="K808" s="30">
        <v>318.08</v>
      </c>
      <c r="L808" t="s">
        <v>22</v>
      </c>
      <c r="M808" s="31" t="str">
        <f t="shared" si="38"/>
        <v>OK</v>
      </c>
    </row>
    <row r="809" spans="1:13">
      <c r="A809" t="s">
        <v>1424</v>
      </c>
      <c r="B809" s="1">
        <v>45902</v>
      </c>
      <c r="C809" t="s">
        <v>175</v>
      </c>
      <c r="D809" t="s">
        <v>12</v>
      </c>
      <c r="E809" t="s">
        <v>82</v>
      </c>
      <c r="F809" t="s">
        <v>83</v>
      </c>
      <c r="G809">
        <v>1</v>
      </c>
      <c r="H809" s="32" t="str">
        <f t="shared" si="36"/>
        <v>OK</v>
      </c>
      <c r="I809" s="30">
        <v>6622.09</v>
      </c>
      <c r="J809" s="33" t="str">
        <f t="shared" si="37"/>
        <v>OK</v>
      </c>
      <c r="K809" s="30">
        <v>4294.7</v>
      </c>
      <c r="L809" t="s">
        <v>28</v>
      </c>
      <c r="M809" s="31" t="str">
        <f t="shared" si="38"/>
        <v>OK</v>
      </c>
    </row>
    <row r="810" spans="1:13">
      <c r="A810" t="s">
        <v>304</v>
      </c>
      <c r="B810" s="1">
        <v>45903</v>
      </c>
      <c r="C810" t="s">
        <v>119</v>
      </c>
      <c r="D810" t="s">
        <v>12</v>
      </c>
      <c r="E810" t="s">
        <v>32</v>
      </c>
      <c r="F810" t="s">
        <v>1616</v>
      </c>
      <c r="G810">
        <v>3</v>
      </c>
      <c r="H810" s="32" t="str">
        <f t="shared" si="36"/>
        <v>OK</v>
      </c>
      <c r="I810" s="30">
        <v>2066.44</v>
      </c>
      <c r="J810" s="33" t="str">
        <f t="shared" si="37"/>
        <v>OK</v>
      </c>
      <c r="K810" s="30">
        <v>1179.57</v>
      </c>
      <c r="L810" t="s">
        <v>28</v>
      </c>
      <c r="M810" s="31" t="str">
        <f t="shared" si="38"/>
        <v>OK</v>
      </c>
    </row>
    <row r="811" spans="1:13">
      <c r="A811" t="s">
        <v>692</v>
      </c>
      <c r="B811" s="1">
        <v>45903</v>
      </c>
      <c r="C811" t="s">
        <v>175</v>
      </c>
      <c r="D811" t="s">
        <v>12</v>
      </c>
      <c r="E811" t="s">
        <v>26</v>
      </c>
      <c r="F811" t="s">
        <v>79</v>
      </c>
      <c r="G811">
        <v>7</v>
      </c>
      <c r="H811" s="32" t="str">
        <f t="shared" si="36"/>
        <v>OK</v>
      </c>
      <c r="I811" s="30">
        <v>2441.29</v>
      </c>
      <c r="J811" s="33" t="str">
        <f t="shared" si="37"/>
        <v>OK</v>
      </c>
      <c r="K811" s="30">
        <v>2062.83</v>
      </c>
      <c r="L811" t="s">
        <v>38</v>
      </c>
      <c r="M811" s="31" t="str">
        <f t="shared" si="38"/>
        <v>OK</v>
      </c>
    </row>
    <row r="812" spans="1:13">
      <c r="A812" t="s">
        <v>1335</v>
      </c>
      <c r="B812" s="1">
        <v>45903</v>
      </c>
      <c r="C812" t="s">
        <v>54</v>
      </c>
      <c r="D812" t="s">
        <v>12</v>
      </c>
      <c r="E812" t="s">
        <v>36</v>
      </c>
      <c r="F812" t="s">
        <v>93</v>
      </c>
      <c r="G812">
        <v>5</v>
      </c>
      <c r="H812" s="32" t="str">
        <f t="shared" si="36"/>
        <v>OK</v>
      </c>
      <c r="I812" s="30">
        <v>5726.02</v>
      </c>
      <c r="J812" s="33" t="str">
        <f t="shared" si="37"/>
        <v>OK</v>
      </c>
      <c r="K812" s="30">
        <v>3305.42</v>
      </c>
      <c r="L812" t="s">
        <v>28</v>
      </c>
      <c r="M812" s="31" t="str">
        <f t="shared" si="38"/>
        <v>OK</v>
      </c>
    </row>
    <row r="813" spans="1:13">
      <c r="A813" t="s">
        <v>395</v>
      </c>
      <c r="B813" s="1">
        <v>45904</v>
      </c>
      <c r="C813" t="s">
        <v>175</v>
      </c>
      <c r="D813" t="s">
        <v>19</v>
      </c>
      <c r="E813" t="s">
        <v>36</v>
      </c>
      <c r="F813" t="s">
        <v>113</v>
      </c>
      <c r="G813">
        <v>2</v>
      </c>
      <c r="H813" s="32" t="str">
        <f t="shared" si="36"/>
        <v>OK</v>
      </c>
      <c r="I813" s="30">
        <v>3329.7</v>
      </c>
      <c r="J813" s="33" t="str">
        <f t="shared" si="37"/>
        <v>OK</v>
      </c>
      <c r="K813" s="30">
        <v>2634.88</v>
      </c>
      <c r="L813" t="s">
        <v>22</v>
      </c>
      <c r="M813" s="31" t="str">
        <f t="shared" si="38"/>
        <v>OK</v>
      </c>
    </row>
    <row r="814" spans="1:13">
      <c r="A814" t="s">
        <v>622</v>
      </c>
      <c r="B814" s="1">
        <v>45904</v>
      </c>
      <c r="C814" t="s">
        <v>129</v>
      </c>
      <c r="D814" t="s">
        <v>63</v>
      </c>
      <c r="E814" t="s">
        <v>20</v>
      </c>
      <c r="F814" t="s">
        <v>86</v>
      </c>
      <c r="G814">
        <v>4</v>
      </c>
      <c r="H814" s="32" t="str">
        <f t="shared" si="36"/>
        <v>OK</v>
      </c>
      <c r="I814" s="30">
        <v>3183.24</v>
      </c>
      <c r="J814" s="33" t="str">
        <f t="shared" si="37"/>
        <v>OK</v>
      </c>
      <c r="K814" s="30">
        <v>2435.9499999999998</v>
      </c>
      <c r="L814" t="s">
        <v>71</v>
      </c>
      <c r="M814" s="31" t="str">
        <f t="shared" si="38"/>
        <v>OK</v>
      </c>
    </row>
    <row r="815" spans="1:13">
      <c r="A815" t="s">
        <v>730</v>
      </c>
      <c r="B815" s="1">
        <v>45904</v>
      </c>
      <c r="C815" t="s">
        <v>121</v>
      </c>
      <c r="D815" t="s">
        <v>63</v>
      </c>
      <c r="E815" t="s">
        <v>82</v>
      </c>
      <c r="F815" t="s">
        <v>97</v>
      </c>
      <c r="G815">
        <v>2</v>
      </c>
      <c r="H815" s="32" t="str">
        <f t="shared" si="36"/>
        <v>OK</v>
      </c>
      <c r="I815" s="30">
        <v>2599.35</v>
      </c>
      <c r="J815" s="33" t="str">
        <f t="shared" si="37"/>
        <v>OK</v>
      </c>
      <c r="K815" s="30">
        <v>2042.84</v>
      </c>
      <c r="L815" t="s">
        <v>71</v>
      </c>
      <c r="M815" s="31" t="str">
        <f t="shared" si="38"/>
        <v>OK</v>
      </c>
    </row>
    <row r="816" spans="1:13">
      <c r="A816" t="s">
        <v>787</v>
      </c>
      <c r="B816" s="1">
        <v>45904</v>
      </c>
      <c r="C816" t="s">
        <v>67</v>
      </c>
      <c r="D816" t="s">
        <v>31</v>
      </c>
      <c r="E816" t="s">
        <v>26</v>
      </c>
      <c r="F816" t="s">
        <v>79</v>
      </c>
      <c r="G816">
        <v>7</v>
      </c>
      <c r="H816" s="32" t="str">
        <f t="shared" si="36"/>
        <v>OK</v>
      </c>
      <c r="I816" s="30">
        <v>3072.12</v>
      </c>
      <c r="J816" s="33" t="str">
        <f t="shared" si="37"/>
        <v>OK</v>
      </c>
      <c r="K816" s="30">
        <v>2326.33</v>
      </c>
      <c r="L816" t="s">
        <v>28</v>
      </c>
      <c r="M816" s="31" t="str">
        <f t="shared" si="38"/>
        <v>OK</v>
      </c>
    </row>
    <row r="817" spans="1:13">
      <c r="A817" t="s">
        <v>1145</v>
      </c>
      <c r="B817" s="1">
        <v>45904</v>
      </c>
      <c r="C817" t="s">
        <v>54</v>
      </c>
      <c r="D817" t="s">
        <v>12</v>
      </c>
      <c r="E817" t="s">
        <v>32</v>
      </c>
      <c r="F817" t="s">
        <v>52</v>
      </c>
      <c r="G817">
        <v>1</v>
      </c>
      <c r="H817" s="32" t="str">
        <f t="shared" si="36"/>
        <v>OK</v>
      </c>
      <c r="I817" s="30">
        <v>1952.44</v>
      </c>
      <c r="J817" s="33" t="str">
        <f t="shared" si="37"/>
        <v>OK</v>
      </c>
      <c r="K817" s="30">
        <v>1349.22</v>
      </c>
      <c r="L817" t="s">
        <v>16</v>
      </c>
      <c r="M817" s="31" t="str">
        <f t="shared" si="38"/>
        <v>OK</v>
      </c>
    </row>
    <row r="818" spans="1:13">
      <c r="A818" t="s">
        <v>1336</v>
      </c>
      <c r="B818" s="1">
        <v>45904</v>
      </c>
      <c r="C818" t="s">
        <v>175</v>
      </c>
      <c r="D818" t="s">
        <v>57</v>
      </c>
      <c r="E818" t="s">
        <v>36</v>
      </c>
      <c r="F818" t="s">
        <v>46</v>
      </c>
      <c r="G818">
        <v>3</v>
      </c>
      <c r="H818" s="32" t="str">
        <f t="shared" si="36"/>
        <v>OK</v>
      </c>
      <c r="I818" s="30">
        <v>12010.55</v>
      </c>
      <c r="J818" s="33" t="str">
        <f t="shared" si="37"/>
        <v>OK</v>
      </c>
      <c r="K818" s="30">
        <v>8333.0400000000009</v>
      </c>
      <c r="L818" t="s">
        <v>38</v>
      </c>
      <c r="M818" s="31" t="str">
        <f t="shared" si="38"/>
        <v>OK</v>
      </c>
    </row>
    <row r="819" spans="1:13">
      <c r="A819" t="s">
        <v>1481</v>
      </c>
      <c r="B819" s="1">
        <v>45904</v>
      </c>
      <c r="C819" t="s">
        <v>48</v>
      </c>
      <c r="D819" t="s">
        <v>19</v>
      </c>
      <c r="E819" t="s">
        <v>36</v>
      </c>
      <c r="F819" t="s">
        <v>42</v>
      </c>
      <c r="G819">
        <v>6</v>
      </c>
      <c r="H819" s="32" t="str">
        <f t="shared" si="36"/>
        <v>OK</v>
      </c>
      <c r="I819" s="30">
        <v>10382.65</v>
      </c>
      <c r="J819" s="33" t="str">
        <f t="shared" si="37"/>
        <v>OK</v>
      </c>
      <c r="K819" s="30">
        <v>6061.96</v>
      </c>
      <c r="L819" t="s">
        <v>38</v>
      </c>
      <c r="M819" s="31" t="str">
        <f t="shared" si="38"/>
        <v>OK</v>
      </c>
    </row>
    <row r="820" spans="1:13">
      <c r="A820" t="s">
        <v>560</v>
      </c>
      <c r="B820" s="1">
        <v>45905</v>
      </c>
      <c r="C820" t="s">
        <v>59</v>
      </c>
      <c r="D820" t="s">
        <v>19</v>
      </c>
      <c r="E820" t="s">
        <v>82</v>
      </c>
      <c r="F820" t="s">
        <v>97</v>
      </c>
      <c r="G820">
        <v>5</v>
      </c>
      <c r="H820" s="32" t="str">
        <f t="shared" si="36"/>
        <v>OK</v>
      </c>
      <c r="I820" s="30">
        <v>6924.15</v>
      </c>
      <c r="J820" s="33" t="str">
        <f t="shared" si="37"/>
        <v>OK</v>
      </c>
      <c r="K820" s="30">
        <v>5128.2</v>
      </c>
      <c r="L820" t="s">
        <v>28</v>
      </c>
      <c r="M820" s="31" t="str">
        <f t="shared" si="38"/>
        <v>OK</v>
      </c>
    </row>
    <row r="821" spans="1:13">
      <c r="A821" t="s">
        <v>938</v>
      </c>
      <c r="B821" s="1">
        <v>45905</v>
      </c>
      <c r="C821" t="s">
        <v>108</v>
      </c>
      <c r="D821" t="s">
        <v>57</v>
      </c>
      <c r="E821" t="s">
        <v>32</v>
      </c>
      <c r="F821" t="s">
        <v>1615</v>
      </c>
      <c r="G821">
        <v>6</v>
      </c>
      <c r="H821" s="32" t="str">
        <f t="shared" si="36"/>
        <v>OK</v>
      </c>
      <c r="I821" s="30">
        <v>964.61</v>
      </c>
      <c r="J821" s="33" t="str">
        <f t="shared" si="37"/>
        <v>OK</v>
      </c>
      <c r="K821" s="30">
        <v>773.37</v>
      </c>
      <c r="L821" t="s">
        <v>28</v>
      </c>
      <c r="M821" s="31" t="str">
        <f t="shared" si="38"/>
        <v>OK</v>
      </c>
    </row>
    <row r="822" spans="1:13">
      <c r="A822" t="s">
        <v>1160</v>
      </c>
      <c r="B822" s="1">
        <v>45905</v>
      </c>
      <c r="C822" t="s">
        <v>108</v>
      </c>
      <c r="D822" t="s">
        <v>12</v>
      </c>
      <c r="E822" t="s">
        <v>26</v>
      </c>
      <c r="F822" t="s">
        <v>350</v>
      </c>
      <c r="G822">
        <v>5</v>
      </c>
      <c r="H822" s="32" t="str">
        <f t="shared" si="36"/>
        <v>OK</v>
      </c>
      <c r="I822" s="30">
        <v>1110.44</v>
      </c>
      <c r="J822" s="33" t="str">
        <f t="shared" si="37"/>
        <v>OK</v>
      </c>
      <c r="K822" s="30">
        <v>611.55999999999995</v>
      </c>
      <c r="L822" t="s">
        <v>38</v>
      </c>
      <c r="M822" s="31" t="str">
        <f t="shared" si="38"/>
        <v>OK</v>
      </c>
    </row>
    <row r="823" spans="1:13">
      <c r="A823" t="s">
        <v>728</v>
      </c>
      <c r="B823" s="1">
        <v>45906</v>
      </c>
      <c r="C823" t="s">
        <v>133</v>
      </c>
      <c r="D823" t="s">
        <v>31</v>
      </c>
      <c r="E823" t="s">
        <v>36</v>
      </c>
      <c r="F823" t="s">
        <v>1614</v>
      </c>
      <c r="G823">
        <v>2</v>
      </c>
      <c r="H823" s="32" t="str">
        <f t="shared" si="36"/>
        <v>OK</v>
      </c>
      <c r="I823" s="30">
        <v>4087.74</v>
      </c>
      <c r="J823" s="33" t="str">
        <f t="shared" si="37"/>
        <v>OK</v>
      </c>
      <c r="K823" s="30">
        <v>2923.61</v>
      </c>
      <c r="L823" t="s">
        <v>28</v>
      </c>
      <c r="M823" s="31" t="str">
        <f t="shared" si="38"/>
        <v>OK</v>
      </c>
    </row>
    <row r="824" spans="1:13">
      <c r="A824" t="s">
        <v>739</v>
      </c>
      <c r="B824" s="1">
        <v>45906</v>
      </c>
      <c r="C824" t="s">
        <v>67</v>
      </c>
      <c r="D824" t="s">
        <v>57</v>
      </c>
      <c r="E824" t="s">
        <v>20</v>
      </c>
      <c r="F824" t="s">
        <v>191</v>
      </c>
      <c r="G824">
        <v>8</v>
      </c>
      <c r="H824" s="32" t="str">
        <f t="shared" si="36"/>
        <v>OK</v>
      </c>
      <c r="I824" s="30">
        <v>1675.61</v>
      </c>
      <c r="J824" s="33" t="str">
        <f t="shared" si="37"/>
        <v>OK</v>
      </c>
      <c r="K824" s="30">
        <v>1143.3399999999999</v>
      </c>
      <c r="L824" t="s">
        <v>16</v>
      </c>
      <c r="M824" s="31" t="str">
        <f t="shared" si="38"/>
        <v>OK</v>
      </c>
    </row>
    <row r="825" spans="1:13">
      <c r="A825" t="s">
        <v>548</v>
      </c>
      <c r="B825" s="1">
        <v>45907</v>
      </c>
      <c r="C825" t="s">
        <v>56</v>
      </c>
      <c r="D825" t="s">
        <v>12</v>
      </c>
      <c r="E825" t="s">
        <v>82</v>
      </c>
      <c r="F825" t="s">
        <v>155</v>
      </c>
      <c r="G825">
        <v>4</v>
      </c>
      <c r="H825" s="32" t="str">
        <f t="shared" si="36"/>
        <v>OK</v>
      </c>
      <c r="I825" s="30">
        <v>5114.32</v>
      </c>
      <c r="J825" s="33" t="str">
        <f t="shared" si="37"/>
        <v>OK</v>
      </c>
      <c r="K825" s="30">
        <v>3704.52</v>
      </c>
      <c r="L825" t="s">
        <v>28</v>
      </c>
      <c r="M825" s="31" t="str">
        <f t="shared" si="38"/>
        <v>OK</v>
      </c>
    </row>
    <row r="826" spans="1:13">
      <c r="A826" t="s">
        <v>762</v>
      </c>
      <c r="B826" s="1">
        <v>45907</v>
      </c>
      <c r="C826" t="s">
        <v>108</v>
      </c>
      <c r="D826" t="s">
        <v>12</v>
      </c>
      <c r="E826" t="s">
        <v>82</v>
      </c>
      <c r="F826" t="s">
        <v>155</v>
      </c>
      <c r="G826">
        <v>5</v>
      </c>
      <c r="H826" s="32" t="str">
        <f t="shared" si="36"/>
        <v>OK</v>
      </c>
      <c r="I826" s="30">
        <v>4482.1000000000004</v>
      </c>
      <c r="J826" s="33" t="str">
        <f t="shared" si="37"/>
        <v>OK</v>
      </c>
      <c r="K826" s="30">
        <v>3905.68</v>
      </c>
      <c r="L826" t="s">
        <v>22</v>
      </c>
      <c r="M826" s="31" t="str">
        <f t="shared" si="38"/>
        <v>OK</v>
      </c>
    </row>
    <row r="827" spans="1:13">
      <c r="A827" t="s">
        <v>1460</v>
      </c>
      <c r="B827" s="1">
        <v>45908</v>
      </c>
      <c r="C827" t="s">
        <v>18</v>
      </c>
      <c r="D827" t="s">
        <v>12</v>
      </c>
      <c r="E827" t="s">
        <v>26</v>
      </c>
      <c r="F827" t="s">
        <v>79</v>
      </c>
      <c r="G827">
        <v>5</v>
      </c>
      <c r="H827" s="32" t="str">
        <f t="shared" si="36"/>
        <v>OK</v>
      </c>
      <c r="I827" s="30">
        <v>3192.34</v>
      </c>
      <c r="J827" s="33" t="str">
        <f t="shared" si="37"/>
        <v>OK</v>
      </c>
      <c r="K827" s="30">
        <v>2647.13</v>
      </c>
      <c r="L827" t="s">
        <v>16</v>
      </c>
      <c r="M827" s="31" t="str">
        <f t="shared" si="38"/>
        <v>OK</v>
      </c>
    </row>
    <row r="828" spans="1:13">
      <c r="A828" t="s">
        <v>466</v>
      </c>
      <c r="B828" s="1">
        <v>45909</v>
      </c>
      <c r="C828" t="s">
        <v>59</v>
      </c>
      <c r="D828" t="s">
        <v>31</v>
      </c>
      <c r="E828" t="s">
        <v>32</v>
      </c>
      <c r="F828" t="s">
        <v>1616</v>
      </c>
      <c r="G828">
        <v>2</v>
      </c>
      <c r="H828" s="32" t="str">
        <f t="shared" si="36"/>
        <v>OK</v>
      </c>
      <c r="J828" s="33" t="str">
        <f t="shared" si="37"/>
        <v>Missing Sales</v>
      </c>
      <c r="K828" s="30">
        <v>877.18</v>
      </c>
      <c r="L828" t="s">
        <v>22</v>
      </c>
      <c r="M828" s="31" t="str">
        <f t="shared" si="38"/>
        <v>Missing Data</v>
      </c>
    </row>
    <row r="829" spans="1:13">
      <c r="A829" t="s">
        <v>777</v>
      </c>
      <c r="B829" s="1">
        <v>45909</v>
      </c>
      <c r="C829" t="s">
        <v>1617</v>
      </c>
      <c r="D829" t="s">
        <v>31</v>
      </c>
      <c r="E829" t="s">
        <v>20</v>
      </c>
      <c r="F829" t="s">
        <v>191</v>
      </c>
      <c r="G829">
        <v>1</v>
      </c>
      <c r="H829" s="32" t="str">
        <f t="shared" si="36"/>
        <v>OK</v>
      </c>
      <c r="I829" s="30">
        <v>5849.08</v>
      </c>
      <c r="J829" s="33" t="str">
        <f t="shared" si="37"/>
        <v>OK</v>
      </c>
      <c r="K829" s="30">
        <v>3491.8</v>
      </c>
      <c r="L829" t="s">
        <v>22</v>
      </c>
      <c r="M829" s="31" t="str">
        <f t="shared" si="38"/>
        <v>OK</v>
      </c>
    </row>
    <row r="830" spans="1:13">
      <c r="A830" t="s">
        <v>1004</v>
      </c>
      <c r="B830" s="1">
        <v>45909</v>
      </c>
      <c r="C830" t="s">
        <v>121</v>
      </c>
      <c r="D830" t="s">
        <v>12</v>
      </c>
      <c r="E830" t="s">
        <v>20</v>
      </c>
      <c r="F830" t="s">
        <v>91</v>
      </c>
      <c r="G830">
        <v>2</v>
      </c>
      <c r="H830" s="32" t="str">
        <f t="shared" si="36"/>
        <v>OK</v>
      </c>
      <c r="I830" s="30">
        <v>5299.96</v>
      </c>
      <c r="J830" s="33" t="str">
        <f t="shared" si="37"/>
        <v>OK</v>
      </c>
      <c r="K830" s="30">
        <v>3919.01</v>
      </c>
      <c r="L830" t="s">
        <v>28</v>
      </c>
      <c r="M830" s="31" t="str">
        <f t="shared" si="38"/>
        <v>OK</v>
      </c>
    </row>
    <row r="831" spans="1:13">
      <c r="A831" t="s">
        <v>1066</v>
      </c>
      <c r="B831" s="1">
        <v>45909</v>
      </c>
      <c r="C831" t="s">
        <v>115</v>
      </c>
      <c r="D831" t="s">
        <v>63</v>
      </c>
      <c r="E831" t="s">
        <v>20</v>
      </c>
      <c r="F831" t="s">
        <v>21</v>
      </c>
      <c r="G831">
        <v>6</v>
      </c>
      <c r="H831" s="32" t="str">
        <f t="shared" si="36"/>
        <v>OK</v>
      </c>
      <c r="I831" s="30">
        <v>2338.5500000000002</v>
      </c>
      <c r="J831" s="33" t="str">
        <f t="shared" si="37"/>
        <v>OK</v>
      </c>
      <c r="K831" s="30">
        <v>1372.27</v>
      </c>
      <c r="L831" t="s">
        <v>16</v>
      </c>
      <c r="M831" s="31" t="str">
        <f t="shared" si="38"/>
        <v>OK</v>
      </c>
    </row>
    <row r="832" spans="1:13">
      <c r="A832" t="s">
        <v>84</v>
      </c>
      <c r="B832" s="1">
        <v>45910</v>
      </c>
      <c r="C832" t="s">
        <v>85</v>
      </c>
      <c r="D832" t="s">
        <v>12</v>
      </c>
      <c r="E832" t="s">
        <v>20</v>
      </c>
      <c r="F832" t="s">
        <v>86</v>
      </c>
      <c r="G832">
        <v>6</v>
      </c>
      <c r="H832" s="32" t="str">
        <f t="shared" si="36"/>
        <v>OK</v>
      </c>
      <c r="I832" s="30">
        <v>702.38</v>
      </c>
      <c r="J832" s="33" t="str">
        <f t="shared" si="37"/>
        <v>OK</v>
      </c>
      <c r="K832" s="30">
        <v>500.54</v>
      </c>
      <c r="L832" t="s">
        <v>38</v>
      </c>
      <c r="M832" s="31" t="str">
        <f t="shared" si="38"/>
        <v>OK</v>
      </c>
    </row>
    <row r="833" spans="1:13">
      <c r="A833" t="s">
        <v>677</v>
      </c>
      <c r="B833" s="1">
        <v>45911</v>
      </c>
      <c r="C833" t="s">
        <v>135</v>
      </c>
      <c r="D833" t="s">
        <v>63</v>
      </c>
      <c r="E833" t="s">
        <v>26</v>
      </c>
      <c r="F833" t="s">
        <v>27</v>
      </c>
      <c r="G833">
        <v>6</v>
      </c>
      <c r="H833" s="32" t="str">
        <f t="shared" si="36"/>
        <v>OK</v>
      </c>
      <c r="I833" s="30">
        <v>840.98</v>
      </c>
      <c r="J833" s="33" t="str">
        <f t="shared" si="37"/>
        <v>OK</v>
      </c>
      <c r="K833" s="30">
        <v>521.41</v>
      </c>
      <c r="L833" t="s">
        <v>22</v>
      </c>
      <c r="M833" s="31" t="str">
        <f t="shared" si="38"/>
        <v>OK</v>
      </c>
    </row>
    <row r="834" spans="1:13">
      <c r="A834" t="s">
        <v>1259</v>
      </c>
      <c r="B834" s="1">
        <v>45911</v>
      </c>
      <c r="C834" t="s">
        <v>121</v>
      </c>
      <c r="D834" t="s">
        <v>57</v>
      </c>
      <c r="E834" t="s">
        <v>32</v>
      </c>
      <c r="F834" t="s">
        <v>1615</v>
      </c>
      <c r="G834">
        <v>2</v>
      </c>
      <c r="H834" s="32" t="str">
        <f t="shared" ref="H834:H897" si="39">IF(G834="","Blank",IF(G834&lt;0,"Negative Quantity",IF(G834=0,"Zero Quantity",IF(G834&gt;0,"OK",""))))</f>
        <v>OK</v>
      </c>
      <c r="I834" s="30">
        <v>1517.24</v>
      </c>
      <c r="J834" s="33" t="str">
        <f t="shared" ref="J834:J897" si="40">IF(I834="","Missing Sales",IF(I834&lt;0,"Negative Sales","OK"))</f>
        <v>OK</v>
      </c>
      <c r="K834" s="30">
        <v>968.61</v>
      </c>
      <c r="L834" t="s">
        <v>38</v>
      </c>
      <c r="M834" s="31" t="str">
        <f t="shared" ref="M834:M897" si="41">IF(OR(I834="",K834=""),"Missing Data",IF(I834&lt;K834,"Sales &lt; Cost","OK"))</f>
        <v>OK</v>
      </c>
    </row>
    <row r="835" spans="1:13">
      <c r="A835" t="s">
        <v>245</v>
      </c>
      <c r="B835" s="1">
        <v>45912</v>
      </c>
      <c r="C835" t="s">
        <v>70</v>
      </c>
      <c r="D835" t="s">
        <v>63</v>
      </c>
      <c r="E835" t="s">
        <v>32</v>
      </c>
      <c r="F835" t="s">
        <v>101</v>
      </c>
      <c r="G835">
        <v>6</v>
      </c>
      <c r="H835" s="32" t="str">
        <f t="shared" si="39"/>
        <v>OK</v>
      </c>
      <c r="I835" s="30">
        <v>827.94</v>
      </c>
      <c r="J835" s="33" t="str">
        <f t="shared" si="40"/>
        <v>OK</v>
      </c>
      <c r="K835" s="30">
        <v>462.12</v>
      </c>
      <c r="L835" t="s">
        <v>28</v>
      </c>
      <c r="M835" s="31" t="str">
        <f t="shared" si="41"/>
        <v>OK</v>
      </c>
    </row>
    <row r="836" spans="1:13">
      <c r="A836" t="s">
        <v>508</v>
      </c>
      <c r="B836" s="1">
        <v>45912</v>
      </c>
      <c r="C836" t="s">
        <v>115</v>
      </c>
      <c r="D836" t="s">
        <v>19</v>
      </c>
      <c r="E836" t="s">
        <v>36</v>
      </c>
      <c r="F836" t="s">
        <v>37</v>
      </c>
      <c r="G836">
        <v>4</v>
      </c>
      <c r="H836" s="32" t="str">
        <f t="shared" si="39"/>
        <v>OK</v>
      </c>
      <c r="I836" s="30">
        <v>11313.93</v>
      </c>
      <c r="J836" s="33" t="str">
        <f t="shared" si="40"/>
        <v>OK</v>
      </c>
      <c r="K836" s="30">
        <v>9127.25</v>
      </c>
      <c r="L836" t="s">
        <v>38</v>
      </c>
      <c r="M836" s="31" t="str">
        <f t="shared" si="41"/>
        <v>OK</v>
      </c>
    </row>
    <row r="837" spans="1:13">
      <c r="A837" t="s">
        <v>1143</v>
      </c>
      <c r="B837" s="1">
        <v>45912</v>
      </c>
      <c r="C837" t="s">
        <v>231</v>
      </c>
      <c r="D837" t="s">
        <v>63</v>
      </c>
      <c r="E837" t="s">
        <v>26</v>
      </c>
      <c r="F837" t="s">
        <v>103</v>
      </c>
      <c r="G837">
        <v>8</v>
      </c>
      <c r="H837" s="32" t="str">
        <f t="shared" si="39"/>
        <v>OK</v>
      </c>
      <c r="I837" s="30">
        <v>1443.88</v>
      </c>
      <c r="J837" s="33" t="str">
        <f t="shared" si="40"/>
        <v>OK</v>
      </c>
      <c r="K837" s="30">
        <v>1174.03</v>
      </c>
      <c r="L837" t="s">
        <v>22</v>
      </c>
      <c r="M837" s="31" t="str">
        <f t="shared" si="41"/>
        <v>OK</v>
      </c>
    </row>
    <row r="838" spans="1:13">
      <c r="A838" t="s">
        <v>380</v>
      </c>
      <c r="B838" s="1">
        <v>45913</v>
      </c>
      <c r="C838" t="s">
        <v>162</v>
      </c>
      <c r="D838" t="s">
        <v>63</v>
      </c>
      <c r="E838" t="s">
        <v>36</v>
      </c>
      <c r="F838" t="s">
        <v>46</v>
      </c>
      <c r="G838">
        <v>2</v>
      </c>
      <c r="H838" s="32" t="str">
        <f t="shared" si="39"/>
        <v>OK</v>
      </c>
      <c r="I838" s="30">
        <v>9933.7000000000007</v>
      </c>
      <c r="J838" s="33" t="str">
        <f t="shared" si="40"/>
        <v>OK</v>
      </c>
      <c r="K838" s="30">
        <v>8668.5400000000009</v>
      </c>
      <c r="L838" t="s">
        <v>22</v>
      </c>
      <c r="M838" s="31" t="str">
        <f t="shared" si="41"/>
        <v>OK</v>
      </c>
    </row>
    <row r="839" spans="1:13">
      <c r="A839" t="s">
        <v>415</v>
      </c>
      <c r="B839" s="1">
        <v>45913</v>
      </c>
      <c r="C839" t="s">
        <v>162</v>
      </c>
      <c r="D839" t="s">
        <v>12</v>
      </c>
      <c r="E839" t="s">
        <v>20</v>
      </c>
      <c r="F839" t="s">
        <v>191</v>
      </c>
      <c r="G839">
        <v>3</v>
      </c>
      <c r="H839" s="32" t="str">
        <f t="shared" si="39"/>
        <v>OK</v>
      </c>
      <c r="I839" s="30">
        <v>5975.59</v>
      </c>
      <c r="J839" s="33" t="str">
        <f t="shared" si="40"/>
        <v>OK</v>
      </c>
      <c r="K839" s="30">
        <v>4961.5200000000004</v>
      </c>
      <c r="L839" t="s">
        <v>38</v>
      </c>
      <c r="M839" s="31" t="str">
        <f t="shared" si="41"/>
        <v>OK</v>
      </c>
    </row>
    <row r="840" spans="1:13">
      <c r="A840" t="s">
        <v>595</v>
      </c>
      <c r="B840" s="1">
        <v>45913</v>
      </c>
      <c r="C840" t="s">
        <v>115</v>
      </c>
      <c r="D840" t="s">
        <v>19</v>
      </c>
      <c r="E840" t="s">
        <v>36</v>
      </c>
      <c r="F840" t="s">
        <v>46</v>
      </c>
      <c r="G840">
        <v>5</v>
      </c>
      <c r="H840" s="32" t="str">
        <f t="shared" si="39"/>
        <v>OK</v>
      </c>
      <c r="I840" s="30">
        <v>13687.78</v>
      </c>
      <c r="J840" s="33" t="str">
        <f t="shared" si="40"/>
        <v>OK</v>
      </c>
      <c r="K840" s="30">
        <v>11712.06</v>
      </c>
      <c r="L840" t="s">
        <v>22</v>
      </c>
      <c r="M840" s="31" t="str">
        <f t="shared" si="41"/>
        <v>OK</v>
      </c>
    </row>
    <row r="841" spans="1:13">
      <c r="A841" t="s">
        <v>1162</v>
      </c>
      <c r="B841" s="1">
        <v>45913</v>
      </c>
      <c r="C841" t="s">
        <v>54</v>
      </c>
      <c r="D841" t="s">
        <v>19</v>
      </c>
      <c r="E841" t="s">
        <v>26</v>
      </c>
      <c r="F841" t="s">
        <v>103</v>
      </c>
      <c r="G841">
        <v>7</v>
      </c>
      <c r="H841" s="32" t="str">
        <f t="shared" si="39"/>
        <v>OK</v>
      </c>
      <c r="I841" s="30">
        <v>934.23</v>
      </c>
      <c r="J841" s="33" t="str">
        <f t="shared" si="40"/>
        <v>OK</v>
      </c>
      <c r="K841" s="30">
        <v>729.85</v>
      </c>
      <c r="L841" t="s">
        <v>22</v>
      </c>
      <c r="M841" s="31" t="str">
        <f t="shared" si="41"/>
        <v>OK</v>
      </c>
    </row>
    <row r="842" spans="1:13">
      <c r="A842" t="s">
        <v>1244</v>
      </c>
      <c r="B842" s="1">
        <v>45913</v>
      </c>
      <c r="C842" t="s">
        <v>74</v>
      </c>
      <c r="D842" t="s">
        <v>57</v>
      </c>
      <c r="E842" t="s">
        <v>26</v>
      </c>
      <c r="F842" t="s">
        <v>103</v>
      </c>
      <c r="G842">
        <v>8</v>
      </c>
      <c r="H842" s="32" t="str">
        <f t="shared" si="39"/>
        <v>OK</v>
      </c>
      <c r="I842" s="30">
        <v>729.13</v>
      </c>
      <c r="J842" s="33" t="str">
        <f t="shared" si="40"/>
        <v>OK</v>
      </c>
      <c r="K842" s="30">
        <v>469.21</v>
      </c>
      <c r="L842" t="s">
        <v>16</v>
      </c>
      <c r="M842" s="31" t="str">
        <f t="shared" si="41"/>
        <v>OK</v>
      </c>
    </row>
    <row r="843" spans="1:13">
      <c r="A843" t="s">
        <v>727</v>
      </c>
      <c r="B843" s="1">
        <v>45914</v>
      </c>
      <c r="C843" t="s">
        <v>51</v>
      </c>
      <c r="D843" t="s">
        <v>12</v>
      </c>
      <c r="E843" t="s">
        <v>26</v>
      </c>
      <c r="F843" t="s">
        <v>79</v>
      </c>
      <c r="G843">
        <v>5</v>
      </c>
      <c r="H843" s="32" t="str">
        <f t="shared" si="39"/>
        <v>OK</v>
      </c>
      <c r="I843" s="30">
        <v>2555.4</v>
      </c>
      <c r="J843" s="33" t="str">
        <f t="shared" si="40"/>
        <v>OK</v>
      </c>
      <c r="K843" s="30">
        <v>1762.74</v>
      </c>
      <c r="L843" t="s">
        <v>71</v>
      </c>
      <c r="M843" s="31" t="str">
        <f t="shared" si="41"/>
        <v>OK</v>
      </c>
    </row>
    <row r="844" spans="1:13">
      <c r="A844" t="s">
        <v>896</v>
      </c>
      <c r="B844" s="1">
        <v>45914</v>
      </c>
      <c r="C844" t="s">
        <v>105</v>
      </c>
      <c r="D844" t="s">
        <v>19</v>
      </c>
      <c r="E844" t="s">
        <v>20</v>
      </c>
      <c r="F844" t="s">
        <v>191</v>
      </c>
      <c r="G844">
        <v>2</v>
      </c>
      <c r="H844" s="32" t="str">
        <f t="shared" si="39"/>
        <v>OK</v>
      </c>
      <c r="I844" s="30">
        <v>2682.32</v>
      </c>
      <c r="J844" s="33" t="str">
        <f t="shared" si="40"/>
        <v>OK</v>
      </c>
      <c r="K844" s="30">
        <v>1919.78</v>
      </c>
      <c r="L844" t="s">
        <v>71</v>
      </c>
      <c r="M844" s="31" t="str">
        <f t="shared" si="41"/>
        <v>OK</v>
      </c>
    </row>
    <row r="845" spans="1:13">
      <c r="A845" t="s">
        <v>1236</v>
      </c>
      <c r="B845" s="1">
        <v>45914</v>
      </c>
      <c r="C845" t="s">
        <v>48</v>
      </c>
      <c r="D845" t="s">
        <v>57</v>
      </c>
      <c r="E845" t="s">
        <v>36</v>
      </c>
      <c r="F845" t="s">
        <v>37</v>
      </c>
      <c r="G845">
        <v>6</v>
      </c>
      <c r="H845" s="32" t="str">
        <f t="shared" si="39"/>
        <v>OK</v>
      </c>
      <c r="I845" s="30">
        <v>9303.86</v>
      </c>
      <c r="J845" s="33" t="str">
        <f t="shared" si="40"/>
        <v>OK</v>
      </c>
      <c r="K845" s="30">
        <v>7959.25</v>
      </c>
      <c r="L845" t="s">
        <v>28</v>
      </c>
      <c r="M845" s="31" t="str">
        <f t="shared" si="41"/>
        <v>OK</v>
      </c>
    </row>
    <row r="846" spans="1:13">
      <c r="A846" t="s">
        <v>1414</v>
      </c>
      <c r="B846" s="1">
        <v>45914</v>
      </c>
      <c r="C846" t="s">
        <v>85</v>
      </c>
      <c r="D846" t="s">
        <v>63</v>
      </c>
      <c r="E846" t="s">
        <v>82</v>
      </c>
      <c r="F846" t="s">
        <v>150</v>
      </c>
      <c r="G846">
        <v>3</v>
      </c>
      <c r="H846" s="32" t="str">
        <f t="shared" si="39"/>
        <v>OK</v>
      </c>
      <c r="I846" s="30">
        <v>3303.33</v>
      </c>
      <c r="J846" s="33" t="str">
        <f t="shared" si="40"/>
        <v>OK</v>
      </c>
      <c r="K846" s="30">
        <v>2067.54</v>
      </c>
      <c r="L846" t="s">
        <v>38</v>
      </c>
      <c r="M846" s="31" t="str">
        <f t="shared" si="41"/>
        <v>OK</v>
      </c>
    </row>
    <row r="847" spans="1:13">
      <c r="A847" t="s">
        <v>370</v>
      </c>
      <c r="B847" s="1">
        <v>45915</v>
      </c>
      <c r="C847" t="s">
        <v>51</v>
      </c>
      <c r="D847" t="s">
        <v>31</v>
      </c>
      <c r="E847" t="s">
        <v>20</v>
      </c>
      <c r="F847" t="s">
        <v>21</v>
      </c>
      <c r="G847">
        <v>4</v>
      </c>
      <c r="H847" s="32" t="str">
        <f t="shared" si="39"/>
        <v>OK</v>
      </c>
      <c r="I847" s="30">
        <v>1342.59</v>
      </c>
      <c r="J847" s="33" t="str">
        <f t="shared" si="40"/>
        <v>OK</v>
      </c>
      <c r="K847" s="30">
        <v>1036.8800000000001</v>
      </c>
      <c r="L847" t="s">
        <v>28</v>
      </c>
      <c r="M847" s="31" t="str">
        <f t="shared" si="41"/>
        <v>OK</v>
      </c>
    </row>
    <row r="848" spans="1:13">
      <c r="A848" t="s">
        <v>1426</v>
      </c>
      <c r="B848" s="1">
        <v>45915</v>
      </c>
      <c r="C848" t="s">
        <v>124</v>
      </c>
      <c r="D848" t="s">
        <v>19</v>
      </c>
      <c r="E848" t="s">
        <v>82</v>
      </c>
      <c r="F848" t="s">
        <v>150</v>
      </c>
      <c r="G848">
        <v>1</v>
      </c>
      <c r="H848" s="32" t="str">
        <f t="shared" si="39"/>
        <v>OK</v>
      </c>
      <c r="I848" s="30">
        <v>1151.97</v>
      </c>
      <c r="J848" s="33" t="str">
        <f t="shared" si="40"/>
        <v>OK</v>
      </c>
      <c r="K848" s="30">
        <v>885.08</v>
      </c>
      <c r="L848" t="s">
        <v>71</v>
      </c>
      <c r="M848" s="31" t="str">
        <f t="shared" si="41"/>
        <v>OK</v>
      </c>
    </row>
    <row r="849" spans="1:13">
      <c r="A849" t="s">
        <v>230</v>
      </c>
      <c r="B849" s="1">
        <v>45916</v>
      </c>
      <c r="C849" t="s">
        <v>231</v>
      </c>
      <c r="D849" t="s">
        <v>63</v>
      </c>
      <c r="E849" t="s">
        <v>20</v>
      </c>
      <c r="F849" t="s">
        <v>196</v>
      </c>
      <c r="G849">
        <v>6</v>
      </c>
      <c r="H849" s="32" t="str">
        <f t="shared" si="39"/>
        <v>OK</v>
      </c>
      <c r="I849" s="30">
        <v>5361.62</v>
      </c>
      <c r="J849" s="33" t="str">
        <f t="shared" si="40"/>
        <v>OK</v>
      </c>
      <c r="K849" s="30">
        <v>4621.63</v>
      </c>
      <c r="L849" t="s">
        <v>22</v>
      </c>
      <c r="M849" s="31" t="str">
        <f t="shared" si="41"/>
        <v>OK</v>
      </c>
    </row>
    <row r="850" spans="1:13">
      <c r="A850" t="s">
        <v>684</v>
      </c>
      <c r="B850" s="1">
        <v>45916</v>
      </c>
      <c r="C850" t="s">
        <v>18</v>
      </c>
      <c r="D850" t="s">
        <v>12</v>
      </c>
      <c r="E850" t="s">
        <v>36</v>
      </c>
      <c r="F850" t="s">
        <v>113</v>
      </c>
      <c r="G850">
        <v>3</v>
      </c>
      <c r="H850" s="32" t="str">
        <f t="shared" si="39"/>
        <v>OK</v>
      </c>
      <c r="I850" s="30">
        <v>3006.07</v>
      </c>
      <c r="J850" s="33" t="str">
        <f t="shared" si="40"/>
        <v>OK</v>
      </c>
      <c r="K850" s="30">
        <v>2358.7600000000002</v>
      </c>
      <c r="L850" t="s">
        <v>16</v>
      </c>
      <c r="M850" s="31" t="str">
        <f t="shared" si="41"/>
        <v>OK</v>
      </c>
    </row>
    <row r="851" spans="1:13">
      <c r="A851" t="s">
        <v>956</v>
      </c>
      <c r="B851" s="1">
        <v>45916</v>
      </c>
      <c r="C851" t="s">
        <v>105</v>
      </c>
      <c r="D851" t="s">
        <v>63</v>
      </c>
      <c r="E851" t="s">
        <v>20</v>
      </c>
      <c r="F851" t="s">
        <v>86</v>
      </c>
      <c r="G851">
        <v>3</v>
      </c>
      <c r="H851" s="32" t="str">
        <f t="shared" si="39"/>
        <v>OK</v>
      </c>
      <c r="I851" s="30">
        <v>3166.2</v>
      </c>
      <c r="J851" s="33" t="str">
        <f t="shared" si="40"/>
        <v>OK</v>
      </c>
      <c r="K851" s="30">
        <v>2219.65</v>
      </c>
      <c r="L851" t="s">
        <v>38</v>
      </c>
      <c r="M851" s="31" t="str">
        <f t="shared" si="41"/>
        <v>OK</v>
      </c>
    </row>
    <row r="852" spans="1:13">
      <c r="A852" t="s">
        <v>996</v>
      </c>
      <c r="B852" s="1">
        <v>45917</v>
      </c>
      <c r="C852" t="s">
        <v>35</v>
      </c>
      <c r="D852" t="s">
        <v>12</v>
      </c>
      <c r="E852" t="s">
        <v>82</v>
      </c>
      <c r="F852" t="s">
        <v>97</v>
      </c>
      <c r="G852">
        <v>7</v>
      </c>
      <c r="H852" s="32" t="str">
        <f t="shared" si="39"/>
        <v>OK</v>
      </c>
      <c r="I852" s="30">
        <v>-626.35</v>
      </c>
      <c r="J852" s="33" t="str">
        <f t="shared" si="40"/>
        <v>Negative Sales</v>
      </c>
      <c r="K852" s="30">
        <v>2531.4499999999998</v>
      </c>
      <c r="L852" t="s">
        <v>16</v>
      </c>
      <c r="M852" s="31" t="str">
        <f t="shared" si="41"/>
        <v>Sales &lt; Cost</v>
      </c>
    </row>
    <row r="853" spans="1:13">
      <c r="A853" t="s">
        <v>1189</v>
      </c>
      <c r="B853" s="1">
        <v>45917</v>
      </c>
      <c r="C853" t="s">
        <v>85</v>
      </c>
      <c r="D853" t="s">
        <v>12</v>
      </c>
      <c r="E853" t="s">
        <v>82</v>
      </c>
      <c r="F853" t="s">
        <v>150</v>
      </c>
      <c r="G853">
        <v>2</v>
      </c>
      <c r="H853" s="32" t="str">
        <f t="shared" si="39"/>
        <v>OK</v>
      </c>
      <c r="I853" s="30">
        <v>1502.51</v>
      </c>
      <c r="J853" s="33" t="str">
        <f t="shared" si="40"/>
        <v>OK</v>
      </c>
      <c r="K853" s="30">
        <v>884.92</v>
      </c>
      <c r="L853" t="s">
        <v>71</v>
      </c>
      <c r="M853" s="31" t="str">
        <f t="shared" si="41"/>
        <v>OK</v>
      </c>
    </row>
    <row r="854" spans="1:13">
      <c r="A854" t="s">
        <v>1290</v>
      </c>
      <c r="B854" s="1">
        <v>45917</v>
      </c>
      <c r="C854" t="s">
        <v>115</v>
      </c>
      <c r="D854" t="s">
        <v>31</v>
      </c>
      <c r="E854" t="s">
        <v>26</v>
      </c>
      <c r="F854" t="s">
        <v>79</v>
      </c>
      <c r="G854">
        <v>4</v>
      </c>
      <c r="H854" s="32" t="str">
        <f t="shared" si="39"/>
        <v>OK</v>
      </c>
      <c r="I854" s="30">
        <v>1758.7</v>
      </c>
      <c r="J854" s="33" t="str">
        <f t="shared" si="40"/>
        <v>OK</v>
      </c>
      <c r="K854" s="30">
        <v>1330.87</v>
      </c>
      <c r="L854" t="s">
        <v>1617</v>
      </c>
      <c r="M854" s="31" t="str">
        <f t="shared" si="41"/>
        <v>OK</v>
      </c>
    </row>
    <row r="855" spans="1:13">
      <c r="A855" t="s">
        <v>361</v>
      </c>
      <c r="B855" s="1">
        <v>45918</v>
      </c>
      <c r="C855" t="s">
        <v>85</v>
      </c>
      <c r="D855" t="s">
        <v>12</v>
      </c>
      <c r="E855" t="s">
        <v>32</v>
      </c>
      <c r="F855" t="s">
        <v>1616</v>
      </c>
      <c r="G855">
        <v>3</v>
      </c>
      <c r="H855" s="32" t="str">
        <f t="shared" si="39"/>
        <v>OK</v>
      </c>
      <c r="I855" s="30">
        <v>1303.21</v>
      </c>
      <c r="J855" s="33" t="str">
        <f t="shared" si="40"/>
        <v>OK</v>
      </c>
      <c r="K855" s="30">
        <v>938.25</v>
      </c>
      <c r="L855" t="s">
        <v>38</v>
      </c>
      <c r="M855" s="31" t="str">
        <f t="shared" si="41"/>
        <v>OK</v>
      </c>
    </row>
    <row r="856" spans="1:13">
      <c r="A856" t="s">
        <v>385</v>
      </c>
      <c r="B856" s="1">
        <v>45918</v>
      </c>
      <c r="C856" t="s">
        <v>220</v>
      </c>
      <c r="D856" t="s">
        <v>19</v>
      </c>
      <c r="E856" t="s">
        <v>26</v>
      </c>
      <c r="F856" t="s">
        <v>131</v>
      </c>
      <c r="G856">
        <v>7</v>
      </c>
      <c r="H856" s="32" t="str">
        <f t="shared" si="39"/>
        <v>OK</v>
      </c>
      <c r="I856" s="30">
        <v>2458.4299999999998</v>
      </c>
      <c r="J856" s="33" t="str">
        <f t="shared" si="40"/>
        <v>OK</v>
      </c>
      <c r="K856" s="30">
        <v>2036.58</v>
      </c>
      <c r="L856" t="s">
        <v>22</v>
      </c>
      <c r="M856" s="31" t="str">
        <f t="shared" si="41"/>
        <v>OK</v>
      </c>
    </row>
    <row r="857" spans="1:13">
      <c r="A857" t="s">
        <v>1053</v>
      </c>
      <c r="B857" s="1">
        <v>45918</v>
      </c>
      <c r="C857" t="s">
        <v>133</v>
      </c>
      <c r="D857" t="s">
        <v>19</v>
      </c>
      <c r="E857" t="s">
        <v>20</v>
      </c>
      <c r="F857" t="s">
        <v>86</v>
      </c>
      <c r="G857">
        <v>8</v>
      </c>
      <c r="H857" s="32" t="str">
        <f t="shared" si="39"/>
        <v>OK</v>
      </c>
      <c r="I857" s="30">
        <v>1000</v>
      </c>
      <c r="J857" s="33" t="str">
        <f t="shared" si="40"/>
        <v>OK</v>
      </c>
      <c r="K857" s="30">
        <v>565.54999999999995</v>
      </c>
      <c r="L857" t="s">
        <v>16</v>
      </c>
      <c r="M857" s="31" t="str">
        <f t="shared" si="41"/>
        <v>OK</v>
      </c>
    </row>
    <row r="858" spans="1:13">
      <c r="A858" t="s">
        <v>1067</v>
      </c>
      <c r="B858" s="1">
        <v>45918</v>
      </c>
      <c r="C858" t="s">
        <v>51</v>
      </c>
      <c r="D858" t="s">
        <v>63</v>
      </c>
      <c r="E858" t="s">
        <v>82</v>
      </c>
      <c r="F858" t="s">
        <v>83</v>
      </c>
      <c r="G858">
        <v>3</v>
      </c>
      <c r="H858" s="32" t="str">
        <f t="shared" si="39"/>
        <v>OK</v>
      </c>
      <c r="I858" s="30">
        <v>4966</v>
      </c>
      <c r="J858" s="33" t="str">
        <f t="shared" si="40"/>
        <v>OK</v>
      </c>
      <c r="K858" s="30">
        <v>3015.87</v>
      </c>
      <c r="L858" t="s">
        <v>71</v>
      </c>
      <c r="M858" s="31" t="str">
        <f t="shared" si="41"/>
        <v>OK</v>
      </c>
    </row>
    <row r="859" spans="1:13">
      <c r="A859" t="s">
        <v>477</v>
      </c>
      <c r="B859" s="1">
        <v>45919</v>
      </c>
      <c r="C859" t="s">
        <v>105</v>
      </c>
      <c r="D859" t="s">
        <v>19</v>
      </c>
      <c r="E859" t="s">
        <v>32</v>
      </c>
      <c r="F859" t="s">
        <v>1615</v>
      </c>
      <c r="G859">
        <v>2</v>
      </c>
      <c r="H859" s="32" t="str">
        <f t="shared" si="39"/>
        <v>OK</v>
      </c>
      <c r="I859" s="30">
        <v>1085.95</v>
      </c>
      <c r="J859" s="33" t="str">
        <f t="shared" si="40"/>
        <v>OK</v>
      </c>
      <c r="K859" s="30">
        <v>803.9</v>
      </c>
      <c r="L859" t="s">
        <v>22</v>
      </c>
      <c r="M859" s="31" t="str">
        <f t="shared" si="41"/>
        <v>OK</v>
      </c>
    </row>
    <row r="860" spans="1:13">
      <c r="A860" t="s">
        <v>967</v>
      </c>
      <c r="B860" s="1">
        <v>45919</v>
      </c>
      <c r="C860" t="s">
        <v>67</v>
      </c>
      <c r="D860" t="s">
        <v>31</v>
      </c>
      <c r="E860" t="s">
        <v>36</v>
      </c>
      <c r="F860" t="s">
        <v>113</v>
      </c>
      <c r="G860">
        <v>7</v>
      </c>
      <c r="H860" s="32" t="str">
        <f t="shared" si="39"/>
        <v>OK</v>
      </c>
      <c r="I860" s="30">
        <v>15394.59</v>
      </c>
      <c r="J860" s="33" t="str">
        <f t="shared" si="40"/>
        <v>OK</v>
      </c>
      <c r="K860" s="30">
        <v>12797.93</v>
      </c>
      <c r="L860" t="s">
        <v>16</v>
      </c>
      <c r="M860" s="31" t="str">
        <f t="shared" si="41"/>
        <v>OK</v>
      </c>
    </row>
    <row r="861" spans="1:13">
      <c r="A861" t="s">
        <v>1141</v>
      </c>
      <c r="B861" s="1">
        <v>45919</v>
      </c>
      <c r="C861" t="s">
        <v>30</v>
      </c>
      <c r="D861" t="s">
        <v>31</v>
      </c>
      <c r="E861" t="s">
        <v>20</v>
      </c>
      <c r="F861" t="s">
        <v>91</v>
      </c>
      <c r="G861">
        <v>3</v>
      </c>
      <c r="H861" s="32" t="str">
        <f t="shared" si="39"/>
        <v>OK</v>
      </c>
      <c r="I861" s="30">
        <v>1872.07</v>
      </c>
      <c r="J861" s="33" t="str">
        <f t="shared" si="40"/>
        <v>OK</v>
      </c>
      <c r="K861" s="30">
        <v>1503.31</v>
      </c>
      <c r="L861" t="s">
        <v>22</v>
      </c>
      <c r="M861" s="31" t="str">
        <f t="shared" si="41"/>
        <v>OK</v>
      </c>
    </row>
    <row r="862" spans="1:13">
      <c r="A862" t="s">
        <v>1213</v>
      </c>
      <c r="B862" s="1">
        <v>45919</v>
      </c>
      <c r="C862" t="s">
        <v>121</v>
      </c>
      <c r="D862" t="s">
        <v>57</v>
      </c>
      <c r="E862" t="s">
        <v>36</v>
      </c>
      <c r="F862" t="s">
        <v>113</v>
      </c>
      <c r="G862">
        <v>4</v>
      </c>
      <c r="H862" s="32" t="str">
        <f t="shared" si="39"/>
        <v>OK</v>
      </c>
      <c r="I862" s="30">
        <v>11419.75</v>
      </c>
      <c r="J862" s="33" t="str">
        <f t="shared" si="40"/>
        <v>OK</v>
      </c>
      <c r="K862" s="30">
        <v>8820.94</v>
      </c>
      <c r="L862" t="s">
        <v>22</v>
      </c>
      <c r="M862" s="31" t="str">
        <f t="shared" si="41"/>
        <v>OK</v>
      </c>
    </row>
    <row r="863" spans="1:13">
      <c r="A863" t="s">
        <v>1245</v>
      </c>
      <c r="B863" s="1">
        <v>45919</v>
      </c>
      <c r="C863" t="s">
        <v>129</v>
      </c>
      <c r="D863" t="s">
        <v>19</v>
      </c>
      <c r="E863" t="s">
        <v>82</v>
      </c>
      <c r="F863" t="s">
        <v>97</v>
      </c>
      <c r="G863">
        <v>4</v>
      </c>
      <c r="H863" s="32" t="str">
        <f t="shared" si="39"/>
        <v>OK</v>
      </c>
      <c r="I863" s="30">
        <v>4940.34</v>
      </c>
      <c r="J863" s="33" t="str">
        <f t="shared" si="40"/>
        <v>OK</v>
      </c>
      <c r="K863" s="30">
        <v>3797.46</v>
      </c>
      <c r="L863" t="s">
        <v>16</v>
      </c>
      <c r="M863" s="31" t="str">
        <f t="shared" si="41"/>
        <v>OK</v>
      </c>
    </row>
    <row r="864" spans="1:13">
      <c r="A864" t="s">
        <v>1321</v>
      </c>
      <c r="B864" s="1">
        <v>45919</v>
      </c>
      <c r="C864" t="s">
        <v>124</v>
      </c>
      <c r="D864" t="s">
        <v>12</v>
      </c>
      <c r="E864" t="s">
        <v>20</v>
      </c>
      <c r="F864" t="s">
        <v>196</v>
      </c>
      <c r="G864">
        <v>5</v>
      </c>
      <c r="H864" s="32" t="str">
        <f t="shared" si="39"/>
        <v>OK</v>
      </c>
      <c r="I864" s="30">
        <v>750.17</v>
      </c>
      <c r="J864" s="33" t="str">
        <f t="shared" si="40"/>
        <v>OK</v>
      </c>
      <c r="K864" s="30">
        <v>595.58000000000004</v>
      </c>
      <c r="L864" t="s">
        <v>38</v>
      </c>
      <c r="M864" s="31" t="str">
        <f t="shared" si="41"/>
        <v>OK</v>
      </c>
    </row>
    <row r="865" spans="1:13">
      <c r="A865" t="s">
        <v>1602</v>
      </c>
      <c r="B865" s="1">
        <v>45919</v>
      </c>
      <c r="C865" t="s">
        <v>133</v>
      </c>
      <c r="D865" t="s">
        <v>31</v>
      </c>
      <c r="E865" t="s">
        <v>36</v>
      </c>
      <c r="F865" t="s">
        <v>37</v>
      </c>
      <c r="G865">
        <v>6</v>
      </c>
      <c r="H865" s="32" t="str">
        <f t="shared" si="39"/>
        <v>OK</v>
      </c>
      <c r="J865" s="33" t="str">
        <f t="shared" si="40"/>
        <v>Missing Sales</v>
      </c>
      <c r="K865" s="30">
        <v>7833.11</v>
      </c>
      <c r="L865" t="s">
        <v>22</v>
      </c>
      <c r="M865" s="31" t="str">
        <f t="shared" si="41"/>
        <v>Missing Data</v>
      </c>
    </row>
    <row r="866" spans="1:13">
      <c r="A866" t="s">
        <v>1110</v>
      </c>
      <c r="B866" s="1">
        <v>45920</v>
      </c>
      <c r="C866" t="s">
        <v>1617</v>
      </c>
      <c r="D866" t="s">
        <v>12</v>
      </c>
      <c r="E866" t="s">
        <v>32</v>
      </c>
      <c r="F866" t="s">
        <v>101</v>
      </c>
      <c r="G866">
        <v>3</v>
      </c>
      <c r="H866" s="32" t="str">
        <f t="shared" si="39"/>
        <v>OK</v>
      </c>
      <c r="I866" s="30">
        <v>2391.42</v>
      </c>
      <c r="J866" s="33" t="str">
        <f t="shared" si="40"/>
        <v>OK</v>
      </c>
      <c r="K866" s="30">
        <v>1427.96</v>
      </c>
      <c r="L866" t="s">
        <v>38</v>
      </c>
      <c r="M866" s="31" t="str">
        <f t="shared" si="41"/>
        <v>OK</v>
      </c>
    </row>
    <row r="867" spans="1:13">
      <c r="A867" t="s">
        <v>1556</v>
      </c>
      <c r="B867" s="1">
        <v>45920</v>
      </c>
      <c r="C867" t="s">
        <v>70</v>
      </c>
      <c r="D867" t="s">
        <v>12</v>
      </c>
      <c r="E867" t="s">
        <v>32</v>
      </c>
      <c r="F867" t="s">
        <v>52</v>
      </c>
      <c r="G867">
        <v>7</v>
      </c>
      <c r="H867" s="32" t="str">
        <f t="shared" si="39"/>
        <v>OK</v>
      </c>
      <c r="I867" s="30">
        <v>1250.6400000000001</v>
      </c>
      <c r="J867" s="33" t="str">
        <f t="shared" si="40"/>
        <v>OK</v>
      </c>
      <c r="K867" s="30">
        <v>711.68</v>
      </c>
      <c r="L867" t="s">
        <v>28</v>
      </c>
      <c r="M867" s="31" t="str">
        <f t="shared" si="41"/>
        <v>OK</v>
      </c>
    </row>
    <row r="868" spans="1:13">
      <c r="A868" t="s">
        <v>1589</v>
      </c>
      <c r="B868" s="1">
        <v>45920</v>
      </c>
      <c r="C868" t="s">
        <v>105</v>
      </c>
      <c r="D868" t="s">
        <v>57</v>
      </c>
      <c r="E868" t="s">
        <v>36</v>
      </c>
      <c r="F868" t="s">
        <v>93</v>
      </c>
      <c r="G868">
        <v>2</v>
      </c>
      <c r="H868" s="32" t="str">
        <f t="shared" si="39"/>
        <v>OK</v>
      </c>
      <c r="I868" s="30">
        <v>14847.18</v>
      </c>
      <c r="J868" s="33" t="str">
        <f t="shared" si="40"/>
        <v>OK</v>
      </c>
      <c r="K868" s="30">
        <v>9746.94</v>
      </c>
      <c r="L868" t="s">
        <v>71</v>
      </c>
      <c r="M868" s="31" t="str">
        <f t="shared" si="41"/>
        <v>OK</v>
      </c>
    </row>
    <row r="869" spans="1:13">
      <c r="A869" t="s">
        <v>849</v>
      </c>
      <c r="B869" s="1">
        <v>45921</v>
      </c>
      <c r="C869" t="s">
        <v>133</v>
      </c>
      <c r="D869" t="s">
        <v>57</v>
      </c>
      <c r="E869" t="s">
        <v>26</v>
      </c>
      <c r="F869" t="s">
        <v>131</v>
      </c>
      <c r="G869">
        <v>1</v>
      </c>
      <c r="H869" s="32" t="str">
        <f t="shared" si="39"/>
        <v>OK</v>
      </c>
      <c r="I869" s="30">
        <v>3290.1</v>
      </c>
      <c r="J869" s="33" t="str">
        <f t="shared" si="40"/>
        <v>OK</v>
      </c>
      <c r="K869" s="30">
        <v>2778.57</v>
      </c>
      <c r="L869" t="s">
        <v>28</v>
      </c>
      <c r="M869" s="31" t="str">
        <f t="shared" si="41"/>
        <v>OK</v>
      </c>
    </row>
    <row r="870" spans="1:13">
      <c r="A870" t="s">
        <v>573</v>
      </c>
      <c r="B870" s="1">
        <v>45922</v>
      </c>
      <c r="C870" t="s">
        <v>121</v>
      </c>
      <c r="D870" t="s">
        <v>19</v>
      </c>
      <c r="E870" t="s">
        <v>20</v>
      </c>
      <c r="F870" t="s">
        <v>14</v>
      </c>
      <c r="G870">
        <v>3</v>
      </c>
      <c r="H870" s="32" t="str">
        <f t="shared" si="39"/>
        <v>OK</v>
      </c>
      <c r="I870" s="30">
        <v>1628.53</v>
      </c>
      <c r="J870" s="33" t="str">
        <f t="shared" si="40"/>
        <v>OK</v>
      </c>
      <c r="K870" s="30">
        <v>915.34</v>
      </c>
      <c r="L870" t="s">
        <v>28</v>
      </c>
      <c r="M870" s="31" t="str">
        <f t="shared" si="41"/>
        <v>OK</v>
      </c>
    </row>
    <row r="871" spans="1:13">
      <c r="A871" t="s">
        <v>624</v>
      </c>
      <c r="B871" s="1">
        <v>45922</v>
      </c>
      <c r="C871" t="s">
        <v>129</v>
      </c>
      <c r="D871" t="s">
        <v>19</v>
      </c>
      <c r="E871" t="s">
        <v>32</v>
      </c>
      <c r="F871" t="s">
        <v>52</v>
      </c>
      <c r="G871">
        <v>7</v>
      </c>
      <c r="H871" s="32" t="str">
        <f t="shared" si="39"/>
        <v>OK</v>
      </c>
      <c r="I871" s="30">
        <v>1011.67</v>
      </c>
      <c r="J871" s="33" t="str">
        <f t="shared" si="40"/>
        <v>OK</v>
      </c>
      <c r="K871" s="30">
        <v>846.11</v>
      </c>
      <c r="L871" t="s">
        <v>28</v>
      </c>
      <c r="M871" s="31" t="str">
        <f t="shared" si="41"/>
        <v>OK</v>
      </c>
    </row>
    <row r="872" spans="1:13">
      <c r="A872" t="s">
        <v>1017</v>
      </c>
      <c r="B872" s="1">
        <v>45922</v>
      </c>
      <c r="C872" t="s">
        <v>231</v>
      </c>
      <c r="D872" t="s">
        <v>19</v>
      </c>
      <c r="E872" t="s">
        <v>82</v>
      </c>
      <c r="F872" t="s">
        <v>137</v>
      </c>
      <c r="G872">
        <v>6</v>
      </c>
      <c r="H872" s="32" t="str">
        <f t="shared" si="39"/>
        <v>OK</v>
      </c>
      <c r="I872" s="30">
        <v>3276.12</v>
      </c>
      <c r="J872" s="33" t="str">
        <f t="shared" si="40"/>
        <v>OK</v>
      </c>
      <c r="K872" s="30">
        <v>1980.23</v>
      </c>
      <c r="L872" t="s">
        <v>28</v>
      </c>
      <c r="M872" s="31" t="str">
        <f t="shared" si="41"/>
        <v>OK</v>
      </c>
    </row>
    <row r="873" spans="1:13">
      <c r="A873" t="s">
        <v>222</v>
      </c>
      <c r="B873" s="1">
        <v>45923</v>
      </c>
      <c r="C873" t="s">
        <v>67</v>
      </c>
      <c r="D873" t="s">
        <v>63</v>
      </c>
      <c r="E873" t="s">
        <v>36</v>
      </c>
      <c r="F873" t="s">
        <v>1614</v>
      </c>
      <c r="G873">
        <v>1</v>
      </c>
      <c r="H873" s="32" t="str">
        <f t="shared" si="39"/>
        <v>OK</v>
      </c>
      <c r="I873" s="30">
        <v>3838.22</v>
      </c>
      <c r="J873" s="33" t="str">
        <f t="shared" si="40"/>
        <v>OK</v>
      </c>
      <c r="K873" s="30">
        <v>3199.94</v>
      </c>
      <c r="L873" t="s">
        <v>28</v>
      </c>
      <c r="M873" s="31" t="str">
        <f t="shared" si="41"/>
        <v>OK</v>
      </c>
    </row>
    <row r="874" spans="1:13">
      <c r="A874" t="s">
        <v>318</v>
      </c>
      <c r="B874" s="1">
        <v>45923</v>
      </c>
      <c r="C874" t="s">
        <v>40</v>
      </c>
      <c r="D874" t="s">
        <v>12</v>
      </c>
      <c r="E874" t="s">
        <v>20</v>
      </c>
      <c r="F874" t="s">
        <v>191</v>
      </c>
      <c r="G874">
        <v>7</v>
      </c>
      <c r="H874" s="32" t="str">
        <f t="shared" si="39"/>
        <v>OK</v>
      </c>
      <c r="I874" s="30">
        <v>5524.48</v>
      </c>
      <c r="J874" s="33" t="str">
        <f t="shared" si="40"/>
        <v>OK</v>
      </c>
      <c r="K874" s="30">
        <v>3253.15</v>
      </c>
      <c r="L874" t="s">
        <v>22</v>
      </c>
      <c r="M874" s="31" t="str">
        <f t="shared" si="41"/>
        <v>OK</v>
      </c>
    </row>
    <row r="875" spans="1:13">
      <c r="A875" t="s">
        <v>1172</v>
      </c>
      <c r="B875" s="1">
        <v>45924</v>
      </c>
      <c r="C875" t="s">
        <v>117</v>
      </c>
      <c r="D875" t="s">
        <v>12</v>
      </c>
      <c r="E875" t="s">
        <v>32</v>
      </c>
      <c r="F875" t="s">
        <v>180</v>
      </c>
      <c r="G875">
        <v>4</v>
      </c>
      <c r="H875" s="32" t="str">
        <f t="shared" si="39"/>
        <v>OK</v>
      </c>
      <c r="I875" s="30">
        <v>1037.71</v>
      </c>
      <c r="J875" s="33" t="str">
        <f t="shared" si="40"/>
        <v>OK</v>
      </c>
      <c r="K875" s="30">
        <v>594.70000000000005</v>
      </c>
      <c r="L875" t="s">
        <v>22</v>
      </c>
      <c r="M875" s="31" t="str">
        <f t="shared" si="41"/>
        <v>OK</v>
      </c>
    </row>
    <row r="876" spans="1:13">
      <c r="A876" t="s">
        <v>1181</v>
      </c>
      <c r="B876" s="1">
        <v>45924</v>
      </c>
      <c r="C876" t="s">
        <v>74</v>
      </c>
      <c r="D876" t="s">
        <v>63</v>
      </c>
      <c r="E876" t="s">
        <v>36</v>
      </c>
      <c r="F876" t="s">
        <v>37</v>
      </c>
      <c r="G876">
        <v>5</v>
      </c>
      <c r="H876" s="32" t="str">
        <f t="shared" si="39"/>
        <v>OK</v>
      </c>
      <c r="I876" s="30">
        <v>1284.4100000000001</v>
      </c>
      <c r="J876" s="33" t="str">
        <f t="shared" si="40"/>
        <v>OK</v>
      </c>
      <c r="K876" s="30">
        <v>1027.92</v>
      </c>
      <c r="L876" t="s">
        <v>71</v>
      </c>
      <c r="M876" s="31" t="str">
        <f t="shared" si="41"/>
        <v>OK</v>
      </c>
    </row>
    <row r="877" spans="1:13">
      <c r="A877" t="s">
        <v>1246</v>
      </c>
      <c r="B877" s="1">
        <v>45924</v>
      </c>
      <c r="C877" t="s">
        <v>30</v>
      </c>
      <c r="D877" t="s">
        <v>19</v>
      </c>
      <c r="E877" t="s">
        <v>20</v>
      </c>
      <c r="F877" t="s">
        <v>91</v>
      </c>
      <c r="G877">
        <v>4</v>
      </c>
      <c r="H877" s="32" t="str">
        <f t="shared" si="39"/>
        <v>OK</v>
      </c>
      <c r="I877" s="30">
        <v>2774.58</v>
      </c>
      <c r="J877" s="33" t="str">
        <f t="shared" si="40"/>
        <v>OK</v>
      </c>
      <c r="K877" s="30">
        <v>1777.95</v>
      </c>
      <c r="L877" t="s">
        <v>38</v>
      </c>
      <c r="M877" s="31" t="str">
        <f t="shared" si="41"/>
        <v>OK</v>
      </c>
    </row>
    <row r="878" spans="1:13">
      <c r="A878" t="s">
        <v>594</v>
      </c>
      <c r="B878" s="1">
        <v>45925</v>
      </c>
      <c r="C878" t="s">
        <v>48</v>
      </c>
      <c r="D878" t="s">
        <v>19</v>
      </c>
      <c r="E878" t="s">
        <v>82</v>
      </c>
      <c r="F878" t="s">
        <v>109</v>
      </c>
      <c r="G878">
        <v>5</v>
      </c>
      <c r="H878" s="32" t="str">
        <f t="shared" si="39"/>
        <v>OK</v>
      </c>
      <c r="I878" s="30">
        <v>1666.22</v>
      </c>
      <c r="J878" s="33" t="str">
        <f t="shared" si="40"/>
        <v>OK</v>
      </c>
      <c r="K878" s="30">
        <v>1289.21</v>
      </c>
      <c r="L878" t="s">
        <v>38</v>
      </c>
      <c r="M878" s="31" t="str">
        <f t="shared" si="41"/>
        <v>OK</v>
      </c>
    </row>
    <row r="879" spans="1:13">
      <c r="A879" t="s">
        <v>989</v>
      </c>
      <c r="B879" s="1">
        <v>45925</v>
      </c>
      <c r="C879" t="s">
        <v>85</v>
      </c>
      <c r="D879" t="s">
        <v>12</v>
      </c>
      <c r="E879" t="s">
        <v>82</v>
      </c>
      <c r="F879" t="s">
        <v>97</v>
      </c>
      <c r="G879">
        <v>7</v>
      </c>
      <c r="H879" s="32" t="str">
        <f t="shared" si="39"/>
        <v>OK</v>
      </c>
      <c r="I879" s="30">
        <v>1142.6199999999999</v>
      </c>
      <c r="J879" s="33" t="str">
        <f t="shared" si="40"/>
        <v>OK</v>
      </c>
      <c r="K879" s="30">
        <v>684.87</v>
      </c>
      <c r="L879" t="s">
        <v>38</v>
      </c>
      <c r="M879" s="31" t="str">
        <f t="shared" si="41"/>
        <v>OK</v>
      </c>
    </row>
    <row r="880" spans="1:13">
      <c r="A880" t="s">
        <v>1308</v>
      </c>
      <c r="B880" s="1">
        <v>45925</v>
      </c>
      <c r="C880" t="s">
        <v>48</v>
      </c>
      <c r="D880" t="s">
        <v>19</v>
      </c>
      <c r="E880" t="s">
        <v>36</v>
      </c>
      <c r="F880" t="s">
        <v>37</v>
      </c>
      <c r="G880">
        <v>3</v>
      </c>
      <c r="H880" s="32" t="str">
        <f t="shared" si="39"/>
        <v>OK</v>
      </c>
      <c r="I880" s="30">
        <v>6780.43</v>
      </c>
      <c r="J880" s="33" t="str">
        <f t="shared" si="40"/>
        <v>OK</v>
      </c>
      <c r="K880" s="30">
        <v>4779.09</v>
      </c>
      <c r="L880" t="s">
        <v>16</v>
      </c>
      <c r="M880" s="31" t="str">
        <f t="shared" si="41"/>
        <v>OK</v>
      </c>
    </row>
    <row r="881" spans="1:13">
      <c r="A881" t="s">
        <v>294</v>
      </c>
      <c r="B881" s="1">
        <v>45927</v>
      </c>
      <c r="C881" t="s">
        <v>59</v>
      </c>
      <c r="D881" t="s">
        <v>31</v>
      </c>
      <c r="E881" t="s">
        <v>36</v>
      </c>
      <c r="F881" t="s">
        <v>37</v>
      </c>
      <c r="G881">
        <v>7</v>
      </c>
      <c r="H881" s="32" t="str">
        <f t="shared" si="39"/>
        <v>OK</v>
      </c>
      <c r="I881" s="30">
        <v>14124.44</v>
      </c>
      <c r="J881" s="33" t="str">
        <f t="shared" si="40"/>
        <v>OK</v>
      </c>
      <c r="K881" s="30">
        <v>12095.24</v>
      </c>
      <c r="L881" t="s">
        <v>28</v>
      </c>
      <c r="M881" s="31" t="str">
        <f t="shared" si="41"/>
        <v>OK</v>
      </c>
    </row>
    <row r="882" spans="1:13">
      <c r="A882" t="s">
        <v>631</v>
      </c>
      <c r="B882" s="1">
        <v>45927</v>
      </c>
      <c r="C882" t="s">
        <v>133</v>
      </c>
      <c r="D882" t="s">
        <v>12</v>
      </c>
      <c r="E882" t="s">
        <v>36</v>
      </c>
      <c r="F882" t="s">
        <v>46</v>
      </c>
      <c r="G882">
        <v>5</v>
      </c>
      <c r="H882" s="32" t="str">
        <f t="shared" si="39"/>
        <v>OK</v>
      </c>
      <c r="I882" s="30">
        <v>10968.94</v>
      </c>
      <c r="J882" s="33" t="str">
        <f t="shared" si="40"/>
        <v>OK</v>
      </c>
      <c r="K882" s="30">
        <v>8953.32</v>
      </c>
      <c r="L882" t="s">
        <v>16</v>
      </c>
      <c r="M882" s="31" t="str">
        <f t="shared" si="41"/>
        <v>OK</v>
      </c>
    </row>
    <row r="883" spans="1:13">
      <c r="A883" t="s">
        <v>742</v>
      </c>
      <c r="B883" s="1">
        <v>45927</v>
      </c>
      <c r="C883" t="s">
        <v>70</v>
      </c>
      <c r="D883" t="s">
        <v>12</v>
      </c>
      <c r="E883" t="s">
        <v>20</v>
      </c>
      <c r="F883" t="s">
        <v>86</v>
      </c>
      <c r="G883">
        <v>3</v>
      </c>
      <c r="H883" s="32" t="str">
        <f t="shared" si="39"/>
        <v>OK</v>
      </c>
      <c r="I883" s="30">
        <v>657.14</v>
      </c>
      <c r="J883" s="33" t="str">
        <f t="shared" si="40"/>
        <v>OK</v>
      </c>
      <c r="K883" s="30">
        <v>505.32</v>
      </c>
      <c r="L883" t="s">
        <v>22</v>
      </c>
      <c r="M883" s="31" t="str">
        <f t="shared" si="41"/>
        <v>OK</v>
      </c>
    </row>
    <row r="884" spans="1:13">
      <c r="A884" t="s">
        <v>1111</v>
      </c>
      <c r="B884" s="1">
        <v>45927</v>
      </c>
      <c r="C884" t="s">
        <v>115</v>
      </c>
      <c r="D884" t="s">
        <v>19</v>
      </c>
      <c r="E884" t="s">
        <v>82</v>
      </c>
      <c r="F884" t="s">
        <v>83</v>
      </c>
      <c r="G884">
        <v>5</v>
      </c>
      <c r="H884" s="32" t="str">
        <f t="shared" si="39"/>
        <v>OK</v>
      </c>
      <c r="I884" s="30">
        <v>699.75</v>
      </c>
      <c r="J884" s="33" t="str">
        <f t="shared" si="40"/>
        <v>OK</v>
      </c>
      <c r="K884" s="30">
        <v>476.14</v>
      </c>
      <c r="L884" t="s">
        <v>38</v>
      </c>
      <c r="M884" s="31" t="str">
        <f t="shared" si="41"/>
        <v>OK</v>
      </c>
    </row>
    <row r="885" spans="1:13">
      <c r="A885" t="s">
        <v>1508</v>
      </c>
      <c r="B885" s="1">
        <v>45927</v>
      </c>
      <c r="C885" t="s">
        <v>108</v>
      </c>
      <c r="D885" t="s">
        <v>12</v>
      </c>
      <c r="E885" t="s">
        <v>82</v>
      </c>
      <c r="F885" t="s">
        <v>97</v>
      </c>
      <c r="G885">
        <v>1</v>
      </c>
      <c r="H885" s="32" t="str">
        <f t="shared" si="39"/>
        <v>OK</v>
      </c>
      <c r="I885" s="30">
        <v>4768.7299999999996</v>
      </c>
      <c r="J885" s="33" t="str">
        <f t="shared" si="40"/>
        <v>OK</v>
      </c>
      <c r="K885" s="30">
        <v>4001.96</v>
      </c>
      <c r="L885" t="s">
        <v>38</v>
      </c>
      <c r="M885" s="31" t="str">
        <f t="shared" si="41"/>
        <v>OK</v>
      </c>
    </row>
    <row r="886" spans="1:13">
      <c r="A886" t="s">
        <v>514</v>
      </c>
      <c r="B886" s="1">
        <v>45928</v>
      </c>
      <c r="C886" t="s">
        <v>124</v>
      </c>
      <c r="D886" t="s">
        <v>63</v>
      </c>
      <c r="E886" t="s">
        <v>32</v>
      </c>
      <c r="F886" t="s">
        <v>180</v>
      </c>
      <c r="G886">
        <v>5</v>
      </c>
      <c r="H886" s="32" t="str">
        <f t="shared" si="39"/>
        <v>OK</v>
      </c>
      <c r="I886" s="30">
        <v>849.44</v>
      </c>
      <c r="J886" s="33" t="str">
        <f t="shared" si="40"/>
        <v>OK</v>
      </c>
      <c r="K886" s="30">
        <v>725.94</v>
      </c>
      <c r="L886" t="s">
        <v>38</v>
      </c>
      <c r="M886" s="31" t="str">
        <f t="shared" si="41"/>
        <v>OK</v>
      </c>
    </row>
    <row r="887" spans="1:13">
      <c r="A887" t="s">
        <v>515</v>
      </c>
      <c r="B887" s="1">
        <v>45928</v>
      </c>
      <c r="C887" t="s">
        <v>70</v>
      </c>
      <c r="D887" t="s">
        <v>19</v>
      </c>
      <c r="E887" t="s">
        <v>32</v>
      </c>
      <c r="F887" t="s">
        <v>1615</v>
      </c>
      <c r="G887">
        <v>7</v>
      </c>
      <c r="H887" s="32" t="str">
        <f t="shared" si="39"/>
        <v>OK</v>
      </c>
      <c r="I887" s="30">
        <v>2422.42</v>
      </c>
      <c r="J887" s="33" t="str">
        <f t="shared" si="40"/>
        <v>OK</v>
      </c>
      <c r="K887" s="30">
        <v>1985.35</v>
      </c>
      <c r="L887" t="s">
        <v>38</v>
      </c>
      <c r="M887" s="31" t="str">
        <f t="shared" si="41"/>
        <v>OK</v>
      </c>
    </row>
    <row r="888" spans="1:13">
      <c r="A888" t="s">
        <v>202</v>
      </c>
      <c r="B888" s="1">
        <v>45929</v>
      </c>
      <c r="C888" t="s">
        <v>105</v>
      </c>
      <c r="D888" t="s">
        <v>19</v>
      </c>
      <c r="E888" t="s">
        <v>36</v>
      </c>
      <c r="F888" t="s">
        <v>1614</v>
      </c>
      <c r="G888">
        <v>4</v>
      </c>
      <c r="H888" s="32" t="str">
        <f t="shared" si="39"/>
        <v>OK</v>
      </c>
      <c r="I888" s="30">
        <v>1206.3699999999999</v>
      </c>
      <c r="J888" s="33" t="str">
        <f t="shared" si="40"/>
        <v>OK</v>
      </c>
      <c r="K888" s="30">
        <v>665.15</v>
      </c>
      <c r="L888" t="s">
        <v>71</v>
      </c>
      <c r="M888" s="31" t="str">
        <f t="shared" si="41"/>
        <v>OK</v>
      </c>
    </row>
    <row r="889" spans="1:13">
      <c r="A889" t="s">
        <v>250</v>
      </c>
      <c r="B889" s="1">
        <v>45929</v>
      </c>
      <c r="C889" t="s">
        <v>48</v>
      </c>
      <c r="D889" t="s">
        <v>19</v>
      </c>
      <c r="E889" t="s">
        <v>20</v>
      </c>
      <c r="F889" t="s">
        <v>196</v>
      </c>
      <c r="G889">
        <v>1</v>
      </c>
      <c r="H889" s="32" t="str">
        <f t="shared" si="39"/>
        <v>OK</v>
      </c>
      <c r="I889" s="30">
        <v>3794.2</v>
      </c>
      <c r="J889" s="33" t="str">
        <f t="shared" si="40"/>
        <v>OK</v>
      </c>
      <c r="K889" s="30">
        <v>2698.59</v>
      </c>
      <c r="L889" t="s">
        <v>16</v>
      </c>
      <c r="M889" s="31" t="str">
        <f t="shared" si="41"/>
        <v>OK</v>
      </c>
    </row>
    <row r="890" spans="1:13">
      <c r="A890" t="s">
        <v>546</v>
      </c>
      <c r="B890" s="1">
        <v>45929</v>
      </c>
      <c r="C890" t="s">
        <v>40</v>
      </c>
      <c r="D890" t="s">
        <v>19</v>
      </c>
      <c r="E890" t="s">
        <v>36</v>
      </c>
      <c r="F890" t="s">
        <v>93</v>
      </c>
      <c r="G890">
        <v>6</v>
      </c>
      <c r="H890" s="32" t="str">
        <f t="shared" si="39"/>
        <v>OK</v>
      </c>
      <c r="I890" s="30">
        <v>14013</v>
      </c>
      <c r="J890" s="33" t="str">
        <f t="shared" si="40"/>
        <v>OK</v>
      </c>
      <c r="K890" s="30">
        <v>12329.62</v>
      </c>
      <c r="L890" t="s">
        <v>71</v>
      </c>
      <c r="M890" s="31" t="str">
        <f t="shared" si="41"/>
        <v>OK</v>
      </c>
    </row>
    <row r="891" spans="1:13">
      <c r="A891" t="s">
        <v>555</v>
      </c>
      <c r="B891" s="1">
        <v>45929</v>
      </c>
      <c r="C891" t="s">
        <v>105</v>
      </c>
      <c r="D891" t="s">
        <v>31</v>
      </c>
      <c r="E891" t="s">
        <v>36</v>
      </c>
      <c r="F891" t="s">
        <v>93</v>
      </c>
      <c r="G891">
        <v>7</v>
      </c>
      <c r="H891" s="32" t="str">
        <f t="shared" si="39"/>
        <v>OK</v>
      </c>
      <c r="I891" s="30">
        <v>9095.51</v>
      </c>
      <c r="J891" s="33" t="str">
        <f t="shared" si="40"/>
        <v>OK</v>
      </c>
      <c r="K891" s="30">
        <v>7397.79</v>
      </c>
      <c r="L891" t="s">
        <v>16</v>
      </c>
      <c r="M891" s="31" t="str">
        <f t="shared" si="41"/>
        <v>OK</v>
      </c>
    </row>
    <row r="892" spans="1:13">
      <c r="A892" t="s">
        <v>58</v>
      </c>
      <c r="B892" s="1">
        <v>45930</v>
      </c>
      <c r="C892" t="s">
        <v>59</v>
      </c>
      <c r="D892" t="s">
        <v>57</v>
      </c>
      <c r="E892" t="s">
        <v>36</v>
      </c>
      <c r="F892" t="s">
        <v>42</v>
      </c>
      <c r="G892">
        <v>4</v>
      </c>
      <c r="H892" s="32" t="str">
        <f t="shared" si="39"/>
        <v>OK</v>
      </c>
      <c r="I892" s="30">
        <v>8459.19</v>
      </c>
      <c r="J892" s="33" t="str">
        <f t="shared" si="40"/>
        <v>OK</v>
      </c>
      <c r="K892" s="30">
        <v>4785.87</v>
      </c>
      <c r="L892" t="s">
        <v>38</v>
      </c>
      <c r="M892" s="31" t="str">
        <f t="shared" si="41"/>
        <v>OK</v>
      </c>
    </row>
    <row r="893" spans="1:13">
      <c r="A893" t="s">
        <v>217</v>
      </c>
      <c r="B893" s="1">
        <v>45930</v>
      </c>
      <c r="C893" t="s">
        <v>74</v>
      </c>
      <c r="D893" t="s">
        <v>31</v>
      </c>
      <c r="E893" t="s">
        <v>36</v>
      </c>
      <c r="F893" t="s">
        <v>1614</v>
      </c>
      <c r="G893">
        <v>8</v>
      </c>
      <c r="H893" s="32" t="str">
        <f t="shared" si="39"/>
        <v>OK</v>
      </c>
      <c r="I893" s="30">
        <v>7753.96</v>
      </c>
      <c r="J893" s="33" t="str">
        <f t="shared" si="40"/>
        <v>OK</v>
      </c>
      <c r="K893" s="30">
        <v>5322.6</v>
      </c>
      <c r="L893" t="s">
        <v>38</v>
      </c>
      <c r="M893" s="31" t="str">
        <f t="shared" si="41"/>
        <v>OK</v>
      </c>
    </row>
    <row r="894" spans="1:13">
      <c r="A894" t="s">
        <v>418</v>
      </c>
      <c r="B894" s="1">
        <v>45930</v>
      </c>
      <c r="C894" t="s">
        <v>85</v>
      </c>
      <c r="D894" t="s">
        <v>31</v>
      </c>
      <c r="E894" t="s">
        <v>36</v>
      </c>
      <c r="F894" t="s">
        <v>1614</v>
      </c>
      <c r="G894">
        <v>7</v>
      </c>
      <c r="H894" s="32" t="str">
        <f t="shared" si="39"/>
        <v>OK</v>
      </c>
      <c r="I894" s="30">
        <v>12212.01</v>
      </c>
      <c r="J894" s="33" t="str">
        <f t="shared" si="40"/>
        <v>OK</v>
      </c>
      <c r="K894" s="30">
        <v>6994.5</v>
      </c>
      <c r="L894" t="s">
        <v>22</v>
      </c>
      <c r="M894" s="31" t="str">
        <f t="shared" si="41"/>
        <v>OK</v>
      </c>
    </row>
    <row r="895" spans="1:13">
      <c r="A895" t="s">
        <v>771</v>
      </c>
      <c r="B895" s="1">
        <v>45930</v>
      </c>
      <c r="C895" t="s">
        <v>129</v>
      </c>
      <c r="D895" t="s">
        <v>12</v>
      </c>
      <c r="E895" t="s">
        <v>36</v>
      </c>
      <c r="F895" t="s">
        <v>42</v>
      </c>
      <c r="G895">
        <v>3</v>
      </c>
      <c r="H895" s="32" t="str">
        <f t="shared" si="39"/>
        <v>OK</v>
      </c>
      <c r="I895" s="30">
        <v>17356.64</v>
      </c>
      <c r="J895" s="33" t="str">
        <f t="shared" si="40"/>
        <v>OK</v>
      </c>
      <c r="K895" s="30">
        <v>11121.05</v>
      </c>
      <c r="L895" t="s">
        <v>71</v>
      </c>
      <c r="M895" s="31" t="str">
        <f t="shared" si="41"/>
        <v>OK</v>
      </c>
    </row>
    <row r="896" spans="1:13">
      <c r="A896" t="s">
        <v>1163</v>
      </c>
      <c r="B896" s="1">
        <v>45930</v>
      </c>
      <c r="C896" t="s">
        <v>220</v>
      </c>
      <c r="D896" t="s">
        <v>57</v>
      </c>
      <c r="E896" t="s">
        <v>20</v>
      </c>
      <c r="F896" t="s">
        <v>191</v>
      </c>
      <c r="G896">
        <v>5</v>
      </c>
      <c r="H896" s="32" t="str">
        <f t="shared" si="39"/>
        <v>OK</v>
      </c>
      <c r="I896" s="30">
        <v>2644.9</v>
      </c>
      <c r="J896" s="33" t="str">
        <f t="shared" si="40"/>
        <v>OK</v>
      </c>
      <c r="K896" s="30">
        <v>1959.12</v>
      </c>
      <c r="L896" t="s">
        <v>71</v>
      </c>
      <c r="M896" s="31" t="str">
        <f t="shared" si="41"/>
        <v>OK</v>
      </c>
    </row>
    <row r="897" spans="1:13">
      <c r="A897" t="s">
        <v>1457</v>
      </c>
      <c r="B897" s="1">
        <v>45930</v>
      </c>
      <c r="C897" t="s">
        <v>135</v>
      </c>
      <c r="D897" t="s">
        <v>12</v>
      </c>
      <c r="E897" t="s">
        <v>82</v>
      </c>
      <c r="F897" t="s">
        <v>83</v>
      </c>
      <c r="G897">
        <v>7</v>
      </c>
      <c r="H897" s="32" t="str">
        <f t="shared" si="39"/>
        <v>OK</v>
      </c>
      <c r="I897" s="30">
        <v>5834.18</v>
      </c>
      <c r="J897" s="33" t="str">
        <f t="shared" si="40"/>
        <v>OK</v>
      </c>
      <c r="K897" s="30">
        <v>3685.33</v>
      </c>
      <c r="L897" t="s">
        <v>22</v>
      </c>
      <c r="M897" s="31" t="str">
        <f t="shared" si="41"/>
        <v>OK</v>
      </c>
    </row>
    <row r="898" spans="1:13">
      <c r="A898" t="s">
        <v>1575</v>
      </c>
      <c r="B898" s="1">
        <v>45930</v>
      </c>
      <c r="C898" t="s">
        <v>56</v>
      </c>
      <c r="D898" t="s">
        <v>19</v>
      </c>
      <c r="E898" t="s">
        <v>82</v>
      </c>
      <c r="F898" t="s">
        <v>97</v>
      </c>
      <c r="G898">
        <v>8</v>
      </c>
      <c r="H898" s="32" t="str">
        <f t="shared" ref="H898:H961" si="42">IF(G898="","Blank",IF(G898&lt;0,"Negative Quantity",IF(G898=0,"Zero Quantity",IF(G898&gt;0,"OK",""))))</f>
        <v>OK</v>
      </c>
      <c r="I898" s="30">
        <v>5077.68</v>
      </c>
      <c r="J898" s="33" t="str">
        <f t="shared" ref="J898:J961" si="43">IF(I898="","Missing Sales",IF(I898&lt;0,"Negative Sales","OK"))</f>
        <v>OK</v>
      </c>
      <c r="K898" s="30">
        <v>3295.06</v>
      </c>
      <c r="L898" t="s">
        <v>16</v>
      </c>
      <c r="M898" s="31" t="str">
        <f t="shared" ref="M898:M961" si="44">IF(OR(I898="",K898=""),"Missing Data",IF(I898&lt;K898,"Sales &lt; Cost","OK"))</f>
        <v>OK</v>
      </c>
    </row>
    <row r="899" spans="1:13">
      <c r="A899" t="s">
        <v>284</v>
      </c>
      <c r="B899" s="1">
        <v>45931</v>
      </c>
      <c r="C899" t="s">
        <v>11</v>
      </c>
      <c r="D899" t="s">
        <v>12</v>
      </c>
      <c r="E899" t="s">
        <v>26</v>
      </c>
      <c r="F899" t="s">
        <v>27</v>
      </c>
      <c r="G899">
        <v>6</v>
      </c>
      <c r="H899" s="32" t="str">
        <f t="shared" si="42"/>
        <v>OK</v>
      </c>
      <c r="I899" s="30">
        <v>2925.77</v>
      </c>
      <c r="J899" s="33" t="str">
        <f t="shared" si="43"/>
        <v>OK</v>
      </c>
      <c r="K899" s="30">
        <v>1621.63</v>
      </c>
      <c r="L899" t="s">
        <v>38</v>
      </c>
      <c r="M899" s="31" t="str">
        <f t="shared" si="44"/>
        <v>OK</v>
      </c>
    </row>
    <row r="900" spans="1:13">
      <c r="A900" t="s">
        <v>295</v>
      </c>
      <c r="B900" s="1">
        <v>45931</v>
      </c>
      <c r="C900" t="s">
        <v>67</v>
      </c>
      <c r="D900" t="s">
        <v>12</v>
      </c>
      <c r="E900" t="s">
        <v>20</v>
      </c>
      <c r="F900" t="s">
        <v>196</v>
      </c>
      <c r="G900">
        <v>1</v>
      </c>
      <c r="H900" s="32" t="str">
        <f t="shared" si="42"/>
        <v>OK</v>
      </c>
      <c r="I900" s="30">
        <v>3948.13</v>
      </c>
      <c r="J900" s="33" t="str">
        <f t="shared" si="43"/>
        <v>OK</v>
      </c>
      <c r="K900" s="30">
        <v>2446.1</v>
      </c>
      <c r="L900" t="s">
        <v>71</v>
      </c>
      <c r="M900" s="31" t="str">
        <f t="shared" si="44"/>
        <v>OK</v>
      </c>
    </row>
    <row r="901" spans="1:13">
      <c r="A901" t="s">
        <v>647</v>
      </c>
      <c r="B901" s="1">
        <v>45931</v>
      </c>
      <c r="C901" t="s">
        <v>74</v>
      </c>
      <c r="D901" t="s">
        <v>12</v>
      </c>
      <c r="E901" t="s">
        <v>20</v>
      </c>
      <c r="F901" t="s">
        <v>14</v>
      </c>
      <c r="G901">
        <v>1</v>
      </c>
      <c r="H901" s="32" t="str">
        <f t="shared" si="42"/>
        <v>OK</v>
      </c>
      <c r="I901" s="30">
        <v>1522.66</v>
      </c>
      <c r="J901" s="33" t="str">
        <f t="shared" si="43"/>
        <v>OK</v>
      </c>
      <c r="K901" s="30">
        <v>888.85</v>
      </c>
      <c r="L901" t="s">
        <v>22</v>
      </c>
      <c r="M901" s="31" t="str">
        <f t="shared" si="44"/>
        <v>OK</v>
      </c>
    </row>
    <row r="902" spans="1:13">
      <c r="A902" t="s">
        <v>1195</v>
      </c>
      <c r="B902" s="1">
        <v>45931</v>
      </c>
      <c r="C902" t="s">
        <v>115</v>
      </c>
      <c r="D902" t="s">
        <v>57</v>
      </c>
      <c r="E902" t="s">
        <v>20</v>
      </c>
      <c r="F902" t="s">
        <v>21</v>
      </c>
      <c r="G902">
        <v>1</v>
      </c>
      <c r="H902" s="32" t="str">
        <f t="shared" si="42"/>
        <v>OK</v>
      </c>
      <c r="I902" s="30">
        <v>4702.2700000000004</v>
      </c>
      <c r="J902" s="33" t="str">
        <f t="shared" si="43"/>
        <v>OK</v>
      </c>
      <c r="K902" s="30">
        <v>4057</v>
      </c>
      <c r="L902" t="s">
        <v>38</v>
      </c>
      <c r="M902" s="31" t="str">
        <f t="shared" si="44"/>
        <v>OK</v>
      </c>
    </row>
    <row r="903" spans="1:13">
      <c r="A903" t="s">
        <v>1294</v>
      </c>
      <c r="B903" s="1">
        <v>45932</v>
      </c>
      <c r="C903" t="s">
        <v>133</v>
      </c>
      <c r="D903" t="s">
        <v>57</v>
      </c>
      <c r="E903" t="s">
        <v>36</v>
      </c>
      <c r="F903" t="s">
        <v>46</v>
      </c>
      <c r="G903">
        <v>7</v>
      </c>
      <c r="H903" s="32" t="str">
        <f t="shared" si="42"/>
        <v>OK</v>
      </c>
      <c r="I903" s="30">
        <v>9078.09</v>
      </c>
      <c r="J903" s="33" t="str">
        <f t="shared" si="43"/>
        <v>OK</v>
      </c>
      <c r="K903" s="30">
        <v>5198.95</v>
      </c>
      <c r="L903" t="s">
        <v>71</v>
      </c>
      <c r="M903" s="31" t="str">
        <f t="shared" si="44"/>
        <v>OK</v>
      </c>
    </row>
    <row r="904" spans="1:13">
      <c r="A904" t="s">
        <v>1394</v>
      </c>
      <c r="B904" s="1">
        <v>45932</v>
      </c>
      <c r="C904" t="s">
        <v>51</v>
      </c>
      <c r="D904" t="s">
        <v>12</v>
      </c>
      <c r="E904" t="s">
        <v>26</v>
      </c>
      <c r="F904" t="s">
        <v>131</v>
      </c>
      <c r="G904">
        <v>2</v>
      </c>
      <c r="H904" s="32" t="str">
        <f t="shared" si="42"/>
        <v>OK</v>
      </c>
      <c r="I904" s="30">
        <v>605.45000000000005</v>
      </c>
      <c r="J904" s="33" t="str">
        <f t="shared" si="43"/>
        <v>OK</v>
      </c>
      <c r="K904" s="30">
        <v>382.59</v>
      </c>
      <c r="L904" t="s">
        <v>22</v>
      </c>
      <c r="M904" s="31" t="str">
        <f t="shared" si="44"/>
        <v>OK</v>
      </c>
    </row>
    <row r="905" spans="1:13">
      <c r="A905" t="s">
        <v>1488</v>
      </c>
      <c r="B905" s="1">
        <v>45932</v>
      </c>
      <c r="C905" t="s">
        <v>117</v>
      </c>
      <c r="D905" t="s">
        <v>19</v>
      </c>
      <c r="E905" t="s">
        <v>20</v>
      </c>
      <c r="F905" t="s">
        <v>91</v>
      </c>
      <c r="G905">
        <v>2</v>
      </c>
      <c r="H905" s="32" t="str">
        <f t="shared" si="42"/>
        <v>OK</v>
      </c>
      <c r="I905" s="30">
        <v>1192.05</v>
      </c>
      <c r="J905" s="33" t="str">
        <f t="shared" si="43"/>
        <v>OK</v>
      </c>
      <c r="K905" s="30">
        <v>747.16</v>
      </c>
      <c r="L905" t="s">
        <v>38</v>
      </c>
      <c r="M905" s="31" t="str">
        <f t="shared" si="44"/>
        <v>OK</v>
      </c>
    </row>
    <row r="906" spans="1:13">
      <c r="A906" t="s">
        <v>906</v>
      </c>
      <c r="B906" s="1">
        <v>45933</v>
      </c>
      <c r="C906" t="s">
        <v>162</v>
      </c>
      <c r="D906" t="s">
        <v>12</v>
      </c>
      <c r="E906" t="s">
        <v>82</v>
      </c>
      <c r="F906" t="s">
        <v>97</v>
      </c>
      <c r="G906">
        <v>2</v>
      </c>
      <c r="H906" s="32" t="str">
        <f t="shared" si="42"/>
        <v>OK</v>
      </c>
      <c r="I906" s="30">
        <v>5373.15</v>
      </c>
      <c r="J906" s="33" t="str">
        <f t="shared" si="43"/>
        <v>OK</v>
      </c>
      <c r="K906" s="30">
        <v>3323.09</v>
      </c>
      <c r="L906" t="s">
        <v>16</v>
      </c>
      <c r="M906" s="31" t="str">
        <f t="shared" si="44"/>
        <v>OK</v>
      </c>
    </row>
    <row r="907" spans="1:13">
      <c r="A907" t="s">
        <v>917</v>
      </c>
      <c r="B907" s="1">
        <v>45933</v>
      </c>
      <c r="C907" t="s">
        <v>133</v>
      </c>
      <c r="D907" t="s">
        <v>63</v>
      </c>
      <c r="E907" t="s">
        <v>82</v>
      </c>
      <c r="F907" t="s">
        <v>83</v>
      </c>
      <c r="G907">
        <v>8</v>
      </c>
      <c r="H907" s="32" t="str">
        <f t="shared" si="42"/>
        <v>OK</v>
      </c>
      <c r="I907" s="30">
        <v>3914.33</v>
      </c>
      <c r="J907" s="33" t="str">
        <f t="shared" si="43"/>
        <v>OK</v>
      </c>
      <c r="K907" s="30">
        <v>3213.91</v>
      </c>
      <c r="L907" t="s">
        <v>28</v>
      </c>
      <c r="M907" s="31" t="str">
        <f t="shared" si="44"/>
        <v>OK</v>
      </c>
    </row>
    <row r="908" spans="1:13">
      <c r="A908" t="s">
        <v>923</v>
      </c>
      <c r="B908" s="1">
        <v>45933</v>
      </c>
      <c r="C908" t="s">
        <v>259</v>
      </c>
      <c r="D908" t="s">
        <v>31</v>
      </c>
      <c r="E908" t="s">
        <v>32</v>
      </c>
      <c r="F908" t="s">
        <v>33</v>
      </c>
      <c r="G908">
        <v>2</v>
      </c>
      <c r="H908" s="32" t="str">
        <f t="shared" si="42"/>
        <v>OK</v>
      </c>
      <c r="I908" s="30">
        <v>2010.8</v>
      </c>
      <c r="J908" s="33" t="str">
        <f t="shared" si="43"/>
        <v>OK</v>
      </c>
      <c r="K908" s="30">
        <v>1536.66</v>
      </c>
      <c r="L908" t="s">
        <v>16</v>
      </c>
      <c r="M908" s="31" t="str">
        <f t="shared" si="44"/>
        <v>OK</v>
      </c>
    </row>
    <row r="909" spans="1:13">
      <c r="A909" t="s">
        <v>1132</v>
      </c>
      <c r="B909" s="1">
        <v>45933</v>
      </c>
      <c r="C909" t="s">
        <v>30</v>
      </c>
      <c r="D909" t="s">
        <v>57</v>
      </c>
      <c r="E909" t="s">
        <v>26</v>
      </c>
      <c r="F909" t="s">
        <v>131</v>
      </c>
      <c r="G909">
        <v>5</v>
      </c>
      <c r="H909" s="32" t="str">
        <f t="shared" si="42"/>
        <v>OK</v>
      </c>
      <c r="I909" s="30">
        <v>2416.64</v>
      </c>
      <c r="J909" s="33" t="str">
        <f t="shared" si="43"/>
        <v>OK</v>
      </c>
      <c r="K909" s="30">
        <v>1382.38</v>
      </c>
      <c r="L909" t="s">
        <v>71</v>
      </c>
      <c r="M909" s="31" t="str">
        <f t="shared" si="44"/>
        <v>OK</v>
      </c>
    </row>
    <row r="910" spans="1:13">
      <c r="A910" t="s">
        <v>1415</v>
      </c>
      <c r="B910" s="1">
        <v>45933</v>
      </c>
      <c r="C910" t="s">
        <v>105</v>
      </c>
      <c r="D910" t="s">
        <v>63</v>
      </c>
      <c r="E910" t="s">
        <v>20</v>
      </c>
      <c r="F910" t="s">
        <v>86</v>
      </c>
      <c r="G910">
        <v>5</v>
      </c>
      <c r="H910" s="32" t="str">
        <f t="shared" si="42"/>
        <v>OK</v>
      </c>
      <c r="I910" s="30">
        <v>5631.63</v>
      </c>
      <c r="J910" s="33" t="str">
        <f t="shared" si="43"/>
        <v>OK</v>
      </c>
      <c r="K910" s="30">
        <v>4391.1899999999996</v>
      </c>
      <c r="L910" t="s">
        <v>71</v>
      </c>
      <c r="M910" s="31" t="str">
        <f t="shared" si="44"/>
        <v>OK</v>
      </c>
    </row>
    <row r="911" spans="1:13">
      <c r="A911" t="s">
        <v>1553</v>
      </c>
      <c r="B911" s="1">
        <v>45933</v>
      </c>
      <c r="C911" t="s">
        <v>30</v>
      </c>
      <c r="D911" t="s">
        <v>19</v>
      </c>
      <c r="E911" t="s">
        <v>36</v>
      </c>
      <c r="F911" t="s">
        <v>42</v>
      </c>
      <c r="G911">
        <v>7</v>
      </c>
      <c r="H911" s="32" t="str">
        <f t="shared" si="42"/>
        <v>OK</v>
      </c>
      <c r="I911" s="30">
        <v>4146.7700000000004</v>
      </c>
      <c r="J911" s="33" t="str">
        <f t="shared" si="43"/>
        <v>OK</v>
      </c>
      <c r="K911" s="30">
        <v>3215.67</v>
      </c>
      <c r="L911" t="s">
        <v>38</v>
      </c>
      <c r="M911" s="31" t="str">
        <f t="shared" si="44"/>
        <v>OK</v>
      </c>
    </row>
    <row r="912" spans="1:13">
      <c r="A912" t="s">
        <v>132</v>
      </c>
      <c r="B912" s="1">
        <v>45934</v>
      </c>
      <c r="C912" t="s">
        <v>133</v>
      </c>
      <c r="D912" t="s">
        <v>57</v>
      </c>
      <c r="E912" t="s">
        <v>32</v>
      </c>
      <c r="F912" t="s">
        <v>101</v>
      </c>
      <c r="G912">
        <v>1</v>
      </c>
      <c r="H912" s="32" t="str">
        <f t="shared" si="42"/>
        <v>OK</v>
      </c>
      <c r="I912" s="30">
        <v>2403.58</v>
      </c>
      <c r="J912" s="33" t="str">
        <f t="shared" si="43"/>
        <v>OK</v>
      </c>
      <c r="K912" s="30">
        <v>2027.93</v>
      </c>
      <c r="L912" t="s">
        <v>22</v>
      </c>
      <c r="M912" s="31" t="str">
        <f t="shared" si="44"/>
        <v>OK</v>
      </c>
    </row>
    <row r="913" spans="1:13">
      <c r="A913" t="s">
        <v>228</v>
      </c>
      <c r="B913" s="1">
        <v>45934</v>
      </c>
      <c r="C913" t="s">
        <v>30</v>
      </c>
      <c r="D913" t="s">
        <v>63</v>
      </c>
      <c r="E913" t="s">
        <v>32</v>
      </c>
      <c r="F913" t="s">
        <v>180</v>
      </c>
      <c r="G913">
        <v>5</v>
      </c>
      <c r="H913" s="32" t="str">
        <f t="shared" si="42"/>
        <v>OK</v>
      </c>
      <c r="I913" s="30">
        <v>1349.27</v>
      </c>
      <c r="J913" s="33" t="str">
        <f t="shared" si="43"/>
        <v>OK</v>
      </c>
      <c r="K913" s="30">
        <v>1171.75</v>
      </c>
      <c r="L913" t="s">
        <v>28</v>
      </c>
      <c r="M913" s="31" t="str">
        <f t="shared" si="44"/>
        <v>OK</v>
      </c>
    </row>
    <row r="914" spans="1:13">
      <c r="A914" t="s">
        <v>460</v>
      </c>
      <c r="B914" s="1">
        <v>45934</v>
      </c>
      <c r="C914" t="s">
        <v>175</v>
      </c>
      <c r="D914" t="s">
        <v>63</v>
      </c>
      <c r="E914" t="s">
        <v>26</v>
      </c>
      <c r="F914" t="s">
        <v>79</v>
      </c>
      <c r="G914">
        <v>8</v>
      </c>
      <c r="H914" s="32" t="str">
        <f t="shared" si="42"/>
        <v>OK</v>
      </c>
      <c r="I914" s="30">
        <v>1672.72</v>
      </c>
      <c r="J914" s="33" t="str">
        <f t="shared" si="43"/>
        <v>OK</v>
      </c>
      <c r="K914" s="30">
        <v>1250.1099999999999</v>
      </c>
      <c r="L914" t="s">
        <v>28</v>
      </c>
      <c r="M914" s="31" t="str">
        <f t="shared" si="44"/>
        <v>OK</v>
      </c>
    </row>
    <row r="915" spans="1:13">
      <c r="A915" t="s">
        <v>562</v>
      </c>
      <c r="B915" s="1">
        <v>45934</v>
      </c>
      <c r="C915" t="s">
        <v>129</v>
      </c>
      <c r="D915" t="s">
        <v>19</v>
      </c>
      <c r="E915" t="s">
        <v>32</v>
      </c>
      <c r="F915" t="s">
        <v>1616</v>
      </c>
      <c r="G915">
        <v>6</v>
      </c>
      <c r="H915" s="32" t="str">
        <f t="shared" si="42"/>
        <v>OK</v>
      </c>
      <c r="I915" s="30">
        <v>660.18</v>
      </c>
      <c r="J915" s="33" t="str">
        <f t="shared" si="43"/>
        <v>OK</v>
      </c>
      <c r="K915" s="30">
        <v>450.74</v>
      </c>
      <c r="L915" t="s">
        <v>38</v>
      </c>
      <c r="M915" s="31" t="str">
        <f t="shared" si="44"/>
        <v>OK</v>
      </c>
    </row>
    <row r="916" spans="1:13">
      <c r="A916" t="s">
        <v>885</v>
      </c>
      <c r="B916" s="1">
        <v>45934</v>
      </c>
      <c r="C916" t="s">
        <v>117</v>
      </c>
      <c r="D916" t="s">
        <v>31</v>
      </c>
      <c r="E916" t="s">
        <v>32</v>
      </c>
      <c r="F916" t="s">
        <v>33</v>
      </c>
      <c r="G916">
        <v>1</v>
      </c>
      <c r="H916" s="32" t="str">
        <f t="shared" si="42"/>
        <v>OK</v>
      </c>
      <c r="I916" s="30">
        <v>1355.69</v>
      </c>
      <c r="J916" s="33" t="str">
        <f t="shared" si="43"/>
        <v>OK</v>
      </c>
      <c r="K916" s="30">
        <v>921.77</v>
      </c>
      <c r="L916" t="s">
        <v>71</v>
      </c>
      <c r="M916" s="31" t="str">
        <f t="shared" si="44"/>
        <v>OK</v>
      </c>
    </row>
    <row r="917" spans="1:13">
      <c r="A917" t="s">
        <v>1023</v>
      </c>
      <c r="B917" s="1">
        <v>45934</v>
      </c>
      <c r="C917" t="s">
        <v>133</v>
      </c>
      <c r="D917" t="s">
        <v>12</v>
      </c>
      <c r="E917" t="s">
        <v>32</v>
      </c>
      <c r="F917" t="s">
        <v>101</v>
      </c>
      <c r="G917">
        <v>5</v>
      </c>
      <c r="H917" s="32" t="str">
        <f t="shared" si="42"/>
        <v>OK</v>
      </c>
      <c r="I917" s="30">
        <v>256.82</v>
      </c>
      <c r="J917" s="33" t="str">
        <f t="shared" si="43"/>
        <v>OK</v>
      </c>
      <c r="K917" s="30">
        <v>185.06</v>
      </c>
      <c r="L917" t="s">
        <v>22</v>
      </c>
      <c r="M917" s="31" t="str">
        <f t="shared" si="44"/>
        <v>OK</v>
      </c>
    </row>
    <row r="918" spans="1:13">
      <c r="A918" t="s">
        <v>340</v>
      </c>
      <c r="B918" s="1">
        <v>45935</v>
      </c>
      <c r="C918" t="s">
        <v>121</v>
      </c>
      <c r="D918" t="s">
        <v>31</v>
      </c>
      <c r="E918" t="s">
        <v>26</v>
      </c>
      <c r="F918" t="s">
        <v>106</v>
      </c>
      <c r="G918">
        <v>3</v>
      </c>
      <c r="H918" s="32" t="str">
        <f t="shared" si="42"/>
        <v>OK</v>
      </c>
      <c r="I918" s="30">
        <v>921.96</v>
      </c>
      <c r="J918" s="33" t="str">
        <f t="shared" si="43"/>
        <v>OK</v>
      </c>
      <c r="K918" s="30">
        <v>549.24</v>
      </c>
      <c r="L918" t="s">
        <v>38</v>
      </c>
      <c r="M918" s="31" t="str">
        <f t="shared" si="44"/>
        <v>OK</v>
      </c>
    </row>
    <row r="919" spans="1:13">
      <c r="A919" t="s">
        <v>545</v>
      </c>
      <c r="B919" s="1">
        <v>45936</v>
      </c>
      <c r="C919" t="s">
        <v>30</v>
      </c>
      <c r="D919" t="s">
        <v>57</v>
      </c>
      <c r="E919" t="s">
        <v>26</v>
      </c>
      <c r="F919" t="s">
        <v>79</v>
      </c>
      <c r="G919">
        <v>4</v>
      </c>
      <c r="H919" s="32" t="str">
        <f t="shared" si="42"/>
        <v>OK</v>
      </c>
      <c r="I919" s="30">
        <v>2730.14</v>
      </c>
      <c r="J919" s="33" t="str">
        <f t="shared" si="43"/>
        <v>OK</v>
      </c>
      <c r="K919" s="30">
        <v>1950.49</v>
      </c>
      <c r="L919" t="s">
        <v>38</v>
      </c>
      <c r="M919" s="31" t="str">
        <f t="shared" si="44"/>
        <v>OK</v>
      </c>
    </row>
    <row r="920" spans="1:13">
      <c r="A920" t="s">
        <v>792</v>
      </c>
      <c r="B920" s="1">
        <v>45936</v>
      </c>
      <c r="C920" t="s">
        <v>24</v>
      </c>
      <c r="D920" t="s">
        <v>12</v>
      </c>
      <c r="E920" t="s">
        <v>26</v>
      </c>
      <c r="F920" t="s">
        <v>79</v>
      </c>
      <c r="G920">
        <v>7</v>
      </c>
      <c r="H920" s="32" t="str">
        <f t="shared" si="42"/>
        <v>OK</v>
      </c>
      <c r="I920" s="30">
        <v>1087.8699999999999</v>
      </c>
      <c r="J920" s="33" t="str">
        <f t="shared" si="43"/>
        <v>OK</v>
      </c>
      <c r="K920" s="30">
        <v>600.29</v>
      </c>
      <c r="L920" t="s">
        <v>1617</v>
      </c>
      <c r="M920" s="31" t="str">
        <f t="shared" si="44"/>
        <v>OK</v>
      </c>
    </row>
    <row r="921" spans="1:13">
      <c r="A921" t="s">
        <v>1034</v>
      </c>
      <c r="B921" s="1">
        <v>45936</v>
      </c>
      <c r="C921" t="s">
        <v>220</v>
      </c>
      <c r="D921" t="s">
        <v>12</v>
      </c>
      <c r="E921" t="s">
        <v>82</v>
      </c>
      <c r="F921" t="s">
        <v>109</v>
      </c>
      <c r="G921">
        <v>6</v>
      </c>
      <c r="H921" s="32" t="str">
        <f t="shared" si="42"/>
        <v>OK</v>
      </c>
      <c r="I921" s="30">
        <v>6158.12</v>
      </c>
      <c r="J921" s="33" t="str">
        <f t="shared" si="43"/>
        <v>OK</v>
      </c>
      <c r="K921" s="30">
        <v>5067.22</v>
      </c>
      <c r="L921" t="s">
        <v>22</v>
      </c>
      <c r="M921" s="31" t="str">
        <f t="shared" si="44"/>
        <v>OK</v>
      </c>
    </row>
    <row r="922" spans="1:13">
      <c r="A922" t="s">
        <v>1268</v>
      </c>
      <c r="B922" s="1">
        <v>45936</v>
      </c>
      <c r="C922" t="s">
        <v>259</v>
      </c>
      <c r="D922" t="s">
        <v>63</v>
      </c>
      <c r="E922" t="s">
        <v>82</v>
      </c>
      <c r="F922" t="s">
        <v>137</v>
      </c>
      <c r="G922">
        <v>4</v>
      </c>
      <c r="H922" s="32" t="str">
        <f t="shared" si="42"/>
        <v>OK</v>
      </c>
      <c r="I922" s="30">
        <v>1542.36</v>
      </c>
      <c r="J922" s="33" t="str">
        <f t="shared" si="43"/>
        <v>OK</v>
      </c>
      <c r="K922" s="30">
        <v>1189.1099999999999</v>
      </c>
      <c r="L922" t="s">
        <v>38</v>
      </c>
      <c r="M922" s="31" t="str">
        <f t="shared" si="44"/>
        <v>OK</v>
      </c>
    </row>
    <row r="923" spans="1:13">
      <c r="A923" t="s">
        <v>1305</v>
      </c>
      <c r="B923" s="1">
        <v>45936</v>
      </c>
      <c r="C923" t="s">
        <v>121</v>
      </c>
      <c r="D923" t="s">
        <v>12</v>
      </c>
      <c r="E923" t="s">
        <v>82</v>
      </c>
      <c r="F923" t="s">
        <v>155</v>
      </c>
      <c r="G923">
        <v>7</v>
      </c>
      <c r="H923" s="32" t="str">
        <f t="shared" si="42"/>
        <v>OK</v>
      </c>
      <c r="I923" s="30">
        <v>6312.02</v>
      </c>
      <c r="J923" s="33" t="str">
        <f t="shared" si="43"/>
        <v>OK</v>
      </c>
      <c r="K923" s="30">
        <v>4293.41</v>
      </c>
      <c r="L923" t="s">
        <v>22</v>
      </c>
      <c r="M923" s="31" t="str">
        <f t="shared" si="44"/>
        <v>OK</v>
      </c>
    </row>
    <row r="924" spans="1:13">
      <c r="A924" t="s">
        <v>1418</v>
      </c>
      <c r="B924" s="1">
        <v>45936</v>
      </c>
      <c r="C924" t="s">
        <v>129</v>
      </c>
      <c r="D924" t="s">
        <v>19</v>
      </c>
      <c r="E924" t="s">
        <v>36</v>
      </c>
      <c r="F924" t="s">
        <v>113</v>
      </c>
      <c r="G924">
        <v>1</v>
      </c>
      <c r="H924" s="32" t="str">
        <f t="shared" si="42"/>
        <v>OK</v>
      </c>
      <c r="I924" s="30">
        <v>7576.76</v>
      </c>
      <c r="J924" s="33" t="str">
        <f t="shared" si="43"/>
        <v>OK</v>
      </c>
      <c r="K924" s="30">
        <v>5342.71</v>
      </c>
      <c r="L924" t="s">
        <v>28</v>
      </c>
      <c r="M924" s="31" t="str">
        <f t="shared" si="44"/>
        <v>OK</v>
      </c>
    </row>
    <row r="925" spans="1:13">
      <c r="A925" t="s">
        <v>290</v>
      </c>
      <c r="B925" s="1">
        <v>45937</v>
      </c>
      <c r="C925" t="s">
        <v>124</v>
      </c>
      <c r="D925" t="s">
        <v>12</v>
      </c>
      <c r="E925" t="s">
        <v>36</v>
      </c>
      <c r="F925" t="s">
        <v>1614</v>
      </c>
      <c r="G925">
        <v>7</v>
      </c>
      <c r="H925" s="32" t="str">
        <f t="shared" si="42"/>
        <v>OK</v>
      </c>
      <c r="I925" s="30">
        <v>9020.01</v>
      </c>
      <c r="J925" s="33" t="str">
        <f t="shared" si="43"/>
        <v>OK</v>
      </c>
      <c r="K925" s="30">
        <v>5694.28</v>
      </c>
      <c r="L925" t="s">
        <v>22</v>
      </c>
      <c r="M925" s="31" t="str">
        <f t="shared" si="44"/>
        <v>OK</v>
      </c>
    </row>
    <row r="926" spans="1:13">
      <c r="A926" t="s">
        <v>1180</v>
      </c>
      <c r="B926" s="1">
        <v>45937</v>
      </c>
      <c r="C926" t="s">
        <v>119</v>
      </c>
      <c r="D926" t="s">
        <v>57</v>
      </c>
      <c r="E926" t="s">
        <v>26</v>
      </c>
      <c r="F926" t="s">
        <v>79</v>
      </c>
      <c r="G926">
        <v>4</v>
      </c>
      <c r="H926" s="32" t="str">
        <f t="shared" si="42"/>
        <v>OK</v>
      </c>
      <c r="I926" s="30">
        <v>2772.48</v>
      </c>
      <c r="J926" s="33" t="str">
        <f t="shared" si="43"/>
        <v>OK</v>
      </c>
      <c r="K926" s="30">
        <v>2407.11</v>
      </c>
      <c r="L926" t="s">
        <v>22</v>
      </c>
      <c r="M926" s="31" t="str">
        <f t="shared" si="44"/>
        <v>OK</v>
      </c>
    </row>
    <row r="927" spans="1:13">
      <c r="A927" t="s">
        <v>1337</v>
      </c>
      <c r="B927" s="1">
        <v>45937</v>
      </c>
      <c r="C927" t="s">
        <v>108</v>
      </c>
      <c r="D927" t="s">
        <v>63</v>
      </c>
      <c r="E927" t="s">
        <v>82</v>
      </c>
      <c r="F927" t="s">
        <v>155</v>
      </c>
      <c r="G927">
        <v>4</v>
      </c>
      <c r="H927" s="32" t="str">
        <f t="shared" si="42"/>
        <v>OK</v>
      </c>
      <c r="I927" s="30">
        <v>3622.31</v>
      </c>
      <c r="J927" s="33" t="str">
        <f t="shared" si="43"/>
        <v>OK</v>
      </c>
      <c r="K927" s="30">
        <v>2318.5300000000002</v>
      </c>
      <c r="L927" t="s">
        <v>28</v>
      </c>
      <c r="M927" s="31" t="str">
        <f t="shared" si="44"/>
        <v>OK</v>
      </c>
    </row>
    <row r="928" spans="1:13">
      <c r="A928" t="s">
        <v>1399</v>
      </c>
      <c r="B928" s="1">
        <v>45937</v>
      </c>
      <c r="C928" t="s">
        <v>175</v>
      </c>
      <c r="D928" t="s">
        <v>31</v>
      </c>
      <c r="E928" t="s">
        <v>26</v>
      </c>
      <c r="F928" t="s">
        <v>106</v>
      </c>
      <c r="G928">
        <v>6</v>
      </c>
      <c r="H928" s="32" t="str">
        <f t="shared" si="42"/>
        <v>OK</v>
      </c>
      <c r="I928" s="30">
        <v>358.75</v>
      </c>
      <c r="J928" s="33" t="str">
        <f t="shared" si="43"/>
        <v>OK</v>
      </c>
      <c r="K928" s="30">
        <v>201.8</v>
      </c>
      <c r="L928" t="s">
        <v>28</v>
      </c>
      <c r="M928" s="31" t="str">
        <f t="shared" si="44"/>
        <v>OK</v>
      </c>
    </row>
    <row r="929" spans="1:13">
      <c r="A929" t="s">
        <v>367</v>
      </c>
      <c r="B929" s="1">
        <v>45938</v>
      </c>
      <c r="C929" t="s">
        <v>1617</v>
      </c>
      <c r="D929" t="s">
        <v>31</v>
      </c>
      <c r="E929" t="s">
        <v>36</v>
      </c>
      <c r="F929" t="s">
        <v>37</v>
      </c>
      <c r="G929">
        <v>4</v>
      </c>
      <c r="H929" s="32" t="str">
        <f t="shared" si="42"/>
        <v>OK</v>
      </c>
      <c r="I929" s="30">
        <v>10693.2</v>
      </c>
      <c r="J929" s="33" t="str">
        <f t="shared" si="43"/>
        <v>OK</v>
      </c>
      <c r="K929" s="30">
        <v>6410.05</v>
      </c>
      <c r="L929" t="s">
        <v>22</v>
      </c>
      <c r="M929" s="31" t="str">
        <f t="shared" si="44"/>
        <v>OK</v>
      </c>
    </row>
    <row r="930" spans="1:13">
      <c r="A930" t="s">
        <v>600</v>
      </c>
      <c r="B930" s="1">
        <v>45938</v>
      </c>
      <c r="C930" t="s">
        <v>129</v>
      </c>
      <c r="D930" t="s">
        <v>19</v>
      </c>
      <c r="E930" t="s">
        <v>20</v>
      </c>
      <c r="F930" t="s">
        <v>21</v>
      </c>
      <c r="G930">
        <v>1</v>
      </c>
      <c r="H930" s="32" t="str">
        <f t="shared" si="42"/>
        <v>OK</v>
      </c>
      <c r="I930" s="30">
        <v>4200.41</v>
      </c>
      <c r="J930" s="33" t="str">
        <f t="shared" si="43"/>
        <v>OK</v>
      </c>
      <c r="K930" s="30">
        <v>3463.06</v>
      </c>
      <c r="L930" t="s">
        <v>16</v>
      </c>
      <c r="M930" s="31" t="str">
        <f t="shared" si="44"/>
        <v>OK</v>
      </c>
    </row>
    <row r="931" spans="1:13">
      <c r="A931" t="s">
        <v>1419</v>
      </c>
      <c r="B931" s="1">
        <v>45938</v>
      </c>
      <c r="C931" t="s">
        <v>67</v>
      </c>
      <c r="D931" t="s">
        <v>19</v>
      </c>
      <c r="E931" t="s">
        <v>32</v>
      </c>
      <c r="F931" t="s">
        <v>1615</v>
      </c>
      <c r="G931">
        <v>6</v>
      </c>
      <c r="H931" s="32" t="str">
        <f t="shared" si="42"/>
        <v>OK</v>
      </c>
      <c r="I931" s="30">
        <v>1242.5</v>
      </c>
      <c r="J931" s="33" t="str">
        <f t="shared" si="43"/>
        <v>OK</v>
      </c>
      <c r="K931" s="30">
        <v>694.59</v>
      </c>
      <c r="L931" t="s">
        <v>16</v>
      </c>
      <c r="M931" s="31" t="str">
        <f t="shared" si="44"/>
        <v>OK</v>
      </c>
    </row>
    <row r="932" spans="1:13">
      <c r="A932" t="s">
        <v>643</v>
      </c>
      <c r="B932" s="1">
        <v>45939</v>
      </c>
      <c r="C932" t="s">
        <v>56</v>
      </c>
      <c r="D932" t="s">
        <v>57</v>
      </c>
      <c r="E932" t="s">
        <v>26</v>
      </c>
      <c r="F932" t="s">
        <v>350</v>
      </c>
      <c r="G932">
        <v>2</v>
      </c>
      <c r="H932" s="32" t="str">
        <f t="shared" si="42"/>
        <v>OK</v>
      </c>
      <c r="I932" s="30">
        <v>686.57</v>
      </c>
      <c r="J932" s="33" t="str">
        <f t="shared" si="43"/>
        <v>OK</v>
      </c>
      <c r="K932" s="30">
        <v>396.65</v>
      </c>
      <c r="L932" t="s">
        <v>28</v>
      </c>
      <c r="M932" s="31" t="str">
        <f t="shared" si="44"/>
        <v>OK</v>
      </c>
    </row>
    <row r="933" spans="1:13">
      <c r="A933" t="s">
        <v>1125</v>
      </c>
      <c r="B933" s="1">
        <v>45939</v>
      </c>
      <c r="C933" t="s">
        <v>40</v>
      </c>
      <c r="D933" t="s">
        <v>63</v>
      </c>
      <c r="E933" t="s">
        <v>32</v>
      </c>
      <c r="F933" t="s">
        <v>1615</v>
      </c>
      <c r="G933">
        <v>4</v>
      </c>
      <c r="H933" s="32" t="str">
        <f t="shared" si="42"/>
        <v>OK</v>
      </c>
      <c r="I933" s="30">
        <v>417.87</v>
      </c>
      <c r="J933" s="33" t="str">
        <f t="shared" si="43"/>
        <v>OK</v>
      </c>
      <c r="K933" s="30">
        <v>243.88</v>
      </c>
      <c r="L933" t="s">
        <v>71</v>
      </c>
      <c r="M933" s="31" t="str">
        <f t="shared" si="44"/>
        <v>OK</v>
      </c>
    </row>
    <row r="934" spans="1:13">
      <c r="A934" t="s">
        <v>1252</v>
      </c>
      <c r="B934" s="1">
        <v>45939</v>
      </c>
      <c r="C934" t="s">
        <v>51</v>
      </c>
      <c r="D934" t="s">
        <v>31</v>
      </c>
      <c r="E934" t="s">
        <v>26</v>
      </c>
      <c r="F934" t="s">
        <v>106</v>
      </c>
      <c r="G934">
        <v>6</v>
      </c>
      <c r="H934" s="32" t="str">
        <f t="shared" si="42"/>
        <v>OK</v>
      </c>
      <c r="I934" s="30">
        <v>1393.38</v>
      </c>
      <c r="J934" s="33" t="str">
        <f t="shared" si="43"/>
        <v>OK</v>
      </c>
      <c r="K934" s="30">
        <v>975</v>
      </c>
      <c r="L934" t="s">
        <v>22</v>
      </c>
      <c r="M934" s="31" t="str">
        <f t="shared" si="44"/>
        <v>OK</v>
      </c>
    </row>
    <row r="935" spans="1:13">
      <c r="A935" t="s">
        <v>1320</v>
      </c>
      <c r="B935" s="1">
        <v>45939</v>
      </c>
      <c r="C935" t="s">
        <v>18</v>
      </c>
      <c r="D935" t="s">
        <v>31</v>
      </c>
      <c r="E935" t="s">
        <v>32</v>
      </c>
      <c r="F935" t="s">
        <v>101</v>
      </c>
      <c r="G935">
        <v>1</v>
      </c>
      <c r="H935" s="32" t="str">
        <f t="shared" si="42"/>
        <v>OK</v>
      </c>
      <c r="I935" s="30">
        <v>569.70000000000005</v>
      </c>
      <c r="J935" s="33" t="str">
        <f t="shared" si="43"/>
        <v>OK</v>
      </c>
      <c r="K935" s="30">
        <v>494.68</v>
      </c>
      <c r="L935" t="s">
        <v>16</v>
      </c>
      <c r="M935" s="31" t="str">
        <f t="shared" si="44"/>
        <v>OK</v>
      </c>
    </row>
    <row r="936" spans="1:13">
      <c r="A936" t="s">
        <v>1326</v>
      </c>
      <c r="B936" s="1">
        <v>45939</v>
      </c>
      <c r="C936" t="s">
        <v>133</v>
      </c>
      <c r="D936" t="s">
        <v>31</v>
      </c>
      <c r="E936" t="s">
        <v>20</v>
      </c>
      <c r="F936" t="s">
        <v>191</v>
      </c>
      <c r="G936">
        <v>6</v>
      </c>
      <c r="H936" s="32" t="str">
        <f t="shared" si="42"/>
        <v>OK</v>
      </c>
      <c r="I936" s="30">
        <v>1915.3</v>
      </c>
      <c r="J936" s="33" t="str">
        <f t="shared" si="43"/>
        <v>OK</v>
      </c>
      <c r="K936" s="30">
        <v>1572.7</v>
      </c>
      <c r="L936" t="s">
        <v>28</v>
      </c>
      <c r="M936" s="31" t="str">
        <f t="shared" si="44"/>
        <v>OK</v>
      </c>
    </row>
    <row r="937" spans="1:13">
      <c r="A937" t="s">
        <v>213</v>
      </c>
      <c r="B937" s="1">
        <v>45940</v>
      </c>
      <c r="C937" t="s">
        <v>51</v>
      </c>
      <c r="D937" t="s">
        <v>12</v>
      </c>
      <c r="E937" t="s">
        <v>26</v>
      </c>
      <c r="F937" t="s">
        <v>79</v>
      </c>
      <c r="G937">
        <v>3</v>
      </c>
      <c r="H937" s="32" t="str">
        <f t="shared" si="42"/>
        <v>OK</v>
      </c>
      <c r="I937" s="30">
        <v>1646.81</v>
      </c>
      <c r="J937" s="33" t="str">
        <f t="shared" si="43"/>
        <v>OK</v>
      </c>
      <c r="K937" s="30">
        <v>928.48</v>
      </c>
      <c r="L937" t="s">
        <v>22</v>
      </c>
      <c r="M937" s="31" t="str">
        <f t="shared" si="44"/>
        <v>OK</v>
      </c>
    </row>
    <row r="938" spans="1:13">
      <c r="A938" t="s">
        <v>875</v>
      </c>
      <c r="B938" s="1">
        <v>45940</v>
      </c>
      <c r="C938" t="s">
        <v>54</v>
      </c>
      <c r="D938" t="s">
        <v>12</v>
      </c>
      <c r="E938" t="s">
        <v>26</v>
      </c>
      <c r="F938" t="s">
        <v>103</v>
      </c>
      <c r="G938">
        <v>4</v>
      </c>
      <c r="H938" s="32" t="str">
        <f t="shared" si="42"/>
        <v>OK</v>
      </c>
      <c r="I938" s="30">
        <v>2324.7600000000002</v>
      </c>
      <c r="J938" s="33" t="str">
        <f t="shared" si="43"/>
        <v>OK</v>
      </c>
      <c r="K938" s="30">
        <v>1303.45</v>
      </c>
      <c r="L938" t="s">
        <v>22</v>
      </c>
      <c r="M938" s="31" t="str">
        <f t="shared" si="44"/>
        <v>OK</v>
      </c>
    </row>
    <row r="939" spans="1:13">
      <c r="A939" t="s">
        <v>1323</v>
      </c>
      <c r="B939" s="1">
        <v>45940</v>
      </c>
      <c r="C939" t="s">
        <v>67</v>
      </c>
      <c r="D939" t="s">
        <v>63</v>
      </c>
      <c r="E939" t="s">
        <v>82</v>
      </c>
      <c r="F939" t="s">
        <v>83</v>
      </c>
      <c r="G939">
        <v>6</v>
      </c>
      <c r="H939" s="32" t="str">
        <f t="shared" si="42"/>
        <v>OK</v>
      </c>
      <c r="I939" s="30">
        <v>6053.72</v>
      </c>
      <c r="J939" s="33" t="str">
        <f t="shared" si="43"/>
        <v>OK</v>
      </c>
      <c r="K939" s="30">
        <v>4367.74</v>
      </c>
      <c r="L939" t="s">
        <v>16</v>
      </c>
      <c r="M939" s="31" t="str">
        <f t="shared" si="44"/>
        <v>OK</v>
      </c>
    </row>
    <row r="940" spans="1:13">
      <c r="A940" t="s">
        <v>1372</v>
      </c>
      <c r="B940" s="1">
        <v>45940</v>
      </c>
      <c r="C940" t="s">
        <v>162</v>
      </c>
      <c r="D940" t="s">
        <v>57</v>
      </c>
      <c r="E940" t="s">
        <v>82</v>
      </c>
      <c r="F940" t="s">
        <v>97</v>
      </c>
      <c r="G940">
        <v>8</v>
      </c>
      <c r="H940" s="32" t="str">
        <f t="shared" si="42"/>
        <v>OK</v>
      </c>
      <c r="I940" s="30">
        <v>5168.57</v>
      </c>
      <c r="J940" s="33" t="str">
        <f t="shared" si="43"/>
        <v>OK</v>
      </c>
      <c r="K940" s="30">
        <v>3629.69</v>
      </c>
      <c r="L940" t="s">
        <v>16</v>
      </c>
      <c r="M940" s="31" t="str">
        <f t="shared" si="44"/>
        <v>OK</v>
      </c>
    </row>
    <row r="941" spans="1:13">
      <c r="A941" t="s">
        <v>1378</v>
      </c>
      <c r="B941" s="1">
        <v>45940</v>
      </c>
      <c r="C941" t="s">
        <v>129</v>
      </c>
      <c r="D941" t="s">
        <v>19</v>
      </c>
      <c r="E941" t="s">
        <v>82</v>
      </c>
      <c r="F941" t="s">
        <v>137</v>
      </c>
      <c r="G941">
        <v>5</v>
      </c>
      <c r="H941" s="32" t="str">
        <f t="shared" si="42"/>
        <v>OK</v>
      </c>
      <c r="I941" s="30">
        <v>4409.28</v>
      </c>
      <c r="J941" s="33" t="str">
        <f t="shared" si="43"/>
        <v>OK</v>
      </c>
      <c r="K941" s="30">
        <v>3729.67</v>
      </c>
      <c r="L941" t="s">
        <v>71</v>
      </c>
      <c r="M941" s="31" t="str">
        <f t="shared" si="44"/>
        <v>OK</v>
      </c>
    </row>
    <row r="942" spans="1:13">
      <c r="A942" t="s">
        <v>343</v>
      </c>
      <c r="B942" s="1">
        <v>45941</v>
      </c>
      <c r="C942" t="s">
        <v>85</v>
      </c>
      <c r="D942" t="s">
        <v>31</v>
      </c>
      <c r="E942" t="s">
        <v>20</v>
      </c>
      <c r="F942" t="s">
        <v>14</v>
      </c>
      <c r="G942">
        <v>4</v>
      </c>
      <c r="H942" s="32" t="str">
        <f t="shared" si="42"/>
        <v>OK</v>
      </c>
      <c r="I942" s="30">
        <v>3725.11</v>
      </c>
      <c r="J942" s="33" t="str">
        <f t="shared" si="43"/>
        <v>OK</v>
      </c>
      <c r="K942" s="30">
        <v>3048.29</v>
      </c>
      <c r="L942" t="s">
        <v>71</v>
      </c>
      <c r="M942" s="31" t="str">
        <f t="shared" si="44"/>
        <v>OK</v>
      </c>
    </row>
    <row r="943" spans="1:13">
      <c r="A943" t="s">
        <v>491</v>
      </c>
      <c r="B943" s="1">
        <v>45941</v>
      </c>
      <c r="C943" t="s">
        <v>56</v>
      </c>
      <c r="D943" t="s">
        <v>12</v>
      </c>
      <c r="E943" t="s">
        <v>32</v>
      </c>
      <c r="F943" t="s">
        <v>1616</v>
      </c>
      <c r="G943">
        <v>8</v>
      </c>
      <c r="H943" s="32" t="str">
        <f t="shared" si="42"/>
        <v>OK</v>
      </c>
      <c r="I943" s="30">
        <v>1294.5999999999999</v>
      </c>
      <c r="J943" s="33" t="str">
        <f t="shared" si="43"/>
        <v>OK</v>
      </c>
      <c r="K943" s="30">
        <v>1077.02</v>
      </c>
      <c r="L943" t="s">
        <v>1617</v>
      </c>
      <c r="M943" s="31" t="str">
        <f t="shared" si="44"/>
        <v>OK</v>
      </c>
    </row>
    <row r="944" spans="1:13">
      <c r="A944" t="s">
        <v>950</v>
      </c>
      <c r="B944" s="1">
        <v>45941</v>
      </c>
      <c r="C944" t="s">
        <v>259</v>
      </c>
      <c r="D944" t="s">
        <v>1617</v>
      </c>
      <c r="E944" t="s">
        <v>82</v>
      </c>
      <c r="F944" t="s">
        <v>97</v>
      </c>
      <c r="G944">
        <v>5</v>
      </c>
      <c r="H944" s="32" t="str">
        <f t="shared" si="42"/>
        <v>OK</v>
      </c>
      <c r="I944" s="30">
        <v>-294.05</v>
      </c>
      <c r="J944" s="33" t="str">
        <f t="shared" si="43"/>
        <v>Negative Sales</v>
      </c>
      <c r="K944" s="30">
        <v>439.35</v>
      </c>
      <c r="L944" t="s">
        <v>38</v>
      </c>
      <c r="M944" s="31" t="str">
        <f t="shared" si="44"/>
        <v>Sales &lt; Cost</v>
      </c>
    </row>
    <row r="945" spans="1:13">
      <c r="A945" t="s">
        <v>964</v>
      </c>
      <c r="B945" s="1">
        <v>45941</v>
      </c>
      <c r="C945" t="s">
        <v>11</v>
      </c>
      <c r="D945" t="s">
        <v>12</v>
      </c>
      <c r="E945" t="s">
        <v>36</v>
      </c>
      <c r="F945" t="s">
        <v>42</v>
      </c>
      <c r="G945">
        <v>3</v>
      </c>
      <c r="H945" s="32" t="str">
        <f t="shared" si="42"/>
        <v>OK</v>
      </c>
      <c r="I945" s="30">
        <v>5557.15</v>
      </c>
      <c r="J945" s="33" t="str">
        <f t="shared" si="43"/>
        <v>OK</v>
      </c>
      <c r="K945" s="30">
        <v>4165.6099999999997</v>
      </c>
      <c r="L945" t="s">
        <v>22</v>
      </c>
      <c r="M945" s="31" t="str">
        <f t="shared" si="44"/>
        <v>OK</v>
      </c>
    </row>
    <row r="946" spans="1:13">
      <c r="A946" t="s">
        <v>1484</v>
      </c>
      <c r="B946" s="1">
        <v>45941</v>
      </c>
      <c r="C946" t="s">
        <v>67</v>
      </c>
      <c r="D946" t="s">
        <v>57</v>
      </c>
      <c r="E946" t="s">
        <v>36</v>
      </c>
      <c r="F946" t="s">
        <v>42</v>
      </c>
      <c r="G946">
        <v>3</v>
      </c>
      <c r="H946" s="32" t="str">
        <f t="shared" si="42"/>
        <v>OK</v>
      </c>
      <c r="J946" s="33" t="str">
        <f t="shared" si="43"/>
        <v>Missing Sales</v>
      </c>
      <c r="K946" s="30">
        <v>1125.81</v>
      </c>
      <c r="L946" t="s">
        <v>28</v>
      </c>
      <c r="M946" s="31" t="str">
        <f t="shared" si="44"/>
        <v>Missing Data</v>
      </c>
    </row>
    <row r="947" spans="1:13">
      <c r="A947" t="s">
        <v>428</v>
      </c>
      <c r="B947" s="1">
        <v>45942</v>
      </c>
      <c r="C947" t="s">
        <v>59</v>
      </c>
      <c r="D947" t="s">
        <v>57</v>
      </c>
      <c r="E947" t="s">
        <v>82</v>
      </c>
      <c r="F947" t="s">
        <v>83</v>
      </c>
      <c r="G947">
        <v>8</v>
      </c>
      <c r="H947" s="32" t="str">
        <f t="shared" si="42"/>
        <v>OK</v>
      </c>
      <c r="I947" s="30">
        <v>675.83</v>
      </c>
      <c r="J947" s="33" t="str">
        <f t="shared" si="43"/>
        <v>OK</v>
      </c>
      <c r="K947" s="30">
        <v>552.95000000000005</v>
      </c>
      <c r="L947" t="s">
        <v>38</v>
      </c>
      <c r="M947" s="31" t="str">
        <f t="shared" si="44"/>
        <v>OK</v>
      </c>
    </row>
    <row r="948" spans="1:13">
      <c r="A948" t="s">
        <v>1480</v>
      </c>
      <c r="B948" s="1">
        <v>45942</v>
      </c>
      <c r="C948" t="s">
        <v>59</v>
      </c>
      <c r="D948" t="s">
        <v>31</v>
      </c>
      <c r="E948" t="s">
        <v>20</v>
      </c>
      <c r="F948" t="s">
        <v>14</v>
      </c>
      <c r="G948">
        <v>0</v>
      </c>
      <c r="H948" s="32" t="str">
        <f t="shared" si="42"/>
        <v>Zero Quantity</v>
      </c>
      <c r="I948" s="30">
        <v>4902.82</v>
      </c>
      <c r="J948" s="33" t="str">
        <f t="shared" si="43"/>
        <v>OK</v>
      </c>
      <c r="K948" s="30">
        <v>2895.63</v>
      </c>
      <c r="L948" t="s">
        <v>71</v>
      </c>
      <c r="M948" s="31" t="str">
        <f t="shared" si="44"/>
        <v>OK</v>
      </c>
    </row>
    <row r="949" spans="1:13">
      <c r="A949" t="s">
        <v>69</v>
      </c>
      <c r="B949" s="1">
        <v>45943</v>
      </c>
      <c r="C949" t="s">
        <v>70</v>
      </c>
      <c r="D949" t="s">
        <v>63</v>
      </c>
      <c r="E949" t="s">
        <v>20</v>
      </c>
      <c r="F949" t="s">
        <v>14</v>
      </c>
      <c r="G949">
        <v>1</v>
      </c>
      <c r="H949" s="32" t="str">
        <f t="shared" si="42"/>
        <v>OK</v>
      </c>
      <c r="I949" s="30">
        <v>4312.38</v>
      </c>
      <c r="J949" s="33" t="str">
        <f t="shared" si="43"/>
        <v>OK</v>
      </c>
      <c r="K949" s="30">
        <v>2950.46</v>
      </c>
      <c r="L949" t="s">
        <v>71</v>
      </c>
      <c r="M949" s="31" t="str">
        <f t="shared" si="44"/>
        <v>OK</v>
      </c>
    </row>
    <row r="950" spans="1:13">
      <c r="A950" t="s">
        <v>1265</v>
      </c>
      <c r="B950" s="1">
        <v>45943</v>
      </c>
      <c r="C950" t="s">
        <v>56</v>
      </c>
      <c r="D950" t="s">
        <v>12</v>
      </c>
      <c r="E950" t="s">
        <v>20</v>
      </c>
      <c r="F950" t="s">
        <v>196</v>
      </c>
      <c r="G950">
        <v>7</v>
      </c>
      <c r="H950" s="32" t="str">
        <f t="shared" si="42"/>
        <v>OK</v>
      </c>
      <c r="I950" s="30">
        <v>4603.6000000000004</v>
      </c>
      <c r="J950" s="33" t="str">
        <f t="shared" si="43"/>
        <v>OK</v>
      </c>
      <c r="K950" s="30">
        <v>3696.11</v>
      </c>
      <c r="L950" t="s">
        <v>38</v>
      </c>
      <c r="M950" s="31" t="str">
        <f t="shared" si="44"/>
        <v>OK</v>
      </c>
    </row>
    <row r="951" spans="1:13">
      <c r="A951" t="s">
        <v>118</v>
      </c>
      <c r="B951" s="1">
        <v>45944</v>
      </c>
      <c r="C951" t="s">
        <v>119</v>
      </c>
      <c r="D951" t="s">
        <v>57</v>
      </c>
      <c r="E951" t="s">
        <v>32</v>
      </c>
      <c r="F951" t="s">
        <v>101</v>
      </c>
      <c r="G951">
        <v>8</v>
      </c>
      <c r="H951" s="32" t="str">
        <f t="shared" si="42"/>
        <v>OK</v>
      </c>
      <c r="I951" s="30">
        <v>1848.31</v>
      </c>
      <c r="J951" s="33" t="str">
        <f t="shared" si="43"/>
        <v>OK</v>
      </c>
      <c r="K951" s="30">
        <v>1238.1600000000001</v>
      </c>
      <c r="L951" t="s">
        <v>28</v>
      </c>
      <c r="M951" s="31" t="str">
        <f t="shared" si="44"/>
        <v>OK</v>
      </c>
    </row>
    <row r="952" spans="1:13">
      <c r="A952" t="s">
        <v>1286</v>
      </c>
      <c r="B952" s="1">
        <v>45944</v>
      </c>
      <c r="C952" t="s">
        <v>121</v>
      </c>
      <c r="D952" t="s">
        <v>63</v>
      </c>
      <c r="E952" t="s">
        <v>26</v>
      </c>
      <c r="F952" t="s">
        <v>103</v>
      </c>
      <c r="G952">
        <v>1</v>
      </c>
      <c r="H952" s="32" t="str">
        <f t="shared" si="42"/>
        <v>OK</v>
      </c>
      <c r="I952" s="30">
        <v>2136.58</v>
      </c>
      <c r="J952" s="33" t="str">
        <f t="shared" si="43"/>
        <v>OK</v>
      </c>
      <c r="K952" s="30">
        <v>1358.64</v>
      </c>
      <c r="L952" t="s">
        <v>38</v>
      </c>
      <c r="M952" s="31" t="str">
        <f t="shared" si="44"/>
        <v>OK</v>
      </c>
    </row>
    <row r="953" spans="1:13">
      <c r="A953" t="s">
        <v>55</v>
      </c>
      <c r="B953" s="1">
        <v>45945</v>
      </c>
      <c r="C953" t="s">
        <v>56</v>
      </c>
      <c r="D953" t="s">
        <v>57</v>
      </c>
      <c r="E953" t="s">
        <v>20</v>
      </c>
      <c r="F953" t="s">
        <v>14</v>
      </c>
      <c r="G953">
        <v>5</v>
      </c>
      <c r="H953" s="32" t="str">
        <f t="shared" si="42"/>
        <v>OK</v>
      </c>
      <c r="I953" s="30">
        <v>5182.9799999999996</v>
      </c>
      <c r="J953" s="33" t="str">
        <f t="shared" si="43"/>
        <v>OK</v>
      </c>
      <c r="K953" s="30">
        <v>2910.51</v>
      </c>
      <c r="L953" t="s">
        <v>16</v>
      </c>
      <c r="M953" s="31" t="str">
        <f t="shared" si="44"/>
        <v>OK</v>
      </c>
    </row>
    <row r="954" spans="1:13">
      <c r="A954" t="s">
        <v>94</v>
      </c>
      <c r="B954" s="1">
        <v>45945</v>
      </c>
      <c r="C954" t="s">
        <v>51</v>
      </c>
      <c r="D954" t="s">
        <v>12</v>
      </c>
      <c r="E954" t="s">
        <v>82</v>
      </c>
      <c r="F954" t="s">
        <v>97</v>
      </c>
      <c r="G954">
        <v>6</v>
      </c>
      <c r="H954" s="32" t="str">
        <f t="shared" si="42"/>
        <v>OK</v>
      </c>
      <c r="I954" s="30">
        <v>4822.09</v>
      </c>
      <c r="J954" s="33" t="str">
        <f t="shared" si="43"/>
        <v>OK</v>
      </c>
      <c r="K954" s="30">
        <v>3305.87</v>
      </c>
      <c r="L954" t="s">
        <v>28</v>
      </c>
      <c r="M954" s="31" t="str">
        <f t="shared" si="44"/>
        <v>OK</v>
      </c>
    </row>
    <row r="955" spans="1:13">
      <c r="A955" t="s">
        <v>273</v>
      </c>
      <c r="B955" s="1">
        <v>45945</v>
      </c>
      <c r="C955" t="s">
        <v>51</v>
      </c>
      <c r="D955" t="s">
        <v>19</v>
      </c>
      <c r="E955" t="s">
        <v>20</v>
      </c>
      <c r="F955" t="s">
        <v>191</v>
      </c>
      <c r="G955">
        <v>7</v>
      </c>
      <c r="H955" s="32" t="str">
        <f t="shared" si="42"/>
        <v>OK</v>
      </c>
      <c r="I955" s="30">
        <v>2671.14</v>
      </c>
      <c r="J955" s="33" t="str">
        <f t="shared" si="43"/>
        <v>OK</v>
      </c>
      <c r="K955" s="30">
        <v>1613.05</v>
      </c>
      <c r="L955" t="s">
        <v>28</v>
      </c>
      <c r="M955" s="31" t="str">
        <f t="shared" si="44"/>
        <v>OK</v>
      </c>
    </row>
    <row r="956" spans="1:13">
      <c r="A956" t="s">
        <v>423</v>
      </c>
      <c r="B956" s="1">
        <v>45945</v>
      </c>
      <c r="C956" t="s">
        <v>117</v>
      </c>
      <c r="D956" t="s">
        <v>63</v>
      </c>
      <c r="E956" t="s">
        <v>26</v>
      </c>
      <c r="F956" t="s">
        <v>131</v>
      </c>
      <c r="G956">
        <v>8</v>
      </c>
      <c r="H956" s="32" t="str">
        <f t="shared" si="42"/>
        <v>OK</v>
      </c>
      <c r="I956" s="30">
        <v>1737.72</v>
      </c>
      <c r="J956" s="33" t="str">
        <f t="shared" si="43"/>
        <v>OK</v>
      </c>
      <c r="K956" s="30">
        <v>1020.25</v>
      </c>
      <c r="L956" t="s">
        <v>71</v>
      </c>
      <c r="M956" s="31" t="str">
        <f t="shared" si="44"/>
        <v>OK</v>
      </c>
    </row>
    <row r="957" spans="1:13">
      <c r="A957" t="s">
        <v>1210</v>
      </c>
      <c r="B957" s="1">
        <v>45945</v>
      </c>
      <c r="C957" t="s">
        <v>35</v>
      </c>
      <c r="D957" t="s">
        <v>19</v>
      </c>
      <c r="E957" t="s">
        <v>20</v>
      </c>
      <c r="F957" t="s">
        <v>91</v>
      </c>
      <c r="G957">
        <v>6</v>
      </c>
      <c r="H957" s="32" t="str">
        <f t="shared" si="42"/>
        <v>OK</v>
      </c>
      <c r="I957" s="30">
        <v>1727.8</v>
      </c>
      <c r="J957" s="33" t="str">
        <f t="shared" si="43"/>
        <v>OK</v>
      </c>
      <c r="K957" s="30">
        <v>1286.0899999999999</v>
      </c>
      <c r="L957" t="s">
        <v>71</v>
      </c>
      <c r="M957" s="31" t="str">
        <f t="shared" si="44"/>
        <v>OK</v>
      </c>
    </row>
    <row r="958" spans="1:13">
      <c r="A958" t="s">
        <v>1562</v>
      </c>
      <c r="B958" s="1">
        <v>45945</v>
      </c>
      <c r="C958" t="s">
        <v>48</v>
      </c>
      <c r="D958" t="s">
        <v>19</v>
      </c>
      <c r="E958" t="s">
        <v>20</v>
      </c>
      <c r="F958" t="s">
        <v>86</v>
      </c>
      <c r="G958">
        <v>5</v>
      </c>
      <c r="H958" s="32" t="str">
        <f t="shared" si="42"/>
        <v>OK</v>
      </c>
      <c r="I958" s="30">
        <v>4608.58</v>
      </c>
      <c r="J958" s="33" t="str">
        <f t="shared" si="43"/>
        <v>OK</v>
      </c>
      <c r="K958" s="30">
        <v>3186.29</v>
      </c>
      <c r="L958" t="s">
        <v>38</v>
      </c>
      <c r="M958" s="31" t="str">
        <f t="shared" si="44"/>
        <v>OK</v>
      </c>
    </row>
    <row r="959" spans="1:13">
      <c r="A959" t="s">
        <v>136</v>
      </c>
      <c r="B959" s="1">
        <v>45946</v>
      </c>
      <c r="C959" t="s">
        <v>135</v>
      </c>
      <c r="D959" t="s">
        <v>31</v>
      </c>
      <c r="E959" t="s">
        <v>82</v>
      </c>
      <c r="F959" t="s">
        <v>137</v>
      </c>
      <c r="G959">
        <v>1</v>
      </c>
      <c r="H959" s="32" t="str">
        <f t="shared" si="42"/>
        <v>OK</v>
      </c>
      <c r="I959" s="30">
        <v>5846.56</v>
      </c>
      <c r="J959" s="33" t="str">
        <f t="shared" si="43"/>
        <v>OK</v>
      </c>
      <c r="K959" s="30">
        <v>3270.35</v>
      </c>
      <c r="L959" t="s">
        <v>16</v>
      </c>
      <c r="M959" s="31" t="str">
        <f t="shared" si="44"/>
        <v>OK</v>
      </c>
    </row>
    <row r="960" spans="1:13">
      <c r="A960" t="s">
        <v>465</v>
      </c>
      <c r="B960" s="1">
        <v>45946</v>
      </c>
      <c r="C960" t="s">
        <v>56</v>
      </c>
      <c r="D960" t="s">
        <v>31</v>
      </c>
      <c r="E960" t="s">
        <v>36</v>
      </c>
      <c r="F960" t="s">
        <v>37</v>
      </c>
      <c r="H960" s="32" t="str">
        <f t="shared" si="42"/>
        <v>Blank</v>
      </c>
      <c r="I960" s="30">
        <v>14336.25</v>
      </c>
      <c r="J960" s="33" t="str">
        <f t="shared" si="43"/>
        <v>OK</v>
      </c>
      <c r="K960" s="30">
        <v>11988.93</v>
      </c>
      <c r="L960" t="s">
        <v>22</v>
      </c>
      <c r="M960" s="31" t="str">
        <f t="shared" si="44"/>
        <v>OK</v>
      </c>
    </row>
    <row r="961" spans="1:13">
      <c r="A961" t="s">
        <v>490</v>
      </c>
      <c r="B961" s="1">
        <v>45946</v>
      </c>
      <c r="C961" t="s">
        <v>24</v>
      </c>
      <c r="D961" t="s">
        <v>12</v>
      </c>
      <c r="E961" t="s">
        <v>26</v>
      </c>
      <c r="F961" t="s">
        <v>103</v>
      </c>
      <c r="G961">
        <v>4</v>
      </c>
      <c r="H961" s="32" t="str">
        <f t="shared" si="42"/>
        <v>OK</v>
      </c>
      <c r="I961" s="30">
        <v>2091.7600000000002</v>
      </c>
      <c r="J961" s="33" t="str">
        <f t="shared" si="43"/>
        <v>OK</v>
      </c>
      <c r="K961" s="30">
        <v>1736.82</v>
      </c>
      <c r="L961" t="s">
        <v>38</v>
      </c>
      <c r="M961" s="31" t="str">
        <f t="shared" si="44"/>
        <v>OK</v>
      </c>
    </row>
    <row r="962" spans="1:13">
      <c r="A962" t="s">
        <v>1339</v>
      </c>
      <c r="B962" s="1">
        <v>45946</v>
      </c>
      <c r="C962" t="s">
        <v>59</v>
      </c>
      <c r="D962" t="s">
        <v>12</v>
      </c>
      <c r="E962" t="s">
        <v>82</v>
      </c>
      <c r="F962" t="s">
        <v>150</v>
      </c>
      <c r="G962">
        <v>7</v>
      </c>
      <c r="H962" s="32" t="str">
        <f t="shared" ref="H962:H1025" si="45">IF(G962="","Blank",IF(G962&lt;0,"Negative Quantity",IF(G962=0,"Zero Quantity",IF(G962&gt;0,"OK",""))))</f>
        <v>OK</v>
      </c>
      <c r="I962" s="30">
        <v>6780.95</v>
      </c>
      <c r="J962" s="33" t="str">
        <f t="shared" ref="J962:J1025" si="46">IF(I962="","Missing Sales",IF(I962&lt;0,"Negative Sales","OK"))</f>
        <v>OK</v>
      </c>
      <c r="K962" s="30">
        <v>4471.54</v>
      </c>
      <c r="L962" t="s">
        <v>28</v>
      </c>
      <c r="M962" s="31" t="str">
        <f t="shared" ref="M962:M1025" si="47">IF(OR(I962="",K962=""),"Missing Data",IF(I962&lt;K962,"Sales &lt; Cost","OK"))</f>
        <v>OK</v>
      </c>
    </row>
    <row r="963" spans="1:13">
      <c r="A963" t="s">
        <v>1517</v>
      </c>
      <c r="B963" s="1">
        <v>45946</v>
      </c>
      <c r="C963" t="s">
        <v>67</v>
      </c>
      <c r="D963" t="s">
        <v>31</v>
      </c>
      <c r="E963" t="s">
        <v>82</v>
      </c>
      <c r="F963" t="s">
        <v>150</v>
      </c>
      <c r="G963">
        <v>8</v>
      </c>
      <c r="H963" s="32" t="str">
        <f t="shared" si="45"/>
        <v>OK</v>
      </c>
      <c r="I963" s="30">
        <v>701.49</v>
      </c>
      <c r="J963" s="33" t="str">
        <f t="shared" si="46"/>
        <v>OK</v>
      </c>
      <c r="K963" s="30">
        <v>458.64</v>
      </c>
      <c r="L963" t="s">
        <v>22</v>
      </c>
      <c r="M963" s="31" t="str">
        <f t="shared" si="47"/>
        <v>OK</v>
      </c>
    </row>
    <row r="964" spans="1:13">
      <c r="A964" t="s">
        <v>879</v>
      </c>
      <c r="B964" s="1">
        <v>45947</v>
      </c>
      <c r="C964" t="s">
        <v>59</v>
      </c>
      <c r="D964" t="s">
        <v>31</v>
      </c>
      <c r="E964" t="s">
        <v>20</v>
      </c>
      <c r="F964" t="s">
        <v>91</v>
      </c>
      <c r="G964">
        <v>3</v>
      </c>
      <c r="H964" s="32" t="str">
        <f t="shared" si="45"/>
        <v>OK</v>
      </c>
      <c r="I964" s="30">
        <v>859.48</v>
      </c>
      <c r="J964" s="33" t="str">
        <f t="shared" si="46"/>
        <v>OK</v>
      </c>
      <c r="K964" s="30">
        <v>509.09</v>
      </c>
      <c r="L964" t="s">
        <v>16</v>
      </c>
      <c r="M964" s="31" t="str">
        <f t="shared" si="47"/>
        <v>OK</v>
      </c>
    </row>
    <row r="965" spans="1:13">
      <c r="A965" t="s">
        <v>731</v>
      </c>
      <c r="B965" s="1">
        <v>45948</v>
      </c>
      <c r="C965" t="s">
        <v>59</v>
      </c>
      <c r="D965" t="s">
        <v>31</v>
      </c>
      <c r="E965" t="s">
        <v>32</v>
      </c>
      <c r="F965" t="s">
        <v>1616</v>
      </c>
      <c r="G965">
        <v>3</v>
      </c>
      <c r="H965" s="32" t="str">
        <f t="shared" si="45"/>
        <v>OK</v>
      </c>
      <c r="I965" s="30">
        <v>658.29</v>
      </c>
      <c r="J965" s="33" t="str">
        <f t="shared" si="46"/>
        <v>OK</v>
      </c>
      <c r="K965" s="30">
        <v>542.86</v>
      </c>
      <c r="L965" t="s">
        <v>22</v>
      </c>
      <c r="M965" s="31" t="str">
        <f t="shared" si="47"/>
        <v>OK</v>
      </c>
    </row>
    <row r="966" spans="1:13">
      <c r="A966" t="s">
        <v>838</v>
      </c>
      <c r="B966" s="1">
        <v>45948</v>
      </c>
      <c r="C966" t="s">
        <v>231</v>
      </c>
      <c r="D966" t="s">
        <v>12</v>
      </c>
      <c r="E966" t="s">
        <v>36</v>
      </c>
      <c r="F966" t="s">
        <v>1614</v>
      </c>
      <c r="G966">
        <v>2</v>
      </c>
      <c r="H966" s="32" t="str">
        <f t="shared" si="45"/>
        <v>OK</v>
      </c>
      <c r="I966" s="30">
        <v>16776.580000000002</v>
      </c>
      <c r="J966" s="33" t="str">
        <f t="shared" si="46"/>
        <v>OK</v>
      </c>
      <c r="K966" s="30">
        <v>11082</v>
      </c>
      <c r="L966" t="s">
        <v>28</v>
      </c>
      <c r="M966" s="31" t="str">
        <f t="shared" si="47"/>
        <v>OK</v>
      </c>
    </row>
    <row r="967" spans="1:13">
      <c r="A967" t="s">
        <v>1039</v>
      </c>
      <c r="B967" s="1">
        <v>45948</v>
      </c>
      <c r="C967" t="s">
        <v>18</v>
      </c>
      <c r="D967" t="s">
        <v>12</v>
      </c>
      <c r="E967" t="s">
        <v>20</v>
      </c>
      <c r="F967" t="s">
        <v>91</v>
      </c>
      <c r="G967">
        <v>1</v>
      </c>
      <c r="H967" s="32" t="str">
        <f t="shared" si="45"/>
        <v>OK</v>
      </c>
      <c r="I967" s="30">
        <v>5182.63</v>
      </c>
      <c r="J967" s="33" t="str">
        <f t="shared" si="46"/>
        <v>OK</v>
      </c>
      <c r="K967" s="30">
        <v>4445.05</v>
      </c>
      <c r="L967" t="s">
        <v>38</v>
      </c>
      <c r="M967" s="31" t="str">
        <f t="shared" si="47"/>
        <v>OK</v>
      </c>
    </row>
    <row r="968" spans="1:13">
      <c r="A968" t="s">
        <v>177</v>
      </c>
      <c r="B968" s="1">
        <v>45949</v>
      </c>
      <c r="C968" t="s">
        <v>124</v>
      </c>
      <c r="D968" t="s">
        <v>12</v>
      </c>
      <c r="E968" t="s">
        <v>32</v>
      </c>
      <c r="F968" t="s">
        <v>180</v>
      </c>
      <c r="G968">
        <v>4</v>
      </c>
      <c r="H968" s="32" t="str">
        <f t="shared" si="45"/>
        <v>OK</v>
      </c>
      <c r="I968" s="30">
        <v>1033.8</v>
      </c>
      <c r="J968" s="33" t="str">
        <f t="shared" si="46"/>
        <v>OK</v>
      </c>
      <c r="K968" s="30">
        <v>667.05</v>
      </c>
      <c r="L968" t="s">
        <v>28</v>
      </c>
      <c r="M968" s="31" t="str">
        <f t="shared" si="47"/>
        <v>OK</v>
      </c>
    </row>
    <row r="969" spans="1:13">
      <c r="A969" t="s">
        <v>461</v>
      </c>
      <c r="B969" s="1">
        <v>45949</v>
      </c>
      <c r="C969" t="s">
        <v>117</v>
      </c>
      <c r="D969" t="s">
        <v>57</v>
      </c>
      <c r="E969" t="s">
        <v>26</v>
      </c>
      <c r="F969" t="s">
        <v>79</v>
      </c>
      <c r="G969">
        <v>5</v>
      </c>
      <c r="H969" s="32" t="str">
        <f t="shared" si="45"/>
        <v>OK</v>
      </c>
      <c r="I969" s="30">
        <v>1677.25</v>
      </c>
      <c r="J969" s="33" t="str">
        <f t="shared" si="46"/>
        <v>OK</v>
      </c>
      <c r="K969" s="30">
        <v>1181.9100000000001</v>
      </c>
      <c r="L969" t="s">
        <v>22</v>
      </c>
      <c r="M969" s="31" t="str">
        <f t="shared" si="47"/>
        <v>OK</v>
      </c>
    </row>
    <row r="970" spans="1:13">
      <c r="A970" t="s">
        <v>902</v>
      </c>
      <c r="B970" s="1">
        <v>45949</v>
      </c>
      <c r="C970" t="s">
        <v>24</v>
      </c>
      <c r="D970" t="s">
        <v>19</v>
      </c>
      <c r="E970" t="s">
        <v>20</v>
      </c>
      <c r="F970" t="s">
        <v>191</v>
      </c>
      <c r="G970">
        <v>7</v>
      </c>
      <c r="H970" s="32" t="str">
        <f t="shared" si="45"/>
        <v>OK</v>
      </c>
      <c r="I970" s="30">
        <v>2509.77</v>
      </c>
      <c r="J970" s="33" t="str">
        <f t="shared" si="46"/>
        <v>OK</v>
      </c>
      <c r="K970" s="30">
        <v>1946</v>
      </c>
      <c r="L970" t="s">
        <v>28</v>
      </c>
      <c r="M970" s="31" t="str">
        <f t="shared" si="47"/>
        <v>OK</v>
      </c>
    </row>
    <row r="971" spans="1:13">
      <c r="A971" t="s">
        <v>1009</v>
      </c>
      <c r="B971" s="1">
        <v>45949</v>
      </c>
      <c r="C971" t="s">
        <v>48</v>
      </c>
      <c r="D971" t="s">
        <v>57</v>
      </c>
      <c r="E971" t="s">
        <v>26</v>
      </c>
      <c r="F971" t="s">
        <v>106</v>
      </c>
      <c r="G971">
        <v>8</v>
      </c>
      <c r="H971" s="32" t="str">
        <f t="shared" si="45"/>
        <v>OK</v>
      </c>
      <c r="I971" s="30">
        <v>715.48</v>
      </c>
      <c r="J971" s="33" t="str">
        <f t="shared" si="46"/>
        <v>OK</v>
      </c>
      <c r="K971" s="30">
        <v>597.13</v>
      </c>
      <c r="L971" t="s">
        <v>71</v>
      </c>
      <c r="M971" s="31" t="str">
        <f t="shared" si="47"/>
        <v>OK</v>
      </c>
    </row>
    <row r="972" spans="1:13">
      <c r="A972" t="s">
        <v>1137</v>
      </c>
      <c r="B972" s="1">
        <v>45949</v>
      </c>
      <c r="C972" t="s">
        <v>18</v>
      </c>
      <c r="D972" t="s">
        <v>12</v>
      </c>
      <c r="E972" t="s">
        <v>26</v>
      </c>
      <c r="F972" t="s">
        <v>350</v>
      </c>
      <c r="G972">
        <v>5</v>
      </c>
      <c r="H972" s="32" t="str">
        <f t="shared" si="45"/>
        <v>OK</v>
      </c>
      <c r="I972" s="30">
        <v>3235.13</v>
      </c>
      <c r="J972" s="33" t="str">
        <f t="shared" si="46"/>
        <v>OK</v>
      </c>
      <c r="K972" s="30">
        <v>2779.31</v>
      </c>
      <c r="L972" t="s">
        <v>22</v>
      </c>
      <c r="M972" s="31" t="str">
        <f t="shared" si="47"/>
        <v>OK</v>
      </c>
    </row>
    <row r="973" spans="1:13">
      <c r="A973" t="s">
        <v>1186</v>
      </c>
      <c r="B973" s="1">
        <v>45949</v>
      </c>
      <c r="C973" t="s">
        <v>121</v>
      </c>
      <c r="D973" t="s">
        <v>31</v>
      </c>
      <c r="E973" t="s">
        <v>32</v>
      </c>
      <c r="F973" t="s">
        <v>101</v>
      </c>
      <c r="G973">
        <v>1</v>
      </c>
      <c r="H973" s="32" t="str">
        <f t="shared" si="45"/>
        <v>OK</v>
      </c>
      <c r="I973" s="30">
        <v>1602.15</v>
      </c>
      <c r="J973" s="33" t="str">
        <f t="shared" si="46"/>
        <v>OK</v>
      </c>
      <c r="K973" s="30">
        <v>1272.47</v>
      </c>
      <c r="L973" t="s">
        <v>71</v>
      </c>
      <c r="M973" s="31" t="str">
        <f t="shared" si="47"/>
        <v>OK</v>
      </c>
    </row>
    <row r="974" spans="1:13">
      <c r="A974" t="s">
        <v>379</v>
      </c>
      <c r="B974" s="1">
        <v>45950</v>
      </c>
      <c r="C974" t="s">
        <v>48</v>
      </c>
      <c r="D974" t="s">
        <v>19</v>
      </c>
      <c r="E974" t="s">
        <v>36</v>
      </c>
      <c r="F974" t="s">
        <v>93</v>
      </c>
      <c r="G974">
        <v>1</v>
      </c>
      <c r="H974" s="32" t="str">
        <f t="shared" si="45"/>
        <v>OK</v>
      </c>
      <c r="I974" s="30">
        <v>10273.41</v>
      </c>
      <c r="J974" s="33" t="str">
        <f t="shared" si="46"/>
        <v>OK</v>
      </c>
      <c r="K974" s="30">
        <v>6540.51</v>
      </c>
      <c r="L974" t="s">
        <v>28</v>
      </c>
      <c r="M974" s="31" t="str">
        <f t="shared" si="47"/>
        <v>OK</v>
      </c>
    </row>
    <row r="975" spans="1:13">
      <c r="A975" t="s">
        <v>751</v>
      </c>
      <c r="B975" s="1">
        <v>45950</v>
      </c>
      <c r="C975" t="s">
        <v>24</v>
      </c>
      <c r="D975" t="s">
        <v>31</v>
      </c>
      <c r="E975" t="s">
        <v>82</v>
      </c>
      <c r="F975" t="s">
        <v>97</v>
      </c>
      <c r="G975">
        <v>3</v>
      </c>
      <c r="H975" s="32" t="str">
        <f t="shared" si="45"/>
        <v>OK</v>
      </c>
      <c r="I975" s="30">
        <v>1022.3</v>
      </c>
      <c r="J975" s="33" t="str">
        <f t="shared" si="46"/>
        <v>OK</v>
      </c>
      <c r="K975" s="30">
        <v>717.57</v>
      </c>
      <c r="L975" t="s">
        <v>71</v>
      </c>
      <c r="M975" s="31" t="str">
        <f t="shared" si="47"/>
        <v>OK</v>
      </c>
    </row>
    <row r="976" spans="1:13">
      <c r="A976" t="s">
        <v>717</v>
      </c>
      <c r="B976" s="1">
        <v>45951</v>
      </c>
      <c r="C976" t="s">
        <v>30</v>
      </c>
      <c r="D976" t="s">
        <v>12</v>
      </c>
      <c r="E976" t="s">
        <v>82</v>
      </c>
      <c r="F976" t="s">
        <v>97</v>
      </c>
      <c r="G976">
        <v>8</v>
      </c>
      <c r="H976" s="32" t="str">
        <f t="shared" si="45"/>
        <v>OK</v>
      </c>
      <c r="I976" s="30">
        <v>2206.58</v>
      </c>
      <c r="J976" s="33" t="str">
        <f t="shared" si="46"/>
        <v>OK</v>
      </c>
      <c r="K976" s="30">
        <v>1756.37</v>
      </c>
      <c r="L976" t="s">
        <v>38</v>
      </c>
      <c r="M976" s="31" t="str">
        <f t="shared" si="47"/>
        <v>OK</v>
      </c>
    </row>
    <row r="977" spans="1:13">
      <c r="A977" t="s">
        <v>855</v>
      </c>
      <c r="B977" s="1">
        <v>45951</v>
      </c>
      <c r="C977" t="s">
        <v>48</v>
      </c>
      <c r="D977" t="s">
        <v>12</v>
      </c>
      <c r="E977" t="s">
        <v>36</v>
      </c>
      <c r="F977" t="s">
        <v>37</v>
      </c>
      <c r="G977">
        <v>7</v>
      </c>
      <c r="H977" s="32" t="str">
        <f t="shared" si="45"/>
        <v>OK</v>
      </c>
      <c r="I977" s="30">
        <v>10085.299999999999</v>
      </c>
      <c r="J977" s="33" t="str">
        <f t="shared" si="46"/>
        <v>OK</v>
      </c>
      <c r="K977" s="30">
        <v>8698.6</v>
      </c>
      <c r="L977" t="s">
        <v>22</v>
      </c>
      <c r="M977" s="31" t="str">
        <f t="shared" si="47"/>
        <v>OK</v>
      </c>
    </row>
    <row r="978" spans="1:13">
      <c r="A978" t="s">
        <v>907</v>
      </c>
      <c r="B978" s="1">
        <v>45951</v>
      </c>
      <c r="C978" t="s">
        <v>108</v>
      </c>
      <c r="D978" t="s">
        <v>19</v>
      </c>
      <c r="E978" t="s">
        <v>82</v>
      </c>
      <c r="F978" t="s">
        <v>83</v>
      </c>
      <c r="G978">
        <v>7</v>
      </c>
      <c r="H978" s="32" t="str">
        <f t="shared" si="45"/>
        <v>OK</v>
      </c>
      <c r="I978" s="30">
        <v>5082.6899999999996</v>
      </c>
      <c r="J978" s="33" t="str">
        <f t="shared" si="46"/>
        <v>OK</v>
      </c>
      <c r="K978" s="30">
        <v>3496.07</v>
      </c>
      <c r="L978" t="s">
        <v>16</v>
      </c>
      <c r="M978" s="31" t="str">
        <f t="shared" si="47"/>
        <v>OK</v>
      </c>
    </row>
    <row r="979" spans="1:13">
      <c r="A979" t="s">
        <v>1349</v>
      </c>
      <c r="B979" s="1">
        <v>45951</v>
      </c>
      <c r="C979" t="s">
        <v>35</v>
      </c>
      <c r="D979" t="s">
        <v>63</v>
      </c>
      <c r="E979" t="s">
        <v>82</v>
      </c>
      <c r="F979" t="s">
        <v>109</v>
      </c>
      <c r="G979">
        <v>1</v>
      </c>
      <c r="H979" s="32" t="str">
        <f t="shared" si="45"/>
        <v>OK</v>
      </c>
      <c r="I979" s="30">
        <v>4731.71</v>
      </c>
      <c r="J979" s="33" t="str">
        <f t="shared" si="46"/>
        <v>OK</v>
      </c>
      <c r="K979" s="30">
        <v>3058</v>
      </c>
      <c r="L979" t="s">
        <v>38</v>
      </c>
      <c r="M979" s="31" t="str">
        <f t="shared" si="47"/>
        <v>OK</v>
      </c>
    </row>
    <row r="980" spans="1:13">
      <c r="A980" t="s">
        <v>1583</v>
      </c>
      <c r="B980" s="1">
        <v>45951</v>
      </c>
      <c r="C980" t="s">
        <v>162</v>
      </c>
      <c r="D980" t="s">
        <v>63</v>
      </c>
      <c r="E980" t="s">
        <v>82</v>
      </c>
      <c r="F980" t="s">
        <v>83</v>
      </c>
      <c r="G980">
        <v>6</v>
      </c>
      <c r="H980" s="32" t="str">
        <f t="shared" si="45"/>
        <v>OK</v>
      </c>
      <c r="I980" s="30">
        <v>3178.71</v>
      </c>
      <c r="J980" s="33" t="str">
        <f t="shared" si="46"/>
        <v>OK</v>
      </c>
      <c r="K980" s="30">
        <v>2755.92</v>
      </c>
      <c r="L980" t="s">
        <v>22</v>
      </c>
      <c r="M980" s="31" t="str">
        <f t="shared" si="47"/>
        <v>OK</v>
      </c>
    </row>
    <row r="981" spans="1:13">
      <c r="A981" t="s">
        <v>680</v>
      </c>
      <c r="B981" s="1">
        <v>45952</v>
      </c>
      <c r="C981" t="s">
        <v>105</v>
      </c>
      <c r="D981" t="s">
        <v>57</v>
      </c>
      <c r="E981" t="s">
        <v>36</v>
      </c>
      <c r="F981" t="s">
        <v>46</v>
      </c>
      <c r="G981">
        <v>1</v>
      </c>
      <c r="H981" s="32" t="str">
        <f t="shared" si="45"/>
        <v>OK</v>
      </c>
      <c r="I981" s="30">
        <v>2346.41</v>
      </c>
      <c r="J981" s="33" t="str">
        <f t="shared" si="46"/>
        <v>OK</v>
      </c>
      <c r="K981" s="30">
        <v>1511.86</v>
      </c>
      <c r="L981" t="s">
        <v>28</v>
      </c>
      <c r="M981" s="31" t="str">
        <f t="shared" si="47"/>
        <v>OK</v>
      </c>
    </row>
    <row r="982" spans="1:13">
      <c r="A982" t="s">
        <v>775</v>
      </c>
      <c r="B982" s="1">
        <v>45952</v>
      </c>
      <c r="C982" t="s">
        <v>30</v>
      </c>
      <c r="D982" t="s">
        <v>63</v>
      </c>
      <c r="E982" t="s">
        <v>82</v>
      </c>
      <c r="F982" t="s">
        <v>137</v>
      </c>
      <c r="G982">
        <v>5</v>
      </c>
      <c r="H982" s="32" t="str">
        <f t="shared" si="45"/>
        <v>OK</v>
      </c>
      <c r="I982" s="30">
        <v>6951.77</v>
      </c>
      <c r="J982" s="33" t="str">
        <f t="shared" si="46"/>
        <v>OK</v>
      </c>
      <c r="K982" s="30">
        <v>4500.76</v>
      </c>
      <c r="L982" t="s">
        <v>28</v>
      </c>
      <c r="M982" s="31" t="str">
        <f t="shared" si="47"/>
        <v>OK</v>
      </c>
    </row>
    <row r="983" spans="1:13">
      <c r="A983" t="s">
        <v>1168</v>
      </c>
      <c r="B983" s="1">
        <v>45952</v>
      </c>
      <c r="C983" t="s">
        <v>115</v>
      </c>
      <c r="D983" t="s">
        <v>31</v>
      </c>
      <c r="E983" t="s">
        <v>36</v>
      </c>
      <c r="F983" t="s">
        <v>1614</v>
      </c>
      <c r="G983">
        <v>7</v>
      </c>
      <c r="H983" s="32" t="str">
        <f t="shared" si="45"/>
        <v>OK</v>
      </c>
      <c r="I983" s="30">
        <v>7682.79</v>
      </c>
      <c r="J983" s="33" t="str">
        <f t="shared" si="46"/>
        <v>OK</v>
      </c>
      <c r="K983" s="30">
        <v>6038.33</v>
      </c>
      <c r="L983" t="s">
        <v>16</v>
      </c>
      <c r="M983" s="31" t="str">
        <f t="shared" si="47"/>
        <v>OK</v>
      </c>
    </row>
    <row r="984" spans="1:13">
      <c r="A984" t="s">
        <v>1242</v>
      </c>
      <c r="B984" s="1">
        <v>45952</v>
      </c>
      <c r="C984" t="s">
        <v>48</v>
      </c>
      <c r="D984" t="s">
        <v>31</v>
      </c>
      <c r="E984" t="s">
        <v>26</v>
      </c>
      <c r="F984" t="s">
        <v>103</v>
      </c>
      <c r="G984">
        <v>6</v>
      </c>
      <c r="H984" s="32" t="str">
        <f t="shared" si="45"/>
        <v>OK</v>
      </c>
      <c r="I984" s="30">
        <v>2126.79</v>
      </c>
      <c r="J984" s="33" t="str">
        <f t="shared" si="46"/>
        <v>OK</v>
      </c>
      <c r="K984" s="30">
        <v>1711.93</v>
      </c>
      <c r="L984" t="s">
        <v>22</v>
      </c>
      <c r="M984" s="31" t="str">
        <f t="shared" si="47"/>
        <v>OK</v>
      </c>
    </row>
    <row r="985" spans="1:13">
      <c r="A985" t="s">
        <v>1239</v>
      </c>
      <c r="B985" s="1">
        <v>45952</v>
      </c>
      <c r="C985" t="s">
        <v>115</v>
      </c>
      <c r="D985" t="s">
        <v>31</v>
      </c>
      <c r="E985" t="s">
        <v>26</v>
      </c>
      <c r="F985" t="s">
        <v>79</v>
      </c>
      <c r="G985">
        <v>5</v>
      </c>
      <c r="H985" s="32" t="str">
        <f t="shared" si="45"/>
        <v>OK</v>
      </c>
      <c r="I985" s="30">
        <v>2506.12</v>
      </c>
      <c r="J985" s="33" t="str">
        <f t="shared" si="46"/>
        <v>OK</v>
      </c>
      <c r="K985" s="30">
        <v>2177.31</v>
      </c>
      <c r="L985" t="s">
        <v>38</v>
      </c>
      <c r="M985" s="31" t="str">
        <f t="shared" si="47"/>
        <v>OK</v>
      </c>
    </row>
    <row r="986" spans="1:13">
      <c r="A986" t="s">
        <v>1303</v>
      </c>
      <c r="B986" s="1">
        <v>45952</v>
      </c>
      <c r="C986" t="s">
        <v>175</v>
      </c>
      <c r="D986" t="s">
        <v>12</v>
      </c>
      <c r="E986" t="s">
        <v>26</v>
      </c>
      <c r="F986" t="s">
        <v>79</v>
      </c>
      <c r="G986">
        <v>1</v>
      </c>
      <c r="H986" s="32" t="str">
        <f t="shared" si="45"/>
        <v>OK</v>
      </c>
      <c r="I986" s="30">
        <v>2997.16</v>
      </c>
      <c r="J986" s="33" t="str">
        <f t="shared" si="46"/>
        <v>OK</v>
      </c>
      <c r="K986" s="30">
        <v>1809.5</v>
      </c>
      <c r="L986" t="s">
        <v>16</v>
      </c>
      <c r="M986" s="31" t="str">
        <f t="shared" si="47"/>
        <v>OK</v>
      </c>
    </row>
    <row r="987" spans="1:13">
      <c r="A987" t="s">
        <v>683</v>
      </c>
      <c r="B987" s="1">
        <v>45953</v>
      </c>
      <c r="C987" t="s">
        <v>175</v>
      </c>
      <c r="D987" t="s">
        <v>12</v>
      </c>
      <c r="E987" t="s">
        <v>82</v>
      </c>
      <c r="F987" t="s">
        <v>155</v>
      </c>
      <c r="G987">
        <v>4</v>
      </c>
      <c r="H987" s="32" t="str">
        <f t="shared" si="45"/>
        <v>OK</v>
      </c>
      <c r="I987" s="30">
        <v>6854.11</v>
      </c>
      <c r="J987" s="33" t="str">
        <f t="shared" si="46"/>
        <v>OK</v>
      </c>
      <c r="K987" s="30">
        <v>5284.85</v>
      </c>
      <c r="L987" t="s">
        <v>22</v>
      </c>
      <c r="M987" s="31" t="str">
        <f t="shared" si="47"/>
        <v>OK</v>
      </c>
    </row>
    <row r="988" spans="1:13">
      <c r="A988" t="s">
        <v>1211</v>
      </c>
      <c r="B988" s="1">
        <v>45953</v>
      </c>
      <c r="C988" t="s">
        <v>67</v>
      </c>
      <c r="D988" t="s">
        <v>57</v>
      </c>
      <c r="E988" t="s">
        <v>82</v>
      </c>
      <c r="F988" t="s">
        <v>97</v>
      </c>
      <c r="G988">
        <v>1</v>
      </c>
      <c r="H988" s="32" t="str">
        <f t="shared" si="45"/>
        <v>OK</v>
      </c>
      <c r="I988" s="30">
        <v>6718.13</v>
      </c>
      <c r="J988" s="33" t="str">
        <f t="shared" si="46"/>
        <v>OK</v>
      </c>
      <c r="K988" s="30">
        <v>4851.6899999999996</v>
      </c>
      <c r="L988" t="s">
        <v>28</v>
      </c>
      <c r="M988" s="31" t="str">
        <f t="shared" si="47"/>
        <v>OK</v>
      </c>
    </row>
    <row r="989" spans="1:13">
      <c r="A989" t="s">
        <v>1232</v>
      </c>
      <c r="B989" s="1">
        <v>45953</v>
      </c>
      <c r="C989" t="s">
        <v>108</v>
      </c>
      <c r="D989" t="s">
        <v>12</v>
      </c>
      <c r="E989" t="s">
        <v>82</v>
      </c>
      <c r="F989" t="s">
        <v>109</v>
      </c>
      <c r="G989">
        <v>3</v>
      </c>
      <c r="H989" s="32" t="str">
        <f t="shared" si="45"/>
        <v>OK</v>
      </c>
      <c r="I989" s="30">
        <v>6863.86</v>
      </c>
      <c r="J989" s="33" t="str">
        <f t="shared" si="46"/>
        <v>OK</v>
      </c>
      <c r="K989" s="30">
        <v>4419.78</v>
      </c>
      <c r="L989" t="s">
        <v>22</v>
      </c>
      <c r="M989" s="31" t="str">
        <f t="shared" si="47"/>
        <v>OK</v>
      </c>
    </row>
    <row r="990" spans="1:13">
      <c r="A990" t="s">
        <v>1507</v>
      </c>
      <c r="B990" s="1">
        <v>45953</v>
      </c>
      <c r="C990" t="s">
        <v>117</v>
      </c>
      <c r="D990" t="s">
        <v>57</v>
      </c>
      <c r="E990" t="s">
        <v>36</v>
      </c>
      <c r="F990" t="s">
        <v>42</v>
      </c>
      <c r="G990">
        <v>5</v>
      </c>
      <c r="H990" s="32" t="str">
        <f t="shared" si="45"/>
        <v>OK</v>
      </c>
      <c r="I990" s="30">
        <v>6562</v>
      </c>
      <c r="J990" s="33" t="str">
        <f t="shared" si="46"/>
        <v>OK</v>
      </c>
      <c r="K990" s="30">
        <v>3799.02</v>
      </c>
      <c r="L990" t="s">
        <v>16</v>
      </c>
      <c r="M990" s="31" t="str">
        <f t="shared" si="47"/>
        <v>OK</v>
      </c>
    </row>
    <row r="991" spans="1:13">
      <c r="A991" t="s">
        <v>1531</v>
      </c>
      <c r="B991" s="1">
        <v>45953</v>
      </c>
      <c r="C991" t="s">
        <v>67</v>
      </c>
      <c r="D991" t="s">
        <v>31</v>
      </c>
      <c r="E991" t="s">
        <v>32</v>
      </c>
      <c r="F991" t="s">
        <v>1615</v>
      </c>
      <c r="G991">
        <v>4</v>
      </c>
      <c r="H991" s="32" t="str">
        <f t="shared" si="45"/>
        <v>OK</v>
      </c>
      <c r="I991" s="30">
        <v>1817.11</v>
      </c>
      <c r="J991" s="33" t="str">
        <f t="shared" si="46"/>
        <v>OK</v>
      </c>
      <c r="K991" s="30">
        <v>1140.44</v>
      </c>
      <c r="L991" t="s">
        <v>16</v>
      </c>
      <c r="M991" s="31" t="str">
        <f t="shared" si="47"/>
        <v>OK</v>
      </c>
    </row>
    <row r="992" spans="1:13">
      <c r="A992" t="s">
        <v>98</v>
      </c>
      <c r="B992" s="1">
        <v>45954</v>
      </c>
      <c r="C992" t="s">
        <v>67</v>
      </c>
      <c r="D992" t="s">
        <v>57</v>
      </c>
      <c r="E992" t="s">
        <v>32</v>
      </c>
      <c r="F992" t="s">
        <v>1615</v>
      </c>
      <c r="G992">
        <v>6</v>
      </c>
      <c r="H992" s="32" t="str">
        <f t="shared" si="45"/>
        <v>OK</v>
      </c>
      <c r="I992" s="30">
        <v>1163.8499999999999</v>
      </c>
      <c r="J992" s="33" t="str">
        <f t="shared" si="46"/>
        <v>OK</v>
      </c>
      <c r="K992" s="30">
        <v>927.05</v>
      </c>
      <c r="L992" t="s">
        <v>22</v>
      </c>
      <c r="M992" s="31" t="str">
        <f t="shared" si="47"/>
        <v>OK</v>
      </c>
    </row>
    <row r="993" spans="1:13">
      <c r="A993" t="s">
        <v>1014</v>
      </c>
      <c r="B993" s="1">
        <v>45954</v>
      </c>
      <c r="C993" t="s">
        <v>54</v>
      </c>
      <c r="D993" t="s">
        <v>63</v>
      </c>
      <c r="E993" t="s">
        <v>26</v>
      </c>
      <c r="F993" t="s">
        <v>131</v>
      </c>
      <c r="G993">
        <v>4</v>
      </c>
      <c r="H993" s="32" t="str">
        <f t="shared" si="45"/>
        <v>OK</v>
      </c>
      <c r="I993" s="30">
        <v>2594.5500000000002</v>
      </c>
      <c r="J993" s="33" t="str">
        <f t="shared" si="46"/>
        <v>OK</v>
      </c>
      <c r="K993" s="30">
        <v>1926.62</v>
      </c>
      <c r="L993" t="s">
        <v>71</v>
      </c>
      <c r="M993" s="31" t="str">
        <f t="shared" si="47"/>
        <v>OK</v>
      </c>
    </row>
    <row r="994" spans="1:13">
      <c r="A994" t="s">
        <v>1270</v>
      </c>
      <c r="B994" s="1">
        <v>45954</v>
      </c>
      <c r="C994" t="s">
        <v>70</v>
      </c>
      <c r="D994" t="s">
        <v>12</v>
      </c>
      <c r="E994" t="s">
        <v>82</v>
      </c>
      <c r="F994" t="s">
        <v>109</v>
      </c>
      <c r="G994">
        <v>4</v>
      </c>
      <c r="H994" s="32" t="str">
        <f t="shared" si="45"/>
        <v>OK</v>
      </c>
      <c r="I994" s="30">
        <v>6503.78</v>
      </c>
      <c r="J994" s="33" t="str">
        <f t="shared" si="46"/>
        <v>OK</v>
      </c>
      <c r="K994" s="30">
        <v>3656.23</v>
      </c>
      <c r="L994" t="s">
        <v>71</v>
      </c>
      <c r="M994" s="31" t="str">
        <f t="shared" si="47"/>
        <v>OK</v>
      </c>
    </row>
    <row r="995" spans="1:13">
      <c r="A995" t="s">
        <v>176</v>
      </c>
      <c r="B995" s="1">
        <v>45955</v>
      </c>
      <c r="C995" t="s">
        <v>133</v>
      </c>
      <c r="D995" t="s">
        <v>12</v>
      </c>
      <c r="E995" t="s">
        <v>20</v>
      </c>
      <c r="F995" t="s">
        <v>21</v>
      </c>
      <c r="G995">
        <v>1</v>
      </c>
      <c r="H995" s="32" t="str">
        <f t="shared" si="45"/>
        <v>OK</v>
      </c>
      <c r="I995" s="30">
        <v>5173.95</v>
      </c>
      <c r="J995" s="33" t="str">
        <f t="shared" si="46"/>
        <v>OK</v>
      </c>
      <c r="K995" s="30">
        <v>4057.22</v>
      </c>
      <c r="L995" t="s">
        <v>28</v>
      </c>
      <c r="M995" s="31" t="str">
        <f t="shared" si="47"/>
        <v>OK</v>
      </c>
    </row>
    <row r="996" spans="1:13">
      <c r="A996" t="s">
        <v>188</v>
      </c>
      <c r="B996" s="1">
        <v>45955</v>
      </c>
      <c r="C996" t="s">
        <v>115</v>
      </c>
      <c r="D996" t="s">
        <v>12</v>
      </c>
      <c r="E996" t="s">
        <v>32</v>
      </c>
      <c r="F996" t="s">
        <v>1616</v>
      </c>
      <c r="G996">
        <v>4</v>
      </c>
      <c r="H996" s="32" t="str">
        <f t="shared" si="45"/>
        <v>OK</v>
      </c>
      <c r="I996" s="30">
        <v>1932.3</v>
      </c>
      <c r="J996" s="33" t="str">
        <f t="shared" si="46"/>
        <v>OK</v>
      </c>
      <c r="K996" s="30">
        <v>1547.95</v>
      </c>
      <c r="L996" t="s">
        <v>22</v>
      </c>
      <c r="M996" s="31" t="str">
        <f t="shared" si="47"/>
        <v>OK</v>
      </c>
    </row>
    <row r="997" spans="1:13">
      <c r="A997" t="s">
        <v>699</v>
      </c>
      <c r="B997" s="1">
        <v>45955</v>
      </c>
      <c r="C997" t="s">
        <v>175</v>
      </c>
      <c r="D997" t="s">
        <v>63</v>
      </c>
      <c r="E997" t="s">
        <v>32</v>
      </c>
      <c r="F997" t="s">
        <v>101</v>
      </c>
      <c r="G997">
        <v>7</v>
      </c>
      <c r="H997" s="32" t="str">
        <f t="shared" si="45"/>
        <v>OK</v>
      </c>
      <c r="I997" s="30">
        <v>1667.64</v>
      </c>
      <c r="J997" s="33" t="str">
        <f t="shared" si="46"/>
        <v>OK</v>
      </c>
      <c r="K997" s="30">
        <v>1352.3</v>
      </c>
      <c r="L997" t="s">
        <v>16</v>
      </c>
      <c r="M997" s="31" t="str">
        <f t="shared" si="47"/>
        <v>OK</v>
      </c>
    </row>
    <row r="998" spans="1:13">
      <c r="A998" t="s">
        <v>852</v>
      </c>
      <c r="B998" s="1">
        <v>45955</v>
      </c>
      <c r="C998" t="s">
        <v>40</v>
      </c>
      <c r="D998" t="s">
        <v>12</v>
      </c>
      <c r="E998" t="s">
        <v>26</v>
      </c>
      <c r="F998" t="s">
        <v>103</v>
      </c>
      <c r="G998">
        <v>5</v>
      </c>
      <c r="H998" s="32" t="str">
        <f t="shared" si="45"/>
        <v>OK</v>
      </c>
      <c r="I998" s="30">
        <v>374.34</v>
      </c>
      <c r="J998" s="33" t="str">
        <f t="shared" si="46"/>
        <v>OK</v>
      </c>
      <c r="K998" s="30">
        <v>279.58</v>
      </c>
      <c r="L998" t="s">
        <v>22</v>
      </c>
      <c r="M998" s="31" t="str">
        <f t="shared" si="47"/>
        <v>OK</v>
      </c>
    </row>
    <row r="999" spans="1:13">
      <c r="A999" t="s">
        <v>1548</v>
      </c>
      <c r="B999" s="1">
        <v>45955</v>
      </c>
      <c r="C999" t="s">
        <v>124</v>
      </c>
      <c r="D999" t="s">
        <v>12</v>
      </c>
      <c r="E999" t="s">
        <v>36</v>
      </c>
      <c r="F999" t="s">
        <v>42</v>
      </c>
      <c r="G999">
        <v>2</v>
      </c>
      <c r="H999" s="32" t="str">
        <f t="shared" si="45"/>
        <v>OK</v>
      </c>
      <c r="I999" s="30">
        <v>9053.73</v>
      </c>
      <c r="J999" s="33" t="str">
        <f t="shared" si="46"/>
        <v>OK</v>
      </c>
      <c r="K999" s="30">
        <v>6754.04</v>
      </c>
      <c r="L999" t="s">
        <v>71</v>
      </c>
      <c r="M999" s="31" t="str">
        <f t="shared" si="47"/>
        <v>OK</v>
      </c>
    </row>
    <row r="1000" spans="1:13">
      <c r="A1000" t="s">
        <v>619</v>
      </c>
      <c r="B1000" s="1">
        <v>45956</v>
      </c>
      <c r="C1000" t="s">
        <v>175</v>
      </c>
      <c r="D1000" t="s">
        <v>63</v>
      </c>
      <c r="E1000" t="s">
        <v>82</v>
      </c>
      <c r="F1000" t="s">
        <v>155</v>
      </c>
      <c r="G1000">
        <v>1</v>
      </c>
      <c r="H1000" s="32" t="str">
        <f t="shared" si="45"/>
        <v>OK</v>
      </c>
      <c r="I1000" s="30">
        <v>6844.38</v>
      </c>
      <c r="J1000" s="33" t="str">
        <f t="shared" si="46"/>
        <v>OK</v>
      </c>
      <c r="K1000" s="30">
        <v>4811.88</v>
      </c>
      <c r="L1000" t="s">
        <v>71</v>
      </c>
      <c r="M1000" s="31" t="str">
        <f t="shared" si="47"/>
        <v>OK</v>
      </c>
    </row>
    <row r="1001" spans="1:13">
      <c r="A1001" t="s">
        <v>935</v>
      </c>
      <c r="B1001" s="1">
        <v>45956</v>
      </c>
      <c r="C1001" t="s">
        <v>175</v>
      </c>
      <c r="D1001" t="s">
        <v>12</v>
      </c>
      <c r="E1001" t="s">
        <v>36</v>
      </c>
      <c r="F1001" t="s">
        <v>93</v>
      </c>
      <c r="G1001">
        <v>1</v>
      </c>
      <c r="H1001" s="32" t="str">
        <f t="shared" si="45"/>
        <v>OK</v>
      </c>
      <c r="I1001" s="30">
        <v>5268.3</v>
      </c>
      <c r="J1001" s="33" t="str">
        <f t="shared" si="46"/>
        <v>OK</v>
      </c>
      <c r="K1001" s="30">
        <v>3002.07</v>
      </c>
      <c r="L1001" t="s">
        <v>71</v>
      </c>
      <c r="M1001" s="31" t="str">
        <f t="shared" si="47"/>
        <v>OK</v>
      </c>
    </row>
    <row r="1002" spans="1:13">
      <c r="A1002" t="s">
        <v>1497</v>
      </c>
      <c r="B1002" s="1">
        <v>45956</v>
      </c>
      <c r="C1002" t="s">
        <v>124</v>
      </c>
      <c r="D1002" t="s">
        <v>19</v>
      </c>
      <c r="E1002" t="s">
        <v>36</v>
      </c>
      <c r="F1002" t="s">
        <v>93</v>
      </c>
      <c r="G1002">
        <v>5</v>
      </c>
      <c r="H1002" s="32" t="str">
        <f t="shared" si="45"/>
        <v>OK</v>
      </c>
      <c r="I1002" s="30">
        <v>14524.51</v>
      </c>
      <c r="J1002" s="33" t="str">
        <f t="shared" si="46"/>
        <v>OK</v>
      </c>
      <c r="K1002" s="30">
        <v>11465.02</v>
      </c>
      <c r="L1002" t="s">
        <v>16</v>
      </c>
      <c r="M1002" s="31" t="str">
        <f t="shared" si="47"/>
        <v>OK</v>
      </c>
    </row>
    <row r="1003" spans="1:13">
      <c r="A1003" t="s">
        <v>1604</v>
      </c>
      <c r="B1003" s="1">
        <v>45956</v>
      </c>
      <c r="C1003" t="s">
        <v>56</v>
      </c>
      <c r="D1003" t="s">
        <v>12</v>
      </c>
      <c r="E1003" t="s">
        <v>82</v>
      </c>
      <c r="F1003" t="s">
        <v>109</v>
      </c>
      <c r="G1003">
        <v>1</v>
      </c>
      <c r="H1003" s="32" t="str">
        <f t="shared" si="45"/>
        <v>OK</v>
      </c>
      <c r="I1003" s="30">
        <v>3871.7</v>
      </c>
      <c r="J1003" s="33" t="str">
        <f t="shared" si="46"/>
        <v>OK</v>
      </c>
      <c r="K1003" s="30">
        <v>2858.71</v>
      </c>
      <c r="L1003" t="s">
        <v>28</v>
      </c>
      <c r="M1003" s="31" t="str">
        <f t="shared" si="47"/>
        <v>OK</v>
      </c>
    </row>
    <row r="1004" spans="1:13">
      <c r="A1004" t="s">
        <v>749</v>
      </c>
      <c r="B1004" s="1">
        <v>45957</v>
      </c>
      <c r="C1004" t="s">
        <v>51</v>
      </c>
      <c r="D1004" t="s">
        <v>63</v>
      </c>
      <c r="E1004" t="s">
        <v>36</v>
      </c>
      <c r="F1004" t="s">
        <v>1614</v>
      </c>
      <c r="G1004">
        <v>5</v>
      </c>
      <c r="H1004" s="32" t="str">
        <f t="shared" si="45"/>
        <v>OK</v>
      </c>
      <c r="I1004" s="30">
        <v>9349.1200000000008</v>
      </c>
      <c r="J1004" s="33" t="str">
        <f t="shared" si="46"/>
        <v>OK</v>
      </c>
      <c r="K1004" s="30">
        <v>7424.63</v>
      </c>
      <c r="L1004" t="s">
        <v>71</v>
      </c>
      <c r="M1004" s="31" t="str">
        <f t="shared" si="47"/>
        <v>OK</v>
      </c>
    </row>
    <row r="1005" spans="1:13">
      <c r="A1005" t="s">
        <v>816</v>
      </c>
      <c r="B1005" s="1">
        <v>45957</v>
      </c>
      <c r="C1005" t="s">
        <v>1617</v>
      </c>
      <c r="D1005" t="s">
        <v>57</v>
      </c>
      <c r="E1005" t="s">
        <v>36</v>
      </c>
      <c r="F1005" t="s">
        <v>93</v>
      </c>
      <c r="G1005">
        <v>8</v>
      </c>
      <c r="H1005" s="32" t="str">
        <f t="shared" si="45"/>
        <v>OK</v>
      </c>
      <c r="I1005" s="30">
        <v>1829.2</v>
      </c>
      <c r="J1005" s="33" t="str">
        <f t="shared" si="46"/>
        <v>OK</v>
      </c>
      <c r="K1005" s="30">
        <v>1269.1600000000001</v>
      </c>
      <c r="L1005" t="s">
        <v>71</v>
      </c>
      <c r="M1005" s="31" t="str">
        <f t="shared" si="47"/>
        <v>OK</v>
      </c>
    </row>
    <row r="1006" spans="1:13">
      <c r="A1006" t="s">
        <v>932</v>
      </c>
      <c r="B1006" s="1">
        <v>45957</v>
      </c>
      <c r="C1006" t="s">
        <v>124</v>
      </c>
      <c r="D1006" t="s">
        <v>57</v>
      </c>
      <c r="E1006" t="s">
        <v>26</v>
      </c>
      <c r="F1006" t="s">
        <v>103</v>
      </c>
      <c r="G1006">
        <v>7</v>
      </c>
      <c r="H1006" s="32" t="str">
        <f t="shared" si="45"/>
        <v>OK</v>
      </c>
      <c r="I1006" s="30">
        <v>533.5</v>
      </c>
      <c r="J1006" s="33" t="str">
        <f t="shared" si="46"/>
        <v>OK</v>
      </c>
      <c r="K1006" s="30">
        <v>312.14999999999998</v>
      </c>
      <c r="L1006" t="s">
        <v>38</v>
      </c>
      <c r="M1006" s="31" t="str">
        <f t="shared" si="47"/>
        <v>OK</v>
      </c>
    </row>
    <row r="1007" spans="1:13">
      <c r="A1007" t="s">
        <v>1183</v>
      </c>
      <c r="B1007" s="1">
        <v>45957</v>
      </c>
      <c r="C1007" t="s">
        <v>35</v>
      </c>
      <c r="D1007" t="s">
        <v>19</v>
      </c>
      <c r="E1007" t="s">
        <v>20</v>
      </c>
      <c r="F1007" t="s">
        <v>196</v>
      </c>
      <c r="G1007">
        <v>8</v>
      </c>
      <c r="H1007" s="32" t="str">
        <f t="shared" si="45"/>
        <v>OK</v>
      </c>
      <c r="I1007" s="30">
        <v>1650.81</v>
      </c>
      <c r="J1007" s="33" t="str">
        <f t="shared" si="46"/>
        <v>OK</v>
      </c>
      <c r="K1007" s="30">
        <v>952.29</v>
      </c>
      <c r="L1007" t="s">
        <v>28</v>
      </c>
      <c r="M1007" s="31" t="str">
        <f t="shared" si="47"/>
        <v>OK</v>
      </c>
    </row>
    <row r="1008" spans="1:13">
      <c r="A1008" t="s">
        <v>168</v>
      </c>
      <c r="B1008" s="1">
        <v>45958</v>
      </c>
      <c r="C1008" t="s">
        <v>54</v>
      </c>
      <c r="D1008" t="s">
        <v>12</v>
      </c>
      <c r="E1008" t="s">
        <v>36</v>
      </c>
      <c r="F1008" t="s">
        <v>46</v>
      </c>
      <c r="G1008">
        <v>-3</v>
      </c>
      <c r="H1008" s="32" t="str">
        <f t="shared" si="45"/>
        <v>Negative Quantity</v>
      </c>
      <c r="I1008" s="30">
        <v>9097.64</v>
      </c>
      <c r="J1008" s="33" t="str">
        <f t="shared" si="46"/>
        <v>OK</v>
      </c>
      <c r="K1008" s="30">
        <v>7614.05</v>
      </c>
      <c r="L1008" t="s">
        <v>22</v>
      </c>
      <c r="M1008" s="31" t="str">
        <f t="shared" si="47"/>
        <v>OK</v>
      </c>
    </row>
    <row r="1009" spans="1:13">
      <c r="A1009" t="s">
        <v>695</v>
      </c>
      <c r="B1009" s="1">
        <v>45958</v>
      </c>
      <c r="C1009" t="s">
        <v>11</v>
      </c>
      <c r="D1009" t="s">
        <v>63</v>
      </c>
      <c r="E1009" t="s">
        <v>26</v>
      </c>
      <c r="F1009" t="s">
        <v>131</v>
      </c>
      <c r="G1009">
        <v>8</v>
      </c>
      <c r="H1009" s="32" t="str">
        <f t="shared" si="45"/>
        <v>OK</v>
      </c>
      <c r="I1009" s="30">
        <v>1595.46</v>
      </c>
      <c r="J1009" s="33" t="str">
        <f t="shared" si="46"/>
        <v>OK</v>
      </c>
      <c r="K1009" s="30">
        <v>974.32</v>
      </c>
      <c r="L1009" t="s">
        <v>16</v>
      </c>
      <c r="M1009" s="31" t="str">
        <f t="shared" si="47"/>
        <v>OK</v>
      </c>
    </row>
    <row r="1010" spans="1:13">
      <c r="A1010" t="s">
        <v>853</v>
      </c>
      <c r="B1010" s="1">
        <v>45958</v>
      </c>
      <c r="C1010" t="s">
        <v>117</v>
      </c>
      <c r="D1010" t="s">
        <v>57</v>
      </c>
      <c r="E1010" t="s">
        <v>20</v>
      </c>
      <c r="F1010" t="s">
        <v>196</v>
      </c>
      <c r="G1010">
        <v>4</v>
      </c>
      <c r="H1010" s="32" t="str">
        <f t="shared" si="45"/>
        <v>OK</v>
      </c>
      <c r="I1010" s="30">
        <v>3211.39</v>
      </c>
      <c r="J1010" s="33" t="str">
        <f t="shared" si="46"/>
        <v>OK</v>
      </c>
      <c r="K1010" s="30">
        <v>2563.62</v>
      </c>
      <c r="L1010" t="s">
        <v>28</v>
      </c>
      <c r="M1010" s="31" t="str">
        <f t="shared" si="47"/>
        <v>OK</v>
      </c>
    </row>
    <row r="1011" spans="1:13">
      <c r="A1011" t="s">
        <v>1179</v>
      </c>
      <c r="B1011" s="1">
        <v>45958</v>
      </c>
      <c r="C1011" t="s">
        <v>124</v>
      </c>
      <c r="D1011" t="s">
        <v>57</v>
      </c>
      <c r="E1011" t="s">
        <v>82</v>
      </c>
      <c r="F1011" t="s">
        <v>155</v>
      </c>
      <c r="G1011">
        <v>3</v>
      </c>
      <c r="H1011" s="32" t="str">
        <f t="shared" si="45"/>
        <v>OK</v>
      </c>
      <c r="I1011" s="30">
        <v>5467.36</v>
      </c>
      <c r="J1011" s="33" t="str">
        <f t="shared" si="46"/>
        <v>OK</v>
      </c>
      <c r="K1011" s="30">
        <v>3239.85</v>
      </c>
      <c r="L1011" t="s">
        <v>38</v>
      </c>
      <c r="M1011" s="31" t="str">
        <f t="shared" si="47"/>
        <v>OK</v>
      </c>
    </row>
    <row r="1012" spans="1:13">
      <c r="A1012" t="s">
        <v>1333</v>
      </c>
      <c r="B1012" s="1">
        <v>45958</v>
      </c>
      <c r="C1012" t="s">
        <v>59</v>
      </c>
      <c r="D1012" t="s">
        <v>19</v>
      </c>
      <c r="E1012" t="s">
        <v>36</v>
      </c>
      <c r="F1012" t="s">
        <v>46</v>
      </c>
      <c r="G1012">
        <v>3</v>
      </c>
      <c r="H1012" s="32" t="str">
        <f t="shared" si="45"/>
        <v>OK</v>
      </c>
      <c r="I1012" s="30">
        <v>13763.55</v>
      </c>
      <c r="J1012" s="33" t="str">
        <f t="shared" si="46"/>
        <v>OK</v>
      </c>
      <c r="K1012" s="30">
        <v>10807.07</v>
      </c>
      <c r="L1012" t="s">
        <v>28</v>
      </c>
      <c r="M1012" s="31" t="str">
        <f t="shared" si="47"/>
        <v>OK</v>
      </c>
    </row>
    <row r="1013" spans="1:13">
      <c r="A1013" t="s">
        <v>408</v>
      </c>
      <c r="B1013" s="1">
        <v>45959</v>
      </c>
      <c r="C1013" t="s">
        <v>54</v>
      </c>
      <c r="D1013" t="s">
        <v>63</v>
      </c>
      <c r="E1013" t="s">
        <v>20</v>
      </c>
      <c r="F1013" t="s">
        <v>86</v>
      </c>
      <c r="G1013">
        <v>8</v>
      </c>
      <c r="H1013" s="32" t="str">
        <f t="shared" si="45"/>
        <v>OK</v>
      </c>
      <c r="I1013" s="30">
        <v>2995.56</v>
      </c>
      <c r="J1013" s="33" t="str">
        <f t="shared" si="46"/>
        <v>OK</v>
      </c>
      <c r="K1013" s="30">
        <v>2084.37</v>
      </c>
      <c r="L1013" t="s">
        <v>38</v>
      </c>
      <c r="M1013" s="31" t="str">
        <f t="shared" si="47"/>
        <v>OK</v>
      </c>
    </row>
    <row r="1014" spans="1:13">
      <c r="A1014" t="s">
        <v>929</v>
      </c>
      <c r="B1014" s="1">
        <v>45959</v>
      </c>
      <c r="C1014" t="s">
        <v>135</v>
      </c>
      <c r="D1014" t="s">
        <v>19</v>
      </c>
      <c r="E1014" t="s">
        <v>82</v>
      </c>
      <c r="F1014" t="s">
        <v>83</v>
      </c>
      <c r="G1014">
        <v>4</v>
      </c>
      <c r="H1014" s="32" t="str">
        <f t="shared" si="45"/>
        <v>OK</v>
      </c>
      <c r="I1014" s="30">
        <v>4053.77</v>
      </c>
      <c r="J1014" s="33" t="str">
        <f t="shared" si="46"/>
        <v>OK</v>
      </c>
      <c r="K1014" s="30">
        <v>3354.34</v>
      </c>
      <c r="L1014" t="s">
        <v>38</v>
      </c>
      <c r="M1014" s="31" t="str">
        <f t="shared" si="47"/>
        <v>OK</v>
      </c>
    </row>
    <row r="1015" spans="1:13">
      <c r="A1015" t="s">
        <v>1002</v>
      </c>
      <c r="B1015" s="1">
        <v>45959</v>
      </c>
      <c r="C1015" t="s">
        <v>259</v>
      </c>
      <c r="D1015" t="s">
        <v>12</v>
      </c>
      <c r="E1015" t="s">
        <v>20</v>
      </c>
      <c r="F1015" t="s">
        <v>191</v>
      </c>
      <c r="G1015">
        <v>7</v>
      </c>
      <c r="H1015" s="32" t="str">
        <f t="shared" si="45"/>
        <v>OK</v>
      </c>
      <c r="I1015" s="30">
        <v>3381.79</v>
      </c>
      <c r="J1015" s="33" t="str">
        <f t="shared" si="46"/>
        <v>OK</v>
      </c>
      <c r="K1015" s="30">
        <v>2301.66</v>
      </c>
      <c r="L1015" t="s">
        <v>22</v>
      </c>
      <c r="M1015" s="31" t="str">
        <f t="shared" si="47"/>
        <v>OK</v>
      </c>
    </row>
    <row r="1016" spans="1:13">
      <c r="A1016" t="s">
        <v>1026</v>
      </c>
      <c r="B1016" s="1">
        <v>45959</v>
      </c>
      <c r="C1016" t="s">
        <v>115</v>
      </c>
      <c r="D1016" t="s">
        <v>63</v>
      </c>
      <c r="E1016" t="s">
        <v>32</v>
      </c>
      <c r="F1016" t="s">
        <v>1616</v>
      </c>
      <c r="G1016">
        <v>3</v>
      </c>
      <c r="H1016" s="32" t="str">
        <f t="shared" si="45"/>
        <v>OK</v>
      </c>
      <c r="I1016" s="30">
        <v>2416.87</v>
      </c>
      <c r="J1016" s="33" t="str">
        <f t="shared" si="46"/>
        <v>OK</v>
      </c>
      <c r="K1016" s="30">
        <v>1332.74</v>
      </c>
      <c r="L1016" t="s">
        <v>16</v>
      </c>
      <c r="M1016" s="31" t="str">
        <f t="shared" si="47"/>
        <v>OK</v>
      </c>
    </row>
    <row r="1017" spans="1:13">
      <c r="A1017" t="s">
        <v>1114</v>
      </c>
      <c r="B1017" s="1">
        <v>45959</v>
      </c>
      <c r="C1017" t="s">
        <v>18</v>
      </c>
      <c r="D1017" t="s">
        <v>57</v>
      </c>
      <c r="E1017" t="s">
        <v>32</v>
      </c>
      <c r="F1017" t="s">
        <v>101</v>
      </c>
      <c r="G1017">
        <v>5</v>
      </c>
      <c r="H1017" s="32" t="str">
        <f t="shared" si="45"/>
        <v>OK</v>
      </c>
      <c r="I1017" s="30">
        <v>2455.17</v>
      </c>
      <c r="J1017" s="33" t="str">
        <f t="shared" si="46"/>
        <v>OK</v>
      </c>
      <c r="K1017" s="30">
        <v>2024.94</v>
      </c>
      <c r="L1017" t="s">
        <v>22</v>
      </c>
      <c r="M1017" s="31" t="str">
        <f t="shared" si="47"/>
        <v>OK</v>
      </c>
    </row>
    <row r="1018" spans="1:13">
      <c r="A1018" t="s">
        <v>1267</v>
      </c>
      <c r="B1018" s="1">
        <v>45959</v>
      </c>
      <c r="C1018" t="s">
        <v>30</v>
      </c>
      <c r="D1018" t="s">
        <v>63</v>
      </c>
      <c r="E1018" t="s">
        <v>32</v>
      </c>
      <c r="F1018" t="s">
        <v>101</v>
      </c>
      <c r="G1018">
        <v>2</v>
      </c>
      <c r="H1018" s="32" t="str">
        <f t="shared" si="45"/>
        <v>OK</v>
      </c>
      <c r="I1018" s="30">
        <v>1178.6300000000001</v>
      </c>
      <c r="J1018" s="33" t="str">
        <f t="shared" si="46"/>
        <v>OK</v>
      </c>
      <c r="K1018" s="30">
        <v>747.24</v>
      </c>
      <c r="L1018" t="s">
        <v>71</v>
      </c>
      <c r="M1018" s="31" t="str">
        <f t="shared" si="47"/>
        <v>OK</v>
      </c>
    </row>
    <row r="1019" spans="1:13">
      <c r="A1019" t="s">
        <v>572</v>
      </c>
      <c r="B1019" s="1">
        <v>45960</v>
      </c>
      <c r="C1019" t="s">
        <v>1617</v>
      </c>
      <c r="D1019" t="s">
        <v>63</v>
      </c>
      <c r="E1019" t="s">
        <v>26</v>
      </c>
      <c r="F1019" t="s">
        <v>106</v>
      </c>
      <c r="G1019">
        <v>7</v>
      </c>
      <c r="H1019" s="32" t="str">
        <f t="shared" si="45"/>
        <v>OK</v>
      </c>
      <c r="I1019" s="30">
        <v>2255.0500000000002</v>
      </c>
      <c r="J1019" s="33" t="str">
        <f t="shared" si="46"/>
        <v>OK</v>
      </c>
      <c r="K1019" s="30">
        <v>1502.79</v>
      </c>
      <c r="L1019" t="s">
        <v>22</v>
      </c>
      <c r="M1019" s="31" t="str">
        <f t="shared" si="47"/>
        <v>OK</v>
      </c>
    </row>
    <row r="1020" spans="1:13">
      <c r="A1020" t="s">
        <v>681</v>
      </c>
      <c r="B1020" s="1">
        <v>45960</v>
      </c>
      <c r="C1020" t="s">
        <v>162</v>
      </c>
      <c r="D1020" t="s">
        <v>12</v>
      </c>
      <c r="E1020" t="s">
        <v>20</v>
      </c>
      <c r="F1020" t="s">
        <v>196</v>
      </c>
      <c r="G1020">
        <v>6</v>
      </c>
      <c r="H1020" s="32" t="str">
        <f t="shared" si="45"/>
        <v>OK</v>
      </c>
      <c r="I1020" s="30">
        <v>5283.35</v>
      </c>
      <c r="J1020" s="33" t="str">
        <f t="shared" si="46"/>
        <v>OK</v>
      </c>
      <c r="K1020" s="30">
        <v>4430</v>
      </c>
      <c r="L1020" t="s">
        <v>28</v>
      </c>
      <c r="M1020" s="31" t="str">
        <f t="shared" si="47"/>
        <v>OK</v>
      </c>
    </row>
    <row r="1021" spans="1:13">
      <c r="A1021" t="s">
        <v>266</v>
      </c>
      <c r="B1021" s="1">
        <v>45961</v>
      </c>
      <c r="C1021" t="s">
        <v>124</v>
      </c>
      <c r="D1021" t="s">
        <v>12</v>
      </c>
      <c r="E1021" t="s">
        <v>82</v>
      </c>
      <c r="F1021" t="s">
        <v>109</v>
      </c>
      <c r="G1021">
        <v>3</v>
      </c>
      <c r="H1021" s="32" t="str">
        <f t="shared" si="45"/>
        <v>OK</v>
      </c>
      <c r="I1021" s="30">
        <v>4899.3</v>
      </c>
      <c r="J1021" s="33" t="str">
        <f t="shared" si="46"/>
        <v>OK</v>
      </c>
      <c r="K1021" s="30">
        <v>3584</v>
      </c>
      <c r="L1021" t="s">
        <v>28</v>
      </c>
      <c r="M1021" s="31" t="str">
        <f t="shared" si="47"/>
        <v>OK</v>
      </c>
    </row>
    <row r="1022" spans="1:13">
      <c r="A1022" t="s">
        <v>1289</v>
      </c>
      <c r="B1022" s="1">
        <v>45961</v>
      </c>
      <c r="C1022" t="s">
        <v>54</v>
      </c>
      <c r="D1022" t="s">
        <v>31</v>
      </c>
      <c r="E1022" t="s">
        <v>36</v>
      </c>
      <c r="F1022" t="s">
        <v>93</v>
      </c>
      <c r="G1022">
        <v>1</v>
      </c>
      <c r="H1022" s="32" t="str">
        <f t="shared" si="45"/>
        <v>OK</v>
      </c>
      <c r="I1022" s="30">
        <v>2335.5</v>
      </c>
      <c r="J1022" s="33" t="str">
        <f t="shared" si="46"/>
        <v>OK</v>
      </c>
      <c r="K1022" s="30">
        <v>1614.86</v>
      </c>
      <c r="L1022" t="s">
        <v>28</v>
      </c>
      <c r="M1022" s="31" t="str">
        <f t="shared" si="47"/>
        <v>OK</v>
      </c>
    </row>
    <row r="1023" spans="1:13">
      <c r="A1023" t="s">
        <v>821</v>
      </c>
      <c r="B1023" s="1">
        <v>45962</v>
      </c>
      <c r="C1023" t="s">
        <v>119</v>
      </c>
      <c r="D1023" t="s">
        <v>12</v>
      </c>
      <c r="E1023" t="s">
        <v>36</v>
      </c>
      <c r="F1023" t="s">
        <v>93</v>
      </c>
      <c r="G1023">
        <v>4</v>
      </c>
      <c r="H1023" s="32" t="str">
        <f t="shared" si="45"/>
        <v>OK</v>
      </c>
      <c r="I1023" s="30">
        <v>1979.18</v>
      </c>
      <c r="J1023" s="33" t="str">
        <f t="shared" si="46"/>
        <v>OK</v>
      </c>
      <c r="K1023" s="30">
        <v>1220.9000000000001</v>
      </c>
      <c r="L1023" t="s">
        <v>22</v>
      </c>
      <c r="M1023" s="31" t="str">
        <f t="shared" si="47"/>
        <v>OK</v>
      </c>
    </row>
    <row r="1024" spans="1:13">
      <c r="A1024" t="s">
        <v>866</v>
      </c>
      <c r="B1024" s="1">
        <v>45962</v>
      </c>
      <c r="C1024" t="s">
        <v>231</v>
      </c>
      <c r="D1024" t="s">
        <v>1617</v>
      </c>
      <c r="E1024" t="s">
        <v>20</v>
      </c>
      <c r="F1024" t="s">
        <v>196</v>
      </c>
      <c r="G1024">
        <v>1</v>
      </c>
      <c r="H1024" s="32" t="str">
        <f t="shared" si="45"/>
        <v>OK</v>
      </c>
      <c r="I1024" s="30">
        <v>3906.6</v>
      </c>
      <c r="J1024" s="33" t="str">
        <f t="shared" si="46"/>
        <v>OK</v>
      </c>
      <c r="K1024" s="30">
        <v>2689.09</v>
      </c>
      <c r="L1024" t="s">
        <v>38</v>
      </c>
      <c r="M1024" s="31" t="str">
        <f t="shared" si="47"/>
        <v>OK</v>
      </c>
    </row>
    <row r="1025" spans="1:15">
      <c r="A1025" t="s">
        <v>1324</v>
      </c>
      <c r="B1025" s="1">
        <v>45962</v>
      </c>
      <c r="C1025" t="s">
        <v>30</v>
      </c>
      <c r="D1025" t="s">
        <v>57</v>
      </c>
      <c r="E1025" t="s">
        <v>36</v>
      </c>
      <c r="F1025" t="s">
        <v>37</v>
      </c>
      <c r="G1025">
        <v>1</v>
      </c>
      <c r="H1025" s="32" t="str">
        <f t="shared" si="45"/>
        <v>OK</v>
      </c>
      <c r="I1025" s="30">
        <v>8534.14</v>
      </c>
      <c r="J1025" s="33" t="str">
        <f t="shared" si="46"/>
        <v>OK</v>
      </c>
      <c r="K1025" s="30">
        <v>6586.37</v>
      </c>
      <c r="L1025" t="s">
        <v>16</v>
      </c>
      <c r="M1025" s="31" t="str">
        <f t="shared" si="47"/>
        <v>OK</v>
      </c>
    </row>
    <row r="1026" spans="1:15">
      <c r="A1026" t="s">
        <v>1428</v>
      </c>
      <c r="B1026" s="1">
        <v>45962</v>
      </c>
      <c r="C1026" t="s">
        <v>40</v>
      </c>
      <c r="D1026" t="s">
        <v>63</v>
      </c>
      <c r="E1026" t="s">
        <v>32</v>
      </c>
      <c r="F1026" t="s">
        <v>1616</v>
      </c>
      <c r="G1026">
        <v>8</v>
      </c>
      <c r="H1026" s="32" t="str">
        <f t="shared" ref="H1026:H1089" si="48">IF(G1026="","Blank",IF(G1026&lt;0,"Negative Quantity",IF(G1026=0,"Zero Quantity",IF(G1026&gt;0,"OK",""))))</f>
        <v>OK</v>
      </c>
      <c r="I1026" s="30">
        <v>869.9</v>
      </c>
      <c r="J1026" s="33" t="str">
        <f t="shared" ref="J1026:J1089" si="49">IF(I1026="","Missing Sales",IF(I1026&lt;0,"Negative Sales","OK"))</f>
        <v>OK</v>
      </c>
      <c r="K1026" s="30">
        <v>544.89</v>
      </c>
      <c r="L1026" t="s">
        <v>22</v>
      </c>
      <c r="M1026" s="31" t="str">
        <f t="shared" ref="M1026:M1089" si="50">IF(OR(I1026="",K1026=""),"Missing Data",IF(I1026&lt;K1026,"Sales &lt; Cost","OK"))</f>
        <v>OK</v>
      </c>
    </row>
    <row r="1027" spans="1:15">
      <c r="A1027" t="s">
        <v>1534</v>
      </c>
      <c r="B1027" s="1">
        <v>45962</v>
      </c>
      <c r="C1027" t="s">
        <v>121</v>
      </c>
      <c r="D1027" t="s">
        <v>12</v>
      </c>
      <c r="E1027" t="s">
        <v>32</v>
      </c>
      <c r="F1027" t="s">
        <v>52</v>
      </c>
      <c r="G1027">
        <v>2</v>
      </c>
      <c r="H1027" s="32" t="str">
        <f t="shared" si="48"/>
        <v>OK</v>
      </c>
      <c r="I1027" s="30">
        <v>912.04</v>
      </c>
      <c r="J1027" s="33" t="str">
        <f t="shared" si="49"/>
        <v>OK</v>
      </c>
      <c r="K1027" s="30">
        <v>614.99</v>
      </c>
      <c r="L1027" t="s">
        <v>22</v>
      </c>
      <c r="M1027" s="31" t="str">
        <f t="shared" si="50"/>
        <v>OK</v>
      </c>
    </row>
    <row r="1028" spans="1:15">
      <c r="A1028" t="s">
        <v>158</v>
      </c>
      <c r="B1028" s="1">
        <v>45963</v>
      </c>
      <c r="C1028" t="s">
        <v>54</v>
      </c>
      <c r="D1028" t="s">
        <v>31</v>
      </c>
      <c r="E1028" t="s">
        <v>82</v>
      </c>
      <c r="F1028" t="s">
        <v>109</v>
      </c>
      <c r="G1028">
        <v>4</v>
      </c>
      <c r="H1028" s="32" t="str">
        <f t="shared" si="48"/>
        <v>OK</v>
      </c>
      <c r="I1028" s="30">
        <v>1924.02</v>
      </c>
      <c r="J1028" s="33" t="str">
        <f t="shared" si="49"/>
        <v>OK</v>
      </c>
      <c r="K1028" s="30">
        <v>1074.77</v>
      </c>
      <c r="L1028" t="s">
        <v>16</v>
      </c>
      <c r="M1028" s="31" t="str">
        <f t="shared" si="50"/>
        <v>OK</v>
      </c>
    </row>
    <row r="1029" spans="1:15">
      <c r="A1029" t="s">
        <v>272</v>
      </c>
      <c r="B1029" s="1">
        <v>45963</v>
      </c>
      <c r="C1029" t="s">
        <v>121</v>
      </c>
      <c r="D1029" t="s">
        <v>57</v>
      </c>
      <c r="E1029" t="s">
        <v>36</v>
      </c>
      <c r="F1029" t="s">
        <v>42</v>
      </c>
      <c r="G1029">
        <v>5</v>
      </c>
      <c r="H1029" s="32" t="str">
        <f t="shared" si="48"/>
        <v>OK</v>
      </c>
      <c r="I1029" s="30">
        <v>13331.22</v>
      </c>
      <c r="J1029" s="33" t="str">
        <f t="shared" si="49"/>
        <v>OK</v>
      </c>
      <c r="K1029" s="30">
        <v>9812.09</v>
      </c>
      <c r="L1029" t="s">
        <v>16</v>
      </c>
      <c r="M1029" s="31" t="str">
        <f t="shared" si="50"/>
        <v>OK</v>
      </c>
    </row>
    <row r="1030" spans="1:15">
      <c r="A1030" t="s">
        <v>558</v>
      </c>
      <c r="B1030" s="1">
        <v>45963</v>
      </c>
      <c r="C1030" t="s">
        <v>70</v>
      </c>
      <c r="D1030" t="s">
        <v>12</v>
      </c>
      <c r="E1030" t="s">
        <v>36</v>
      </c>
      <c r="F1030" t="s">
        <v>93</v>
      </c>
      <c r="G1030">
        <v>1</v>
      </c>
      <c r="H1030" s="32" t="str">
        <f t="shared" si="48"/>
        <v>OK</v>
      </c>
      <c r="I1030" s="30">
        <v>11706.43</v>
      </c>
      <c r="J1030" s="33" t="str">
        <f t="shared" si="49"/>
        <v>OK</v>
      </c>
      <c r="K1030" s="30">
        <v>8660.01</v>
      </c>
      <c r="L1030" t="s">
        <v>71</v>
      </c>
      <c r="M1030" s="31" t="str">
        <f t="shared" si="50"/>
        <v>OK</v>
      </c>
    </row>
    <row r="1031" spans="1:15">
      <c r="A1031" t="s">
        <v>1155</v>
      </c>
      <c r="B1031" s="1">
        <v>45963</v>
      </c>
      <c r="C1031" t="s">
        <v>119</v>
      </c>
      <c r="D1031" t="s">
        <v>63</v>
      </c>
      <c r="E1031" t="s">
        <v>36</v>
      </c>
      <c r="F1031" t="s">
        <v>113</v>
      </c>
      <c r="G1031">
        <v>8</v>
      </c>
      <c r="H1031" s="32" t="str">
        <f t="shared" si="48"/>
        <v>OK</v>
      </c>
      <c r="I1031" s="30">
        <v>6463.97</v>
      </c>
      <c r="J1031" s="33" t="str">
        <f t="shared" si="49"/>
        <v>OK</v>
      </c>
      <c r="K1031" s="30">
        <v>3763.49</v>
      </c>
      <c r="L1031" t="s">
        <v>28</v>
      </c>
      <c r="M1031" s="31" t="str">
        <f t="shared" si="50"/>
        <v>OK</v>
      </c>
    </row>
    <row r="1032" spans="1:15">
      <c r="A1032" t="s">
        <v>483</v>
      </c>
      <c r="B1032" s="1">
        <v>45964</v>
      </c>
      <c r="C1032" t="s">
        <v>59</v>
      </c>
      <c r="D1032" t="s">
        <v>19</v>
      </c>
      <c r="E1032" t="s">
        <v>32</v>
      </c>
      <c r="F1032" t="s">
        <v>180</v>
      </c>
      <c r="H1032" s="32" t="str">
        <f t="shared" si="48"/>
        <v>Blank</v>
      </c>
      <c r="I1032" s="30">
        <v>1776.67</v>
      </c>
      <c r="J1032" s="33" t="str">
        <f t="shared" si="49"/>
        <v>OK</v>
      </c>
      <c r="K1032" s="30">
        <v>1326.84</v>
      </c>
      <c r="L1032" t="s">
        <v>28</v>
      </c>
      <c r="M1032" s="31" t="str">
        <f t="shared" si="50"/>
        <v>OK</v>
      </c>
    </row>
    <row r="1033" spans="1:15">
      <c r="A1033" t="s">
        <v>674</v>
      </c>
      <c r="B1033" s="1">
        <v>45964</v>
      </c>
      <c r="C1033" t="s">
        <v>24</v>
      </c>
      <c r="D1033" t="s">
        <v>19</v>
      </c>
      <c r="E1033" t="s">
        <v>82</v>
      </c>
      <c r="F1033" t="s">
        <v>155</v>
      </c>
      <c r="G1033">
        <v>1</v>
      </c>
      <c r="H1033" s="32" t="str">
        <f t="shared" si="48"/>
        <v>OK</v>
      </c>
      <c r="I1033" s="30">
        <v>435.38</v>
      </c>
      <c r="J1033" s="33" t="str">
        <f t="shared" si="49"/>
        <v>OK</v>
      </c>
      <c r="K1033" s="30">
        <v>311.95</v>
      </c>
      <c r="L1033" t="s">
        <v>28</v>
      </c>
      <c r="M1033" s="31" t="str">
        <f t="shared" si="50"/>
        <v>OK</v>
      </c>
    </row>
    <row r="1034" spans="1:15">
      <c r="A1034" t="s">
        <v>958</v>
      </c>
      <c r="B1034" s="1">
        <v>45964</v>
      </c>
      <c r="C1034" t="s">
        <v>85</v>
      </c>
      <c r="D1034" t="s">
        <v>63</v>
      </c>
      <c r="E1034" t="s">
        <v>36</v>
      </c>
      <c r="F1034" t="s">
        <v>93</v>
      </c>
      <c r="G1034">
        <v>8</v>
      </c>
      <c r="H1034" s="32" t="str">
        <f t="shared" si="48"/>
        <v>OK</v>
      </c>
      <c r="I1034" s="30">
        <v>10856.37</v>
      </c>
      <c r="J1034" s="33" t="str">
        <f t="shared" si="49"/>
        <v>OK</v>
      </c>
      <c r="K1034" s="30">
        <v>7885.43</v>
      </c>
      <c r="L1034" t="s">
        <v>28</v>
      </c>
      <c r="M1034" s="31" t="str">
        <f t="shared" si="50"/>
        <v>OK</v>
      </c>
    </row>
    <row r="1035" spans="1:15">
      <c r="A1035" t="s">
        <v>1392</v>
      </c>
      <c r="B1035" s="1">
        <v>45964</v>
      </c>
      <c r="C1035" t="s">
        <v>105</v>
      </c>
      <c r="D1035" t="s">
        <v>63</v>
      </c>
      <c r="E1035" t="s">
        <v>20</v>
      </c>
      <c r="F1035" t="s">
        <v>196</v>
      </c>
      <c r="G1035">
        <v>2</v>
      </c>
      <c r="H1035" s="32" t="str">
        <f t="shared" si="48"/>
        <v>OK</v>
      </c>
      <c r="I1035" s="30">
        <v>1290.02</v>
      </c>
      <c r="J1035" s="33" t="str">
        <f t="shared" si="49"/>
        <v>OK</v>
      </c>
      <c r="K1035" s="30">
        <v>838.6</v>
      </c>
      <c r="L1035" t="s">
        <v>38</v>
      </c>
      <c r="M1035" s="31" t="str">
        <f t="shared" si="50"/>
        <v>OK</v>
      </c>
      <c r="O1035">
        <f>COUNTBLANK(Table2[Cost])</f>
        <v>0</v>
      </c>
    </row>
    <row r="1036" spans="1:15">
      <c r="A1036" t="s">
        <v>1606</v>
      </c>
      <c r="B1036" s="1">
        <v>45964</v>
      </c>
      <c r="C1036" t="s">
        <v>35</v>
      </c>
      <c r="D1036" t="s">
        <v>12</v>
      </c>
      <c r="E1036" t="s">
        <v>20</v>
      </c>
      <c r="F1036" t="s">
        <v>91</v>
      </c>
      <c r="G1036">
        <v>8</v>
      </c>
      <c r="H1036" s="32" t="str">
        <f t="shared" si="48"/>
        <v>OK</v>
      </c>
      <c r="I1036" s="30">
        <v>4565.91</v>
      </c>
      <c r="J1036" s="33" t="str">
        <f t="shared" si="49"/>
        <v>OK</v>
      </c>
      <c r="K1036" s="30">
        <v>3006.5</v>
      </c>
      <c r="L1036" t="s">
        <v>22</v>
      </c>
      <c r="M1036" s="31" t="str">
        <f t="shared" si="50"/>
        <v>OK</v>
      </c>
    </row>
    <row r="1037" spans="1:15">
      <c r="A1037" t="s">
        <v>156</v>
      </c>
      <c r="B1037" s="1">
        <v>45965</v>
      </c>
      <c r="C1037" t="s">
        <v>85</v>
      </c>
      <c r="D1037" t="s">
        <v>12</v>
      </c>
      <c r="E1037" t="s">
        <v>20</v>
      </c>
      <c r="F1037" t="s">
        <v>191</v>
      </c>
      <c r="G1037">
        <v>7</v>
      </c>
      <c r="H1037" s="32" t="str">
        <f t="shared" si="48"/>
        <v>OK</v>
      </c>
      <c r="I1037" s="30">
        <v>984.77</v>
      </c>
      <c r="J1037" s="33" t="str">
        <f t="shared" si="49"/>
        <v>OK</v>
      </c>
      <c r="K1037" s="30">
        <v>627.12</v>
      </c>
      <c r="L1037" t="s">
        <v>1617</v>
      </c>
      <c r="M1037" s="31" t="str">
        <f t="shared" si="50"/>
        <v>OK</v>
      </c>
    </row>
    <row r="1038" spans="1:15">
      <c r="A1038" t="s">
        <v>166</v>
      </c>
      <c r="B1038" s="1">
        <v>45965</v>
      </c>
      <c r="C1038" t="s">
        <v>108</v>
      </c>
      <c r="D1038" t="s">
        <v>12</v>
      </c>
      <c r="E1038" t="s">
        <v>36</v>
      </c>
      <c r="F1038" t="s">
        <v>1614</v>
      </c>
      <c r="G1038">
        <v>5</v>
      </c>
      <c r="H1038" s="32" t="str">
        <f t="shared" si="48"/>
        <v>OK</v>
      </c>
      <c r="I1038" s="30">
        <v>6913.15</v>
      </c>
      <c r="J1038" s="33" t="str">
        <f t="shared" si="49"/>
        <v>OK</v>
      </c>
      <c r="K1038" s="30">
        <v>5120.66</v>
      </c>
      <c r="L1038" t="s">
        <v>71</v>
      </c>
      <c r="M1038" s="31" t="str">
        <f t="shared" si="50"/>
        <v>OK</v>
      </c>
    </row>
    <row r="1039" spans="1:15">
      <c r="A1039" t="s">
        <v>485</v>
      </c>
      <c r="B1039" s="1">
        <v>45966</v>
      </c>
      <c r="C1039" t="s">
        <v>108</v>
      </c>
      <c r="D1039" t="s">
        <v>31</v>
      </c>
      <c r="E1039" t="s">
        <v>36</v>
      </c>
      <c r="F1039" t="s">
        <v>46</v>
      </c>
      <c r="G1039">
        <v>6</v>
      </c>
      <c r="H1039" s="32" t="str">
        <f t="shared" si="48"/>
        <v>OK</v>
      </c>
      <c r="I1039" s="30">
        <v>16649.75</v>
      </c>
      <c r="J1039" s="33" t="str">
        <f t="shared" si="49"/>
        <v>OK</v>
      </c>
      <c r="K1039" s="30">
        <v>14473.39</v>
      </c>
      <c r="L1039" t="s">
        <v>71</v>
      </c>
      <c r="M1039" s="31" t="str">
        <f t="shared" si="50"/>
        <v>OK</v>
      </c>
    </row>
    <row r="1040" spans="1:15">
      <c r="A1040" t="s">
        <v>283</v>
      </c>
      <c r="B1040" s="1">
        <v>45967</v>
      </c>
      <c r="C1040" t="s">
        <v>175</v>
      </c>
      <c r="D1040" t="s">
        <v>63</v>
      </c>
      <c r="E1040" t="s">
        <v>20</v>
      </c>
      <c r="F1040" t="s">
        <v>196</v>
      </c>
      <c r="G1040">
        <v>8</v>
      </c>
      <c r="H1040" s="32" t="str">
        <f t="shared" si="48"/>
        <v>OK</v>
      </c>
      <c r="I1040" s="30">
        <v>4416.1099999999997</v>
      </c>
      <c r="J1040" s="33" t="str">
        <f t="shared" si="49"/>
        <v>OK</v>
      </c>
      <c r="K1040" s="30">
        <v>2973.84</v>
      </c>
      <c r="L1040" t="s">
        <v>28</v>
      </c>
      <c r="M1040" s="31" t="str">
        <f t="shared" si="50"/>
        <v>OK</v>
      </c>
    </row>
    <row r="1041" spans="1:13">
      <c r="A1041" t="s">
        <v>1367</v>
      </c>
      <c r="B1041" s="1">
        <v>45967</v>
      </c>
      <c r="C1041" t="s">
        <v>18</v>
      </c>
      <c r="D1041" t="s">
        <v>57</v>
      </c>
      <c r="E1041" t="s">
        <v>36</v>
      </c>
      <c r="F1041" t="s">
        <v>42</v>
      </c>
      <c r="G1041">
        <v>5</v>
      </c>
      <c r="H1041" s="32" t="str">
        <f t="shared" si="48"/>
        <v>OK</v>
      </c>
      <c r="I1041" s="30">
        <v>15804.63</v>
      </c>
      <c r="J1041" s="33" t="str">
        <f t="shared" si="49"/>
        <v>OK</v>
      </c>
      <c r="K1041" s="30">
        <v>9247.1200000000008</v>
      </c>
      <c r="L1041" t="s">
        <v>38</v>
      </c>
      <c r="M1041" s="31" t="str">
        <f t="shared" si="50"/>
        <v>OK</v>
      </c>
    </row>
    <row r="1042" spans="1:13">
      <c r="A1042" t="s">
        <v>1500</v>
      </c>
      <c r="B1042" s="1">
        <v>45967</v>
      </c>
      <c r="C1042" t="s">
        <v>40</v>
      </c>
      <c r="D1042" t="s">
        <v>12</v>
      </c>
      <c r="E1042" t="s">
        <v>26</v>
      </c>
      <c r="F1042" t="s">
        <v>131</v>
      </c>
      <c r="G1042">
        <v>6</v>
      </c>
      <c r="H1042" s="32" t="str">
        <f t="shared" si="48"/>
        <v>OK</v>
      </c>
      <c r="I1042" s="30">
        <v>1304.83</v>
      </c>
      <c r="J1042" s="33" t="str">
        <f t="shared" si="49"/>
        <v>OK</v>
      </c>
      <c r="K1042" s="30">
        <v>1125.18</v>
      </c>
      <c r="L1042" t="s">
        <v>38</v>
      </c>
      <c r="M1042" s="31" t="str">
        <f t="shared" si="50"/>
        <v>OK</v>
      </c>
    </row>
    <row r="1043" spans="1:13">
      <c r="A1043" t="s">
        <v>1601</v>
      </c>
      <c r="B1043" s="1">
        <v>45967</v>
      </c>
      <c r="C1043" t="s">
        <v>70</v>
      </c>
      <c r="D1043" t="s">
        <v>31</v>
      </c>
      <c r="E1043" t="s">
        <v>20</v>
      </c>
      <c r="F1043" t="s">
        <v>21</v>
      </c>
      <c r="G1043">
        <v>8</v>
      </c>
      <c r="H1043" s="32" t="str">
        <f t="shared" si="48"/>
        <v>OK</v>
      </c>
      <c r="I1043" s="30">
        <v>3257.52</v>
      </c>
      <c r="J1043" s="33" t="str">
        <f t="shared" si="49"/>
        <v>OK</v>
      </c>
      <c r="K1043" s="30">
        <v>2821.17</v>
      </c>
      <c r="L1043" t="s">
        <v>28</v>
      </c>
      <c r="M1043" s="31" t="str">
        <f t="shared" si="50"/>
        <v>OK</v>
      </c>
    </row>
    <row r="1044" spans="1:13">
      <c r="A1044" t="s">
        <v>552</v>
      </c>
      <c r="B1044" s="1">
        <v>45968</v>
      </c>
      <c r="C1044" t="s">
        <v>220</v>
      </c>
      <c r="D1044" t="s">
        <v>19</v>
      </c>
      <c r="E1044" t="s">
        <v>20</v>
      </c>
      <c r="F1044" t="s">
        <v>196</v>
      </c>
      <c r="G1044">
        <v>2</v>
      </c>
      <c r="H1044" s="32" t="str">
        <f t="shared" si="48"/>
        <v>OK</v>
      </c>
      <c r="I1044" s="30">
        <v>4777.8599999999997</v>
      </c>
      <c r="J1044" s="33" t="str">
        <f t="shared" si="49"/>
        <v>OK</v>
      </c>
      <c r="K1044" s="30">
        <v>2886.03</v>
      </c>
      <c r="L1044" t="s">
        <v>22</v>
      </c>
      <c r="M1044" s="31" t="str">
        <f t="shared" si="50"/>
        <v>OK</v>
      </c>
    </row>
    <row r="1045" spans="1:13">
      <c r="A1045" t="s">
        <v>1135</v>
      </c>
      <c r="B1045" s="1">
        <v>45968</v>
      </c>
      <c r="C1045" t="s">
        <v>70</v>
      </c>
      <c r="D1045" t="s">
        <v>19</v>
      </c>
      <c r="E1045" t="s">
        <v>32</v>
      </c>
      <c r="F1045" t="s">
        <v>33</v>
      </c>
      <c r="G1045">
        <v>3</v>
      </c>
      <c r="H1045" s="32" t="str">
        <f t="shared" si="48"/>
        <v>OK</v>
      </c>
      <c r="I1045" s="30">
        <v>1952.49</v>
      </c>
      <c r="J1045" s="33" t="str">
        <f t="shared" si="49"/>
        <v>OK</v>
      </c>
      <c r="K1045" s="30">
        <v>1399.1</v>
      </c>
      <c r="L1045" t="s">
        <v>28</v>
      </c>
      <c r="M1045" s="31" t="str">
        <f t="shared" si="50"/>
        <v>OK</v>
      </c>
    </row>
    <row r="1046" spans="1:13">
      <c r="A1046" t="s">
        <v>1456</v>
      </c>
      <c r="B1046" s="1">
        <v>45968</v>
      </c>
      <c r="C1046" t="s">
        <v>162</v>
      </c>
      <c r="D1046" t="s">
        <v>57</v>
      </c>
      <c r="E1046" t="s">
        <v>32</v>
      </c>
      <c r="F1046" t="s">
        <v>1616</v>
      </c>
      <c r="G1046">
        <v>6</v>
      </c>
      <c r="H1046" s="32" t="str">
        <f t="shared" si="48"/>
        <v>OK</v>
      </c>
      <c r="I1046" s="30">
        <v>1156.44</v>
      </c>
      <c r="J1046" s="33" t="str">
        <f t="shared" si="49"/>
        <v>OK</v>
      </c>
      <c r="K1046" s="30">
        <v>845.64</v>
      </c>
      <c r="L1046" t="s">
        <v>28</v>
      </c>
      <c r="M1046" s="31" t="str">
        <f t="shared" si="50"/>
        <v>OK</v>
      </c>
    </row>
    <row r="1047" spans="1:13">
      <c r="A1047" t="s">
        <v>64</v>
      </c>
      <c r="B1047" s="1">
        <v>45969</v>
      </c>
      <c r="C1047" t="s">
        <v>54</v>
      </c>
      <c r="D1047" t="s">
        <v>12</v>
      </c>
      <c r="E1047" t="s">
        <v>20</v>
      </c>
      <c r="F1047" t="s">
        <v>21</v>
      </c>
      <c r="G1047">
        <v>5</v>
      </c>
      <c r="H1047" s="32" t="str">
        <f t="shared" si="48"/>
        <v>OK</v>
      </c>
      <c r="I1047" s="30">
        <v>4420.07</v>
      </c>
      <c r="J1047" s="33" t="str">
        <f t="shared" si="49"/>
        <v>OK</v>
      </c>
      <c r="K1047" s="30">
        <v>3465.74</v>
      </c>
      <c r="L1047" t="s">
        <v>22</v>
      </c>
      <c r="M1047" s="31" t="str">
        <f t="shared" si="50"/>
        <v>OK</v>
      </c>
    </row>
    <row r="1048" spans="1:13">
      <c r="A1048" t="s">
        <v>700</v>
      </c>
      <c r="B1048" s="1">
        <v>45969</v>
      </c>
      <c r="C1048" t="s">
        <v>11</v>
      </c>
      <c r="D1048" t="s">
        <v>63</v>
      </c>
      <c r="E1048" t="s">
        <v>20</v>
      </c>
      <c r="F1048" t="s">
        <v>196</v>
      </c>
      <c r="G1048">
        <v>7</v>
      </c>
      <c r="H1048" s="32" t="str">
        <f t="shared" si="48"/>
        <v>OK</v>
      </c>
      <c r="I1048" s="30">
        <v>713.3</v>
      </c>
      <c r="J1048" s="33" t="str">
        <f t="shared" si="49"/>
        <v>OK</v>
      </c>
      <c r="K1048" s="30">
        <v>601.71</v>
      </c>
      <c r="L1048" t="s">
        <v>22</v>
      </c>
      <c r="M1048" s="31" t="str">
        <f t="shared" si="50"/>
        <v>OK</v>
      </c>
    </row>
    <row r="1049" spans="1:13">
      <c r="A1049" t="s">
        <v>997</v>
      </c>
      <c r="B1049" s="1">
        <v>45969</v>
      </c>
      <c r="C1049" t="s">
        <v>124</v>
      </c>
      <c r="D1049" t="s">
        <v>12</v>
      </c>
      <c r="E1049" t="s">
        <v>26</v>
      </c>
      <c r="F1049" t="s">
        <v>27</v>
      </c>
      <c r="G1049">
        <v>4</v>
      </c>
      <c r="H1049" s="32" t="str">
        <f t="shared" si="48"/>
        <v>OK</v>
      </c>
      <c r="I1049" s="30">
        <v>2146.15</v>
      </c>
      <c r="J1049" s="33" t="str">
        <f t="shared" si="49"/>
        <v>OK</v>
      </c>
      <c r="K1049" s="30">
        <v>1337.71</v>
      </c>
      <c r="L1049" t="s">
        <v>22</v>
      </c>
      <c r="M1049" s="31" t="str">
        <f t="shared" si="50"/>
        <v>OK</v>
      </c>
    </row>
    <row r="1050" spans="1:13">
      <c r="A1050" t="s">
        <v>1301</v>
      </c>
      <c r="B1050" s="1">
        <v>45969</v>
      </c>
      <c r="C1050" t="s">
        <v>30</v>
      </c>
      <c r="D1050" t="s">
        <v>31</v>
      </c>
      <c r="E1050" t="s">
        <v>82</v>
      </c>
      <c r="F1050" t="s">
        <v>97</v>
      </c>
      <c r="G1050">
        <v>5</v>
      </c>
      <c r="H1050" s="32" t="str">
        <f t="shared" si="48"/>
        <v>OK</v>
      </c>
      <c r="I1050" s="30">
        <v>5541.2</v>
      </c>
      <c r="J1050" s="33" t="str">
        <f t="shared" si="49"/>
        <v>OK</v>
      </c>
      <c r="K1050" s="30">
        <v>4310.26</v>
      </c>
      <c r="L1050" t="s">
        <v>22</v>
      </c>
      <c r="M1050" s="31" t="str">
        <f t="shared" si="50"/>
        <v>OK</v>
      </c>
    </row>
    <row r="1051" spans="1:13">
      <c r="A1051" t="s">
        <v>187</v>
      </c>
      <c r="B1051" s="1">
        <v>45970</v>
      </c>
      <c r="C1051" t="s">
        <v>56</v>
      </c>
      <c r="D1051" t="s">
        <v>12</v>
      </c>
      <c r="E1051" t="s">
        <v>20</v>
      </c>
      <c r="F1051" t="s">
        <v>86</v>
      </c>
      <c r="G1051">
        <v>7</v>
      </c>
      <c r="H1051" s="32" t="str">
        <f t="shared" si="48"/>
        <v>OK</v>
      </c>
      <c r="I1051" s="30">
        <v>5048.4399999999996</v>
      </c>
      <c r="J1051" s="33" t="str">
        <f t="shared" si="49"/>
        <v>OK</v>
      </c>
      <c r="K1051" s="30">
        <v>3635.09</v>
      </c>
      <c r="L1051" t="s">
        <v>16</v>
      </c>
      <c r="M1051" s="31" t="str">
        <f t="shared" si="50"/>
        <v>OK</v>
      </c>
    </row>
    <row r="1052" spans="1:13">
      <c r="A1052" t="s">
        <v>1119</v>
      </c>
      <c r="B1052" s="1">
        <v>45970</v>
      </c>
      <c r="C1052" t="s">
        <v>115</v>
      </c>
      <c r="D1052" t="s">
        <v>31</v>
      </c>
      <c r="E1052" t="s">
        <v>26</v>
      </c>
      <c r="F1052" t="s">
        <v>106</v>
      </c>
      <c r="G1052">
        <v>5</v>
      </c>
      <c r="H1052" s="32" t="str">
        <f t="shared" si="48"/>
        <v>OK</v>
      </c>
      <c r="I1052" s="30">
        <v>1338.64</v>
      </c>
      <c r="J1052" s="33" t="str">
        <f t="shared" si="49"/>
        <v>OK</v>
      </c>
      <c r="K1052" s="30">
        <v>854.24</v>
      </c>
      <c r="L1052" t="s">
        <v>16</v>
      </c>
      <c r="M1052" s="31" t="str">
        <f t="shared" si="50"/>
        <v>OK</v>
      </c>
    </row>
    <row r="1053" spans="1:13">
      <c r="A1053" t="s">
        <v>1416</v>
      </c>
      <c r="B1053" s="1">
        <v>45970</v>
      </c>
      <c r="C1053" t="s">
        <v>70</v>
      </c>
      <c r="D1053" t="s">
        <v>31</v>
      </c>
      <c r="E1053" t="s">
        <v>36</v>
      </c>
      <c r="F1053" t="s">
        <v>113</v>
      </c>
      <c r="G1053">
        <v>2</v>
      </c>
      <c r="H1053" s="32" t="str">
        <f t="shared" si="48"/>
        <v>OK</v>
      </c>
      <c r="I1053" s="30">
        <v>5093.46</v>
      </c>
      <c r="J1053" s="33" t="str">
        <f t="shared" si="49"/>
        <v>OK</v>
      </c>
      <c r="K1053" s="30">
        <v>3861.45</v>
      </c>
      <c r="L1053" t="s">
        <v>16</v>
      </c>
      <c r="M1053" s="31" t="str">
        <f t="shared" si="50"/>
        <v>OK</v>
      </c>
    </row>
    <row r="1054" spans="1:13">
      <c r="A1054" t="s">
        <v>1579</v>
      </c>
      <c r="B1054" s="1">
        <v>45970</v>
      </c>
      <c r="C1054" t="s">
        <v>70</v>
      </c>
      <c r="D1054" t="s">
        <v>12</v>
      </c>
      <c r="E1054" t="s">
        <v>32</v>
      </c>
      <c r="F1054" t="s">
        <v>52</v>
      </c>
      <c r="G1054">
        <v>7</v>
      </c>
      <c r="H1054" s="32" t="str">
        <f t="shared" si="48"/>
        <v>OK</v>
      </c>
      <c r="I1054" s="30">
        <v>610.41999999999996</v>
      </c>
      <c r="J1054" s="33" t="str">
        <f t="shared" si="49"/>
        <v>OK</v>
      </c>
      <c r="K1054" s="30">
        <v>434.85</v>
      </c>
      <c r="L1054" t="s">
        <v>71</v>
      </c>
      <c r="M1054" s="31" t="str">
        <f t="shared" si="50"/>
        <v>OK</v>
      </c>
    </row>
    <row r="1055" spans="1:13">
      <c r="A1055" t="s">
        <v>29</v>
      </c>
      <c r="B1055" s="1">
        <v>45971</v>
      </c>
      <c r="C1055" t="s">
        <v>30</v>
      </c>
      <c r="D1055" t="s">
        <v>31</v>
      </c>
      <c r="E1055" t="s">
        <v>32</v>
      </c>
      <c r="F1055" t="s">
        <v>33</v>
      </c>
      <c r="G1055">
        <v>2</v>
      </c>
      <c r="H1055" s="32" t="str">
        <f t="shared" si="48"/>
        <v>OK</v>
      </c>
      <c r="I1055" s="30">
        <v>1001.17</v>
      </c>
      <c r="J1055" s="33" t="str">
        <f t="shared" si="49"/>
        <v>OK</v>
      </c>
      <c r="K1055" s="30">
        <v>860.9</v>
      </c>
      <c r="L1055" t="s">
        <v>28</v>
      </c>
      <c r="M1055" s="31" t="str">
        <f t="shared" si="50"/>
        <v>OK</v>
      </c>
    </row>
    <row r="1056" spans="1:13">
      <c r="A1056" t="s">
        <v>373</v>
      </c>
      <c r="B1056" s="1">
        <v>45971</v>
      </c>
      <c r="C1056" t="s">
        <v>11</v>
      </c>
      <c r="D1056" t="s">
        <v>12</v>
      </c>
      <c r="E1056" t="s">
        <v>20</v>
      </c>
      <c r="F1056" t="s">
        <v>191</v>
      </c>
      <c r="G1056">
        <v>5</v>
      </c>
      <c r="H1056" s="32" t="str">
        <f t="shared" si="48"/>
        <v>OK</v>
      </c>
      <c r="I1056" s="30">
        <v>2285.4899999999998</v>
      </c>
      <c r="J1056" s="33" t="str">
        <f t="shared" si="49"/>
        <v>OK</v>
      </c>
      <c r="K1056" s="30">
        <v>1300.21</v>
      </c>
      <c r="L1056" t="s">
        <v>16</v>
      </c>
      <c r="M1056" s="31" t="str">
        <f t="shared" si="50"/>
        <v>OK</v>
      </c>
    </row>
    <row r="1057" spans="1:13">
      <c r="A1057" t="s">
        <v>796</v>
      </c>
      <c r="B1057" s="1">
        <v>45971</v>
      </c>
      <c r="C1057" t="s">
        <v>175</v>
      </c>
      <c r="D1057" t="s">
        <v>12</v>
      </c>
      <c r="E1057" t="s">
        <v>26</v>
      </c>
      <c r="F1057" t="s">
        <v>106</v>
      </c>
      <c r="G1057">
        <v>3</v>
      </c>
      <c r="H1057" s="32" t="str">
        <f t="shared" si="48"/>
        <v>OK</v>
      </c>
      <c r="I1057" s="30">
        <v>1598.92</v>
      </c>
      <c r="J1057" s="33" t="str">
        <f t="shared" si="49"/>
        <v>OK</v>
      </c>
      <c r="K1057" s="30">
        <v>974.16</v>
      </c>
      <c r="L1057" t="s">
        <v>38</v>
      </c>
      <c r="M1057" s="31" t="str">
        <f t="shared" si="50"/>
        <v>OK</v>
      </c>
    </row>
    <row r="1058" spans="1:13">
      <c r="A1058" t="s">
        <v>891</v>
      </c>
      <c r="B1058" s="1">
        <v>45971</v>
      </c>
      <c r="C1058" t="s">
        <v>51</v>
      </c>
      <c r="D1058" t="s">
        <v>31</v>
      </c>
      <c r="E1058" t="s">
        <v>26</v>
      </c>
      <c r="F1058" t="s">
        <v>106</v>
      </c>
      <c r="G1058">
        <v>7</v>
      </c>
      <c r="H1058" s="32" t="str">
        <f t="shared" si="48"/>
        <v>OK</v>
      </c>
      <c r="I1058" s="30">
        <v>2949.35</v>
      </c>
      <c r="J1058" s="33" t="str">
        <f t="shared" si="49"/>
        <v>OK</v>
      </c>
      <c r="K1058" s="30">
        <v>2155.38</v>
      </c>
      <c r="L1058" t="s">
        <v>71</v>
      </c>
      <c r="M1058" s="31" t="str">
        <f t="shared" si="50"/>
        <v>OK</v>
      </c>
    </row>
    <row r="1059" spans="1:13">
      <c r="A1059" t="s">
        <v>496</v>
      </c>
      <c r="B1059" s="1">
        <v>45972</v>
      </c>
      <c r="C1059" t="s">
        <v>11</v>
      </c>
      <c r="D1059" t="s">
        <v>63</v>
      </c>
      <c r="E1059" t="s">
        <v>20</v>
      </c>
      <c r="F1059" t="s">
        <v>14</v>
      </c>
      <c r="G1059">
        <v>4</v>
      </c>
      <c r="H1059" s="32" t="str">
        <f t="shared" si="48"/>
        <v>OK</v>
      </c>
      <c r="I1059" s="30">
        <v>4060.03</v>
      </c>
      <c r="J1059" s="33" t="str">
        <f t="shared" si="49"/>
        <v>OK</v>
      </c>
      <c r="K1059" s="30">
        <v>2901.44</v>
      </c>
      <c r="L1059" t="s">
        <v>1617</v>
      </c>
      <c r="M1059" s="31" t="str">
        <f t="shared" si="50"/>
        <v>OK</v>
      </c>
    </row>
    <row r="1060" spans="1:13">
      <c r="A1060" t="s">
        <v>1177</v>
      </c>
      <c r="B1060" s="1">
        <v>45972</v>
      </c>
      <c r="C1060" t="s">
        <v>51</v>
      </c>
      <c r="D1060" t="s">
        <v>12</v>
      </c>
      <c r="E1060" t="s">
        <v>26</v>
      </c>
      <c r="F1060" t="s">
        <v>79</v>
      </c>
      <c r="G1060">
        <v>8</v>
      </c>
      <c r="H1060" s="32" t="str">
        <f t="shared" si="48"/>
        <v>OK</v>
      </c>
      <c r="I1060" s="30">
        <v>2539.64</v>
      </c>
      <c r="J1060" s="33" t="str">
        <f t="shared" si="49"/>
        <v>OK</v>
      </c>
      <c r="K1060" s="30">
        <v>1758.29</v>
      </c>
      <c r="L1060" t="s">
        <v>71</v>
      </c>
      <c r="M1060" s="31" t="str">
        <f t="shared" si="50"/>
        <v>OK</v>
      </c>
    </row>
    <row r="1061" spans="1:13">
      <c r="A1061" t="s">
        <v>1215</v>
      </c>
      <c r="B1061" s="1">
        <v>45972</v>
      </c>
      <c r="C1061" t="s">
        <v>56</v>
      </c>
      <c r="D1061" t="s">
        <v>31</v>
      </c>
      <c r="E1061" t="s">
        <v>26</v>
      </c>
      <c r="F1061" t="s">
        <v>103</v>
      </c>
      <c r="G1061">
        <v>8</v>
      </c>
      <c r="H1061" s="32" t="str">
        <f t="shared" si="48"/>
        <v>OK</v>
      </c>
      <c r="I1061" s="30">
        <v>1939.04</v>
      </c>
      <c r="J1061" s="33" t="str">
        <f t="shared" si="49"/>
        <v>OK</v>
      </c>
      <c r="K1061" s="30">
        <v>1470.79</v>
      </c>
      <c r="L1061" t="s">
        <v>28</v>
      </c>
      <c r="M1061" s="31" t="str">
        <f t="shared" si="50"/>
        <v>OK</v>
      </c>
    </row>
    <row r="1062" spans="1:13">
      <c r="A1062" t="s">
        <v>1364</v>
      </c>
      <c r="B1062" s="1">
        <v>45972</v>
      </c>
      <c r="C1062" t="s">
        <v>162</v>
      </c>
      <c r="D1062" t="s">
        <v>31</v>
      </c>
      <c r="E1062" t="s">
        <v>26</v>
      </c>
      <c r="F1062" t="s">
        <v>103</v>
      </c>
      <c r="G1062">
        <v>5</v>
      </c>
      <c r="H1062" s="32" t="str">
        <f t="shared" si="48"/>
        <v>OK</v>
      </c>
      <c r="I1062" s="30">
        <v>1430.84</v>
      </c>
      <c r="J1062" s="33" t="str">
        <f t="shared" si="49"/>
        <v>OK</v>
      </c>
      <c r="K1062" s="30">
        <v>992.83</v>
      </c>
      <c r="L1062" t="s">
        <v>28</v>
      </c>
      <c r="M1062" s="31" t="str">
        <f t="shared" si="50"/>
        <v>OK</v>
      </c>
    </row>
    <row r="1063" spans="1:13">
      <c r="A1063" t="s">
        <v>342</v>
      </c>
      <c r="B1063" s="1">
        <v>45973</v>
      </c>
      <c r="C1063" t="s">
        <v>175</v>
      </c>
      <c r="D1063" t="s">
        <v>12</v>
      </c>
      <c r="E1063" t="s">
        <v>32</v>
      </c>
      <c r="F1063" t="s">
        <v>180</v>
      </c>
      <c r="G1063">
        <v>4</v>
      </c>
      <c r="H1063" s="32" t="str">
        <f t="shared" si="48"/>
        <v>OK</v>
      </c>
      <c r="I1063" s="30">
        <v>2295.04</v>
      </c>
      <c r="J1063" s="33" t="str">
        <f t="shared" si="49"/>
        <v>OK</v>
      </c>
      <c r="K1063" s="30">
        <v>1827.2</v>
      </c>
      <c r="L1063" t="s">
        <v>28</v>
      </c>
      <c r="M1063" s="31" t="str">
        <f t="shared" si="50"/>
        <v>OK</v>
      </c>
    </row>
    <row r="1064" spans="1:13">
      <c r="A1064" t="s">
        <v>1510</v>
      </c>
      <c r="B1064" s="1">
        <v>45973</v>
      </c>
      <c r="C1064" t="s">
        <v>24</v>
      </c>
      <c r="D1064" t="s">
        <v>57</v>
      </c>
      <c r="E1064" t="s">
        <v>32</v>
      </c>
      <c r="F1064" t="s">
        <v>180</v>
      </c>
      <c r="G1064">
        <v>4</v>
      </c>
      <c r="H1064" s="32" t="str">
        <f t="shared" si="48"/>
        <v>OK</v>
      </c>
      <c r="I1064" s="30">
        <v>409.15</v>
      </c>
      <c r="J1064" s="33" t="str">
        <f t="shared" si="49"/>
        <v>OK</v>
      </c>
      <c r="K1064" s="30">
        <v>231.91</v>
      </c>
      <c r="L1064" t="s">
        <v>28</v>
      </c>
      <c r="M1064" s="31" t="str">
        <f t="shared" si="50"/>
        <v>OK</v>
      </c>
    </row>
    <row r="1065" spans="1:13">
      <c r="A1065" t="s">
        <v>1571</v>
      </c>
      <c r="B1065" s="1">
        <v>45973</v>
      </c>
      <c r="C1065" t="s">
        <v>74</v>
      </c>
      <c r="D1065" t="s">
        <v>63</v>
      </c>
      <c r="E1065" t="s">
        <v>32</v>
      </c>
      <c r="F1065" t="s">
        <v>101</v>
      </c>
      <c r="G1065">
        <v>5</v>
      </c>
      <c r="H1065" s="32" t="str">
        <f t="shared" si="48"/>
        <v>OK</v>
      </c>
      <c r="I1065" s="30">
        <v>1794.95</v>
      </c>
      <c r="J1065" s="33" t="str">
        <f t="shared" si="49"/>
        <v>OK</v>
      </c>
      <c r="K1065" s="30">
        <v>1077.49</v>
      </c>
      <c r="L1065" t="s">
        <v>38</v>
      </c>
      <c r="M1065" s="31" t="str">
        <f t="shared" si="50"/>
        <v>OK</v>
      </c>
    </row>
    <row r="1066" spans="1:13">
      <c r="A1066" t="s">
        <v>1592</v>
      </c>
      <c r="B1066" s="1">
        <v>45973</v>
      </c>
      <c r="C1066" t="s">
        <v>220</v>
      </c>
      <c r="D1066" t="s">
        <v>19</v>
      </c>
      <c r="E1066" t="s">
        <v>20</v>
      </c>
      <c r="F1066" t="s">
        <v>21</v>
      </c>
      <c r="G1066">
        <v>8</v>
      </c>
      <c r="H1066" s="32" t="str">
        <f t="shared" si="48"/>
        <v>OK</v>
      </c>
      <c r="I1066" s="30">
        <v>3927.5</v>
      </c>
      <c r="J1066" s="33" t="str">
        <f t="shared" si="49"/>
        <v>OK</v>
      </c>
      <c r="K1066" s="30">
        <v>2731</v>
      </c>
      <c r="L1066" t="s">
        <v>71</v>
      </c>
      <c r="M1066" s="31" t="str">
        <f t="shared" si="50"/>
        <v>OK</v>
      </c>
    </row>
    <row r="1067" spans="1:13">
      <c r="A1067" t="s">
        <v>248</v>
      </c>
      <c r="B1067" s="1">
        <v>45974</v>
      </c>
      <c r="C1067" t="s">
        <v>133</v>
      </c>
      <c r="D1067" t="s">
        <v>12</v>
      </c>
      <c r="E1067" t="s">
        <v>26</v>
      </c>
      <c r="F1067" t="s">
        <v>103</v>
      </c>
      <c r="G1067">
        <v>8</v>
      </c>
      <c r="H1067" s="32" t="str">
        <f t="shared" si="48"/>
        <v>OK</v>
      </c>
      <c r="I1067" s="30">
        <v>2954.08</v>
      </c>
      <c r="J1067" s="33" t="str">
        <f t="shared" si="49"/>
        <v>OK</v>
      </c>
      <c r="K1067" s="30">
        <v>2521.38</v>
      </c>
      <c r="L1067" t="s">
        <v>16</v>
      </c>
      <c r="M1067" s="31" t="str">
        <f t="shared" si="50"/>
        <v>OK</v>
      </c>
    </row>
    <row r="1068" spans="1:13">
      <c r="A1068" t="s">
        <v>1080</v>
      </c>
      <c r="B1068" s="1">
        <v>45974</v>
      </c>
      <c r="C1068" t="s">
        <v>74</v>
      </c>
      <c r="D1068" t="s">
        <v>19</v>
      </c>
      <c r="E1068" t="s">
        <v>26</v>
      </c>
      <c r="F1068" t="s">
        <v>103</v>
      </c>
      <c r="G1068">
        <v>8</v>
      </c>
      <c r="H1068" s="32" t="str">
        <f t="shared" si="48"/>
        <v>OK</v>
      </c>
      <c r="I1068" s="30">
        <v>3489.05</v>
      </c>
      <c r="J1068" s="33" t="str">
        <f t="shared" si="49"/>
        <v>OK</v>
      </c>
      <c r="K1068" s="30">
        <v>2867.36</v>
      </c>
      <c r="L1068" t="s">
        <v>16</v>
      </c>
      <c r="M1068" s="31" t="str">
        <f t="shared" si="50"/>
        <v>OK</v>
      </c>
    </row>
    <row r="1069" spans="1:13">
      <c r="A1069" t="s">
        <v>1086</v>
      </c>
      <c r="B1069" s="1">
        <v>45974</v>
      </c>
      <c r="C1069" t="s">
        <v>40</v>
      </c>
      <c r="D1069" t="s">
        <v>19</v>
      </c>
      <c r="E1069" t="s">
        <v>26</v>
      </c>
      <c r="F1069" t="s">
        <v>103</v>
      </c>
      <c r="G1069">
        <v>8</v>
      </c>
      <c r="H1069" s="32" t="str">
        <f t="shared" si="48"/>
        <v>OK</v>
      </c>
      <c r="I1069" s="30">
        <v>3198.82</v>
      </c>
      <c r="J1069" s="33" t="str">
        <f t="shared" si="49"/>
        <v>OK</v>
      </c>
      <c r="K1069" s="30">
        <v>2149.54</v>
      </c>
      <c r="L1069" t="s">
        <v>28</v>
      </c>
      <c r="M1069" s="31" t="str">
        <f t="shared" si="50"/>
        <v>OK</v>
      </c>
    </row>
    <row r="1070" spans="1:13">
      <c r="A1070" t="s">
        <v>1254</v>
      </c>
      <c r="B1070" s="1">
        <v>45974</v>
      </c>
      <c r="C1070" t="s">
        <v>175</v>
      </c>
      <c r="D1070" t="s">
        <v>57</v>
      </c>
      <c r="E1070" t="s">
        <v>26</v>
      </c>
      <c r="F1070" t="s">
        <v>106</v>
      </c>
      <c r="G1070">
        <v>8</v>
      </c>
      <c r="H1070" s="32" t="str">
        <f t="shared" si="48"/>
        <v>OK</v>
      </c>
      <c r="I1070" s="30">
        <v>1923.47</v>
      </c>
      <c r="J1070" s="33" t="str">
        <f t="shared" si="49"/>
        <v>OK</v>
      </c>
      <c r="K1070" s="30">
        <v>1476.99</v>
      </c>
      <c r="L1070" t="s">
        <v>16</v>
      </c>
      <c r="M1070" s="31" t="str">
        <f t="shared" si="50"/>
        <v>OK</v>
      </c>
    </row>
    <row r="1071" spans="1:13">
      <c r="A1071" t="s">
        <v>1506</v>
      </c>
      <c r="B1071" s="1">
        <v>45974</v>
      </c>
      <c r="C1071" t="s">
        <v>115</v>
      </c>
      <c r="D1071" t="s">
        <v>19</v>
      </c>
      <c r="E1071" t="s">
        <v>26</v>
      </c>
      <c r="F1071" t="s">
        <v>106</v>
      </c>
      <c r="G1071">
        <v>3</v>
      </c>
      <c r="H1071" s="32" t="str">
        <f t="shared" si="48"/>
        <v>OK</v>
      </c>
      <c r="I1071" s="30">
        <v>2894.65</v>
      </c>
      <c r="J1071" s="33" t="str">
        <f t="shared" si="49"/>
        <v>OK</v>
      </c>
      <c r="K1071" s="30">
        <v>2266.44</v>
      </c>
      <c r="L1071" t="s">
        <v>22</v>
      </c>
      <c r="M1071" s="31" t="str">
        <f t="shared" si="50"/>
        <v>OK</v>
      </c>
    </row>
    <row r="1072" spans="1:13">
      <c r="A1072" t="s">
        <v>383</v>
      </c>
      <c r="B1072" s="1">
        <v>45975</v>
      </c>
      <c r="C1072" t="s">
        <v>11</v>
      </c>
      <c r="D1072" t="s">
        <v>19</v>
      </c>
      <c r="E1072" t="s">
        <v>32</v>
      </c>
      <c r="F1072" t="s">
        <v>33</v>
      </c>
      <c r="G1072">
        <v>8</v>
      </c>
      <c r="H1072" s="32" t="str">
        <f t="shared" si="48"/>
        <v>OK</v>
      </c>
      <c r="I1072" s="30">
        <v>627.62</v>
      </c>
      <c r="J1072" s="33" t="str">
        <f t="shared" si="49"/>
        <v>OK</v>
      </c>
      <c r="K1072" s="30">
        <v>373.71</v>
      </c>
      <c r="L1072" t="s">
        <v>16</v>
      </c>
      <c r="M1072" s="31" t="str">
        <f t="shared" si="50"/>
        <v>OK</v>
      </c>
    </row>
    <row r="1073" spans="1:13">
      <c r="A1073" t="s">
        <v>534</v>
      </c>
      <c r="B1073" s="1">
        <v>45976</v>
      </c>
      <c r="C1073" t="s">
        <v>56</v>
      </c>
      <c r="D1073" t="s">
        <v>19</v>
      </c>
      <c r="E1073" t="s">
        <v>26</v>
      </c>
      <c r="F1073" t="s">
        <v>103</v>
      </c>
      <c r="G1073">
        <v>7</v>
      </c>
      <c r="H1073" s="32" t="str">
        <f t="shared" si="48"/>
        <v>OK</v>
      </c>
      <c r="I1073" s="30">
        <v>-711.65</v>
      </c>
      <c r="J1073" s="33" t="str">
        <f t="shared" si="49"/>
        <v>Negative Sales</v>
      </c>
      <c r="K1073" s="30">
        <v>311.79000000000002</v>
      </c>
      <c r="L1073" t="s">
        <v>28</v>
      </c>
      <c r="M1073" s="31" t="str">
        <f t="shared" si="50"/>
        <v>Sales &lt; Cost</v>
      </c>
    </row>
    <row r="1074" spans="1:13">
      <c r="A1074" t="s">
        <v>1261</v>
      </c>
      <c r="B1074" s="1">
        <v>45976</v>
      </c>
      <c r="C1074" t="s">
        <v>56</v>
      </c>
      <c r="D1074" t="s">
        <v>57</v>
      </c>
      <c r="E1074" t="s">
        <v>32</v>
      </c>
      <c r="F1074" t="s">
        <v>1615</v>
      </c>
      <c r="G1074">
        <v>1</v>
      </c>
      <c r="H1074" s="32" t="str">
        <f t="shared" si="48"/>
        <v>OK</v>
      </c>
      <c r="I1074" s="30">
        <v>1600.69</v>
      </c>
      <c r="J1074" s="33" t="str">
        <f t="shared" si="49"/>
        <v>OK</v>
      </c>
      <c r="K1074" s="30">
        <v>1227.8599999999999</v>
      </c>
      <c r="L1074" t="s">
        <v>22</v>
      </c>
      <c r="M1074" s="31" t="str">
        <f t="shared" si="50"/>
        <v>OK</v>
      </c>
    </row>
    <row r="1075" spans="1:13">
      <c r="A1075" t="s">
        <v>1545</v>
      </c>
      <c r="B1075" s="1">
        <v>45976</v>
      </c>
      <c r="C1075" t="s">
        <v>18</v>
      </c>
      <c r="D1075" t="s">
        <v>19</v>
      </c>
      <c r="E1075" t="s">
        <v>82</v>
      </c>
      <c r="F1075" t="s">
        <v>137</v>
      </c>
      <c r="G1075">
        <v>4</v>
      </c>
      <c r="H1075" s="32" t="str">
        <f t="shared" si="48"/>
        <v>OK</v>
      </c>
      <c r="I1075" s="30">
        <v>3461.92</v>
      </c>
      <c r="J1075" s="33" t="str">
        <f t="shared" si="49"/>
        <v>OK</v>
      </c>
      <c r="K1075" s="30">
        <v>2580.02</v>
      </c>
      <c r="L1075" t="s">
        <v>28</v>
      </c>
      <c r="M1075" s="31" t="str">
        <f t="shared" si="50"/>
        <v>OK</v>
      </c>
    </row>
    <row r="1076" spans="1:13">
      <c r="A1076" t="s">
        <v>601</v>
      </c>
      <c r="B1076" s="1">
        <v>45977</v>
      </c>
      <c r="C1076" t="s">
        <v>129</v>
      </c>
      <c r="D1076" t="s">
        <v>63</v>
      </c>
      <c r="E1076" t="s">
        <v>82</v>
      </c>
      <c r="F1076" t="s">
        <v>137</v>
      </c>
      <c r="G1076">
        <v>2</v>
      </c>
      <c r="H1076" s="32" t="str">
        <f t="shared" si="48"/>
        <v>OK</v>
      </c>
      <c r="J1076" s="33" t="str">
        <f t="shared" si="49"/>
        <v>Missing Sales</v>
      </c>
      <c r="K1076" s="30">
        <v>726.9</v>
      </c>
      <c r="L1076" t="s">
        <v>22</v>
      </c>
      <c r="M1076" s="31" t="str">
        <f t="shared" si="50"/>
        <v>Missing Data</v>
      </c>
    </row>
    <row r="1077" spans="1:13">
      <c r="A1077" t="s">
        <v>864</v>
      </c>
      <c r="B1077" s="1">
        <v>45977</v>
      </c>
      <c r="C1077" t="s">
        <v>133</v>
      </c>
      <c r="D1077" t="s">
        <v>12</v>
      </c>
      <c r="E1077" t="s">
        <v>26</v>
      </c>
      <c r="F1077" t="s">
        <v>79</v>
      </c>
      <c r="G1077">
        <v>1</v>
      </c>
      <c r="H1077" s="32" t="str">
        <f t="shared" si="48"/>
        <v>OK</v>
      </c>
      <c r="I1077" s="30">
        <v>2180.25</v>
      </c>
      <c r="J1077" s="33" t="str">
        <f t="shared" si="49"/>
        <v>OK</v>
      </c>
      <c r="K1077" s="30">
        <v>1233.6400000000001</v>
      </c>
      <c r="L1077" t="s">
        <v>16</v>
      </c>
      <c r="M1077" s="31" t="str">
        <f t="shared" si="50"/>
        <v>OK</v>
      </c>
    </row>
    <row r="1078" spans="1:13">
      <c r="A1078" t="s">
        <v>1165</v>
      </c>
      <c r="B1078" s="1">
        <v>45977</v>
      </c>
      <c r="C1078" t="s">
        <v>1617</v>
      </c>
      <c r="D1078" t="s">
        <v>63</v>
      </c>
      <c r="E1078" t="s">
        <v>32</v>
      </c>
      <c r="F1078" t="s">
        <v>1615</v>
      </c>
      <c r="G1078">
        <v>5</v>
      </c>
      <c r="H1078" s="32" t="str">
        <f t="shared" si="48"/>
        <v>OK</v>
      </c>
      <c r="I1078" s="30">
        <v>312.89999999999998</v>
      </c>
      <c r="J1078" s="33" t="str">
        <f t="shared" si="49"/>
        <v>OK</v>
      </c>
      <c r="K1078" s="30">
        <v>194.89</v>
      </c>
      <c r="L1078" t="s">
        <v>16</v>
      </c>
      <c r="M1078" s="31" t="str">
        <f t="shared" si="50"/>
        <v>OK</v>
      </c>
    </row>
    <row r="1079" spans="1:13">
      <c r="A1079" t="s">
        <v>1192</v>
      </c>
      <c r="B1079" s="1">
        <v>45977</v>
      </c>
      <c r="C1079" t="s">
        <v>48</v>
      </c>
      <c r="D1079" t="s">
        <v>12</v>
      </c>
      <c r="E1079" t="s">
        <v>20</v>
      </c>
      <c r="F1079" t="s">
        <v>21</v>
      </c>
      <c r="G1079">
        <v>6</v>
      </c>
      <c r="H1079" s="32" t="str">
        <f t="shared" si="48"/>
        <v>OK</v>
      </c>
      <c r="I1079" s="30">
        <v>2594.9699999999998</v>
      </c>
      <c r="J1079" s="33" t="str">
        <f t="shared" si="49"/>
        <v>OK</v>
      </c>
      <c r="K1079" s="30">
        <v>1938.8</v>
      </c>
      <c r="L1079" t="s">
        <v>22</v>
      </c>
      <c r="M1079" s="31" t="str">
        <f t="shared" si="50"/>
        <v>OK</v>
      </c>
    </row>
    <row r="1080" spans="1:13">
      <c r="A1080" t="s">
        <v>1243</v>
      </c>
      <c r="B1080" s="1">
        <v>45977</v>
      </c>
      <c r="C1080" t="s">
        <v>108</v>
      </c>
      <c r="D1080" t="s">
        <v>63</v>
      </c>
      <c r="E1080" t="s">
        <v>82</v>
      </c>
      <c r="F1080" t="s">
        <v>83</v>
      </c>
      <c r="G1080">
        <v>3</v>
      </c>
      <c r="H1080" s="32" t="str">
        <f t="shared" si="48"/>
        <v>OK</v>
      </c>
      <c r="I1080" s="30">
        <v>3399</v>
      </c>
      <c r="J1080" s="33" t="str">
        <f t="shared" si="49"/>
        <v>OK</v>
      </c>
      <c r="K1080" s="30">
        <v>2345.1799999999998</v>
      </c>
      <c r="L1080" t="s">
        <v>28</v>
      </c>
      <c r="M1080" s="31" t="str">
        <f t="shared" si="50"/>
        <v>OK</v>
      </c>
    </row>
    <row r="1081" spans="1:13">
      <c r="A1081" t="s">
        <v>1420</v>
      </c>
      <c r="B1081" s="1">
        <v>45977</v>
      </c>
      <c r="C1081" t="s">
        <v>11</v>
      </c>
      <c r="D1081" t="s">
        <v>63</v>
      </c>
      <c r="E1081" t="s">
        <v>32</v>
      </c>
      <c r="F1081" t="s">
        <v>1616</v>
      </c>
      <c r="G1081">
        <v>2</v>
      </c>
      <c r="H1081" s="32" t="str">
        <f t="shared" si="48"/>
        <v>OK</v>
      </c>
      <c r="I1081" s="30">
        <v>2197.23</v>
      </c>
      <c r="J1081" s="33" t="str">
        <f t="shared" si="49"/>
        <v>OK</v>
      </c>
      <c r="K1081" s="30">
        <v>1328.93</v>
      </c>
      <c r="L1081" t="s">
        <v>22</v>
      </c>
      <c r="M1081" s="31" t="str">
        <f t="shared" si="50"/>
        <v>OK</v>
      </c>
    </row>
    <row r="1082" spans="1:13">
      <c r="A1082" t="s">
        <v>436</v>
      </c>
      <c r="B1082" s="1">
        <v>45978</v>
      </c>
      <c r="C1082" t="s">
        <v>129</v>
      </c>
      <c r="D1082" t="s">
        <v>57</v>
      </c>
      <c r="E1082" t="s">
        <v>82</v>
      </c>
      <c r="F1082" t="s">
        <v>150</v>
      </c>
      <c r="G1082">
        <v>5</v>
      </c>
      <c r="H1082" s="32" t="str">
        <f t="shared" si="48"/>
        <v>OK</v>
      </c>
      <c r="I1082" s="30">
        <v>5955.02</v>
      </c>
      <c r="J1082" s="33" t="str">
        <f t="shared" si="49"/>
        <v>OK</v>
      </c>
      <c r="K1082" s="30">
        <v>4272.8999999999996</v>
      </c>
      <c r="L1082" t="s">
        <v>71</v>
      </c>
      <c r="M1082" s="31" t="str">
        <f t="shared" si="50"/>
        <v>OK</v>
      </c>
    </row>
    <row r="1083" spans="1:13">
      <c r="A1083" t="s">
        <v>702</v>
      </c>
      <c r="B1083" s="1">
        <v>45978</v>
      </c>
      <c r="C1083" t="s">
        <v>121</v>
      </c>
      <c r="D1083" t="s">
        <v>12</v>
      </c>
      <c r="E1083" t="s">
        <v>32</v>
      </c>
      <c r="F1083" t="s">
        <v>101</v>
      </c>
      <c r="G1083">
        <v>3</v>
      </c>
      <c r="H1083" s="32" t="str">
        <f t="shared" si="48"/>
        <v>OK</v>
      </c>
      <c r="I1083" s="30">
        <v>470.37</v>
      </c>
      <c r="J1083" s="33" t="str">
        <f t="shared" si="49"/>
        <v>OK</v>
      </c>
      <c r="K1083" s="30">
        <v>279.13</v>
      </c>
      <c r="L1083" t="s">
        <v>71</v>
      </c>
      <c r="M1083" s="31" t="str">
        <f t="shared" si="50"/>
        <v>OK</v>
      </c>
    </row>
    <row r="1084" spans="1:13">
      <c r="A1084" t="s">
        <v>1315</v>
      </c>
      <c r="B1084" s="1">
        <v>45978</v>
      </c>
      <c r="C1084" t="s">
        <v>162</v>
      </c>
      <c r="D1084" t="s">
        <v>63</v>
      </c>
      <c r="E1084" t="s">
        <v>36</v>
      </c>
      <c r="F1084" t="s">
        <v>113</v>
      </c>
      <c r="G1084">
        <v>6</v>
      </c>
      <c r="H1084" s="32" t="str">
        <f t="shared" si="48"/>
        <v>OK</v>
      </c>
      <c r="I1084" s="30">
        <v>15272.68</v>
      </c>
      <c r="J1084" s="33" t="str">
        <f t="shared" si="49"/>
        <v>OK</v>
      </c>
      <c r="K1084" s="30">
        <v>9645.6200000000008</v>
      </c>
      <c r="L1084" t="s">
        <v>28</v>
      </c>
      <c r="M1084" s="31" t="str">
        <f t="shared" si="50"/>
        <v>OK</v>
      </c>
    </row>
    <row r="1085" spans="1:13">
      <c r="A1085" t="s">
        <v>1356</v>
      </c>
      <c r="B1085" s="1">
        <v>45978</v>
      </c>
      <c r="C1085" t="s">
        <v>40</v>
      </c>
      <c r="D1085" t="s">
        <v>19</v>
      </c>
      <c r="E1085" t="s">
        <v>26</v>
      </c>
      <c r="F1085" t="s">
        <v>350</v>
      </c>
      <c r="G1085">
        <v>5</v>
      </c>
      <c r="H1085" s="32" t="str">
        <f t="shared" si="48"/>
        <v>OK</v>
      </c>
      <c r="I1085" s="30">
        <v>1017.67</v>
      </c>
      <c r="J1085" s="33" t="str">
        <f t="shared" si="49"/>
        <v>OK</v>
      </c>
      <c r="K1085" s="30">
        <v>888.24</v>
      </c>
      <c r="L1085" t="s">
        <v>38</v>
      </c>
      <c r="M1085" s="31" t="str">
        <f t="shared" si="50"/>
        <v>OK</v>
      </c>
    </row>
    <row r="1086" spans="1:13">
      <c r="A1086" t="s">
        <v>1522</v>
      </c>
      <c r="B1086" s="1">
        <v>45978</v>
      </c>
      <c r="C1086" t="s">
        <v>231</v>
      </c>
      <c r="D1086" t="s">
        <v>31</v>
      </c>
      <c r="E1086" t="s">
        <v>20</v>
      </c>
      <c r="F1086" t="s">
        <v>21</v>
      </c>
      <c r="G1086">
        <v>0</v>
      </c>
      <c r="H1086" s="32" t="str">
        <f t="shared" si="48"/>
        <v>Zero Quantity</v>
      </c>
      <c r="I1086" s="30">
        <v>4500.84</v>
      </c>
      <c r="J1086" s="33" t="str">
        <f t="shared" si="49"/>
        <v>OK</v>
      </c>
      <c r="K1086" s="30">
        <v>3800.49</v>
      </c>
      <c r="L1086" t="s">
        <v>38</v>
      </c>
      <c r="M1086" s="31" t="str">
        <f t="shared" si="50"/>
        <v>OK</v>
      </c>
    </row>
    <row r="1087" spans="1:13">
      <c r="A1087" t="s">
        <v>655</v>
      </c>
      <c r="B1087" s="1">
        <v>45979</v>
      </c>
      <c r="C1087" t="s">
        <v>85</v>
      </c>
      <c r="D1087" t="s">
        <v>63</v>
      </c>
      <c r="E1087" t="s">
        <v>82</v>
      </c>
      <c r="F1087" t="s">
        <v>137</v>
      </c>
      <c r="G1087">
        <v>7</v>
      </c>
      <c r="H1087" s="32" t="str">
        <f t="shared" si="48"/>
        <v>OK</v>
      </c>
      <c r="I1087" s="30">
        <v>3195.6</v>
      </c>
      <c r="J1087" s="33" t="str">
        <f t="shared" si="49"/>
        <v>OK</v>
      </c>
      <c r="K1087" s="30">
        <v>2181.8000000000002</v>
      </c>
      <c r="L1087" t="s">
        <v>38</v>
      </c>
      <c r="M1087" s="31" t="str">
        <f t="shared" si="50"/>
        <v>OK</v>
      </c>
    </row>
    <row r="1088" spans="1:13">
      <c r="A1088" t="s">
        <v>1201</v>
      </c>
      <c r="B1088" s="1">
        <v>45980</v>
      </c>
      <c r="C1088" t="s">
        <v>133</v>
      </c>
      <c r="D1088" t="s">
        <v>63</v>
      </c>
      <c r="E1088" t="s">
        <v>36</v>
      </c>
      <c r="F1088" t="s">
        <v>113</v>
      </c>
      <c r="G1088">
        <v>1</v>
      </c>
      <c r="H1088" s="32" t="str">
        <f t="shared" si="48"/>
        <v>OK</v>
      </c>
      <c r="I1088" s="30">
        <v>3494.53</v>
      </c>
      <c r="J1088" s="33" t="str">
        <f t="shared" si="49"/>
        <v>OK</v>
      </c>
      <c r="K1088" s="30">
        <v>2857.4</v>
      </c>
      <c r="L1088" t="s">
        <v>22</v>
      </c>
      <c r="M1088" s="31" t="str">
        <f t="shared" si="50"/>
        <v>OK</v>
      </c>
    </row>
    <row r="1089" spans="1:13">
      <c r="A1089" t="s">
        <v>1299</v>
      </c>
      <c r="B1089" s="1">
        <v>45980</v>
      </c>
      <c r="C1089" t="s">
        <v>108</v>
      </c>
      <c r="D1089" t="s">
        <v>1617</v>
      </c>
      <c r="E1089" t="s">
        <v>32</v>
      </c>
      <c r="F1089" t="s">
        <v>33</v>
      </c>
      <c r="G1089">
        <v>4</v>
      </c>
      <c r="H1089" s="32" t="str">
        <f t="shared" si="48"/>
        <v>OK</v>
      </c>
      <c r="I1089" s="30">
        <v>1852.2</v>
      </c>
      <c r="J1089" s="33" t="str">
        <f t="shared" si="49"/>
        <v>OK</v>
      </c>
      <c r="K1089" s="30">
        <v>1253.4100000000001</v>
      </c>
      <c r="L1089" t="s">
        <v>28</v>
      </c>
      <c r="M1089" s="31" t="str">
        <f t="shared" si="50"/>
        <v>OK</v>
      </c>
    </row>
    <row r="1090" spans="1:13">
      <c r="A1090" t="s">
        <v>338</v>
      </c>
      <c r="B1090" s="1">
        <v>45981</v>
      </c>
      <c r="C1090" t="s">
        <v>59</v>
      </c>
      <c r="D1090" t="s">
        <v>31</v>
      </c>
      <c r="E1090" t="s">
        <v>82</v>
      </c>
      <c r="F1090" t="s">
        <v>83</v>
      </c>
      <c r="G1090">
        <v>7</v>
      </c>
      <c r="H1090" s="32" t="str">
        <f t="shared" ref="H1090:H1153" si="51">IF(G1090="","Blank",IF(G1090&lt;0,"Negative Quantity",IF(G1090=0,"Zero Quantity",IF(G1090&gt;0,"OK",""))))</f>
        <v>OK</v>
      </c>
      <c r="I1090" s="30">
        <v>3854.83</v>
      </c>
      <c r="J1090" s="33" t="str">
        <f t="shared" ref="J1090:J1153" si="52">IF(I1090="","Missing Sales",IF(I1090&lt;0,"Negative Sales","OK"))</f>
        <v>OK</v>
      </c>
      <c r="K1090" s="30">
        <v>2933.7</v>
      </c>
      <c r="L1090" t="s">
        <v>1617</v>
      </c>
      <c r="M1090" s="31" t="str">
        <f t="shared" ref="M1090:M1153" si="53">IF(OR(I1090="",K1090=""),"Missing Data",IF(I1090&lt;K1090,"Sales &lt; Cost","OK"))</f>
        <v>OK</v>
      </c>
    </row>
    <row r="1091" spans="1:13">
      <c r="A1091" t="s">
        <v>719</v>
      </c>
      <c r="B1091" s="1">
        <v>45981</v>
      </c>
      <c r="C1091" t="s">
        <v>108</v>
      </c>
      <c r="D1091" t="s">
        <v>57</v>
      </c>
      <c r="E1091" t="s">
        <v>26</v>
      </c>
      <c r="F1091" t="s">
        <v>106</v>
      </c>
      <c r="G1091">
        <v>7</v>
      </c>
      <c r="H1091" s="32" t="str">
        <f t="shared" si="51"/>
        <v>OK</v>
      </c>
      <c r="I1091" s="30">
        <v>3008.93</v>
      </c>
      <c r="J1091" s="33" t="str">
        <f t="shared" si="52"/>
        <v>OK</v>
      </c>
      <c r="K1091" s="30">
        <v>1725.75</v>
      </c>
      <c r="L1091" t="s">
        <v>71</v>
      </c>
      <c r="M1091" s="31" t="str">
        <f t="shared" si="53"/>
        <v>OK</v>
      </c>
    </row>
    <row r="1092" spans="1:13">
      <c r="A1092" t="s">
        <v>1170</v>
      </c>
      <c r="B1092" s="1">
        <v>45981</v>
      </c>
      <c r="C1092" t="s">
        <v>70</v>
      </c>
      <c r="D1092" t="s">
        <v>12</v>
      </c>
      <c r="E1092" t="s">
        <v>32</v>
      </c>
      <c r="F1092" t="s">
        <v>33</v>
      </c>
      <c r="G1092">
        <v>5</v>
      </c>
      <c r="H1092" s="32" t="str">
        <f t="shared" si="51"/>
        <v>OK</v>
      </c>
      <c r="I1092" s="30">
        <v>2031.56</v>
      </c>
      <c r="J1092" s="33" t="str">
        <f t="shared" si="52"/>
        <v>OK</v>
      </c>
      <c r="K1092" s="30">
        <v>1513.85</v>
      </c>
      <c r="L1092" t="s">
        <v>22</v>
      </c>
      <c r="M1092" s="31" t="str">
        <f t="shared" si="53"/>
        <v>OK</v>
      </c>
    </row>
    <row r="1093" spans="1:13">
      <c r="A1093" t="s">
        <v>1380</v>
      </c>
      <c r="B1093" s="1">
        <v>45981</v>
      </c>
      <c r="C1093" t="s">
        <v>220</v>
      </c>
      <c r="D1093" t="s">
        <v>12</v>
      </c>
      <c r="E1093" t="s">
        <v>32</v>
      </c>
      <c r="F1093" t="s">
        <v>101</v>
      </c>
      <c r="G1093">
        <v>3</v>
      </c>
      <c r="H1093" s="32" t="str">
        <f t="shared" si="51"/>
        <v>OK</v>
      </c>
      <c r="I1093" s="30">
        <v>920.85</v>
      </c>
      <c r="J1093" s="33" t="str">
        <f t="shared" si="52"/>
        <v>OK</v>
      </c>
      <c r="K1093" s="30">
        <v>524.1</v>
      </c>
      <c r="L1093" t="s">
        <v>28</v>
      </c>
      <c r="M1093" s="31" t="str">
        <f t="shared" si="53"/>
        <v>OK</v>
      </c>
    </row>
    <row r="1094" spans="1:13">
      <c r="A1094" t="s">
        <v>663</v>
      </c>
      <c r="B1094" s="1">
        <v>45982</v>
      </c>
      <c r="C1094" t="s">
        <v>105</v>
      </c>
      <c r="D1094" t="s">
        <v>12</v>
      </c>
      <c r="E1094" t="s">
        <v>82</v>
      </c>
      <c r="F1094" t="s">
        <v>150</v>
      </c>
      <c r="G1094">
        <v>7</v>
      </c>
      <c r="H1094" s="32" t="str">
        <f t="shared" si="51"/>
        <v>OK</v>
      </c>
      <c r="I1094" s="30">
        <v>757.24</v>
      </c>
      <c r="J1094" s="33" t="str">
        <f t="shared" si="52"/>
        <v>OK</v>
      </c>
      <c r="K1094" s="30">
        <v>547.52</v>
      </c>
      <c r="L1094" t="s">
        <v>22</v>
      </c>
      <c r="M1094" s="31" t="str">
        <f t="shared" si="53"/>
        <v>OK</v>
      </c>
    </row>
    <row r="1095" spans="1:13">
      <c r="A1095" t="s">
        <v>825</v>
      </c>
      <c r="B1095" s="1">
        <v>45982</v>
      </c>
      <c r="C1095" t="s">
        <v>51</v>
      </c>
      <c r="D1095" t="s">
        <v>19</v>
      </c>
      <c r="E1095" t="s">
        <v>32</v>
      </c>
      <c r="F1095" t="s">
        <v>1615</v>
      </c>
      <c r="G1095">
        <v>2</v>
      </c>
      <c r="H1095" s="32" t="str">
        <f t="shared" si="51"/>
        <v>OK</v>
      </c>
      <c r="I1095" s="30">
        <v>913.39</v>
      </c>
      <c r="J1095" s="33" t="str">
        <f t="shared" si="52"/>
        <v>OK</v>
      </c>
      <c r="K1095" s="30">
        <v>634.23</v>
      </c>
      <c r="L1095" t="s">
        <v>71</v>
      </c>
      <c r="M1095" s="31" t="str">
        <f t="shared" si="53"/>
        <v>OK</v>
      </c>
    </row>
    <row r="1096" spans="1:13">
      <c r="A1096" t="s">
        <v>1238</v>
      </c>
      <c r="B1096" s="1">
        <v>45982</v>
      </c>
      <c r="C1096" t="s">
        <v>115</v>
      </c>
      <c r="D1096" t="s">
        <v>19</v>
      </c>
      <c r="E1096" t="s">
        <v>36</v>
      </c>
      <c r="F1096" t="s">
        <v>93</v>
      </c>
      <c r="G1096">
        <v>4</v>
      </c>
      <c r="H1096" s="32" t="str">
        <f t="shared" si="51"/>
        <v>OK</v>
      </c>
      <c r="I1096" s="30">
        <v>12475.21</v>
      </c>
      <c r="J1096" s="33" t="str">
        <f t="shared" si="52"/>
        <v>OK</v>
      </c>
      <c r="K1096" s="30">
        <v>7807.95</v>
      </c>
      <c r="L1096" t="s">
        <v>22</v>
      </c>
      <c r="M1096" s="31" t="str">
        <f t="shared" si="53"/>
        <v>OK</v>
      </c>
    </row>
    <row r="1097" spans="1:13">
      <c r="A1097" t="s">
        <v>277</v>
      </c>
      <c r="B1097" s="1">
        <v>45983</v>
      </c>
      <c r="C1097" t="s">
        <v>220</v>
      </c>
      <c r="D1097" t="s">
        <v>57</v>
      </c>
      <c r="E1097" t="s">
        <v>82</v>
      </c>
      <c r="F1097" t="s">
        <v>155</v>
      </c>
      <c r="G1097">
        <v>8</v>
      </c>
      <c r="H1097" s="32" t="str">
        <f t="shared" si="51"/>
        <v>OK</v>
      </c>
      <c r="I1097" s="30">
        <v>751.27</v>
      </c>
      <c r="J1097" s="33" t="str">
        <f t="shared" si="52"/>
        <v>OK</v>
      </c>
      <c r="K1097" s="30">
        <v>450.04</v>
      </c>
      <c r="L1097" t="s">
        <v>71</v>
      </c>
      <c r="M1097" s="31" t="str">
        <f t="shared" si="53"/>
        <v>OK</v>
      </c>
    </row>
    <row r="1098" spans="1:13">
      <c r="A1098" t="s">
        <v>799</v>
      </c>
      <c r="B1098" s="1">
        <v>45983</v>
      </c>
      <c r="C1098" t="s">
        <v>108</v>
      </c>
      <c r="D1098" t="s">
        <v>19</v>
      </c>
      <c r="E1098" t="s">
        <v>82</v>
      </c>
      <c r="F1098" t="s">
        <v>83</v>
      </c>
      <c r="G1098">
        <v>7</v>
      </c>
      <c r="H1098" s="32" t="str">
        <f t="shared" si="51"/>
        <v>OK</v>
      </c>
      <c r="I1098" s="30">
        <v>6976.98</v>
      </c>
      <c r="J1098" s="33" t="str">
        <f t="shared" si="52"/>
        <v>OK</v>
      </c>
      <c r="K1098" s="30">
        <v>5423.74</v>
      </c>
      <c r="L1098" t="s">
        <v>28</v>
      </c>
      <c r="M1098" s="31" t="str">
        <f t="shared" si="53"/>
        <v>OK</v>
      </c>
    </row>
    <row r="1099" spans="1:13">
      <c r="A1099" t="s">
        <v>1526</v>
      </c>
      <c r="B1099" s="1">
        <v>45984</v>
      </c>
      <c r="C1099" t="s">
        <v>30</v>
      </c>
      <c r="D1099" t="s">
        <v>12</v>
      </c>
      <c r="E1099" t="s">
        <v>32</v>
      </c>
      <c r="F1099" t="s">
        <v>1616</v>
      </c>
      <c r="G1099">
        <v>3</v>
      </c>
      <c r="H1099" s="32" t="str">
        <f t="shared" si="51"/>
        <v>OK</v>
      </c>
      <c r="I1099" s="30">
        <v>684.97</v>
      </c>
      <c r="J1099" s="33" t="str">
        <f t="shared" si="52"/>
        <v>OK</v>
      </c>
      <c r="K1099" s="30">
        <v>542.73</v>
      </c>
      <c r="L1099" t="s">
        <v>22</v>
      </c>
      <c r="M1099" s="31" t="str">
        <f t="shared" si="53"/>
        <v>OK</v>
      </c>
    </row>
    <row r="1100" spans="1:13">
      <c r="A1100" t="s">
        <v>550</v>
      </c>
      <c r="B1100" s="1">
        <v>45985</v>
      </c>
      <c r="C1100" t="s">
        <v>85</v>
      </c>
      <c r="D1100" t="s">
        <v>12</v>
      </c>
      <c r="E1100" t="s">
        <v>20</v>
      </c>
      <c r="F1100" t="s">
        <v>14</v>
      </c>
      <c r="G1100">
        <v>4</v>
      </c>
      <c r="H1100" s="32" t="str">
        <f t="shared" si="51"/>
        <v>OK</v>
      </c>
      <c r="I1100" s="30">
        <v>4295.09</v>
      </c>
      <c r="J1100" s="33" t="str">
        <f t="shared" si="52"/>
        <v>OK</v>
      </c>
      <c r="K1100" s="30">
        <v>2722.91</v>
      </c>
      <c r="L1100" t="s">
        <v>16</v>
      </c>
      <c r="M1100" s="31" t="str">
        <f t="shared" si="53"/>
        <v>OK</v>
      </c>
    </row>
    <row r="1101" spans="1:13">
      <c r="A1101" t="s">
        <v>576</v>
      </c>
      <c r="B1101" s="1">
        <v>45985</v>
      </c>
      <c r="C1101" t="s">
        <v>11</v>
      </c>
      <c r="D1101" t="s">
        <v>12</v>
      </c>
      <c r="E1101" t="s">
        <v>32</v>
      </c>
      <c r="F1101" t="s">
        <v>1615</v>
      </c>
      <c r="G1101">
        <v>6</v>
      </c>
      <c r="H1101" s="32" t="str">
        <f t="shared" si="51"/>
        <v>OK</v>
      </c>
      <c r="I1101" s="30">
        <v>1573.03</v>
      </c>
      <c r="J1101" s="33" t="str">
        <f t="shared" si="52"/>
        <v>OK</v>
      </c>
      <c r="K1101" s="30">
        <v>1182.5</v>
      </c>
      <c r="L1101" t="s">
        <v>38</v>
      </c>
      <c r="M1101" s="31" t="str">
        <f t="shared" si="53"/>
        <v>OK</v>
      </c>
    </row>
    <row r="1102" spans="1:13">
      <c r="A1102" t="s">
        <v>421</v>
      </c>
      <c r="B1102" s="1">
        <v>45986</v>
      </c>
      <c r="C1102" t="s">
        <v>24</v>
      </c>
      <c r="D1102" t="s">
        <v>57</v>
      </c>
      <c r="E1102" t="s">
        <v>26</v>
      </c>
      <c r="F1102" t="s">
        <v>27</v>
      </c>
      <c r="G1102">
        <v>4</v>
      </c>
      <c r="H1102" s="32" t="str">
        <f t="shared" si="51"/>
        <v>OK</v>
      </c>
      <c r="I1102" s="30">
        <v>3465.99</v>
      </c>
      <c r="J1102" s="33" t="str">
        <f t="shared" si="52"/>
        <v>OK</v>
      </c>
      <c r="K1102" s="30">
        <v>2146.46</v>
      </c>
      <c r="L1102" t="s">
        <v>16</v>
      </c>
      <c r="M1102" s="31" t="str">
        <f t="shared" si="53"/>
        <v>OK</v>
      </c>
    </row>
    <row r="1103" spans="1:13">
      <c r="A1103" t="s">
        <v>1117</v>
      </c>
      <c r="B1103" s="1">
        <v>45987</v>
      </c>
      <c r="C1103" t="s">
        <v>115</v>
      </c>
      <c r="D1103" t="s">
        <v>63</v>
      </c>
      <c r="E1103" t="s">
        <v>26</v>
      </c>
      <c r="F1103" t="s">
        <v>131</v>
      </c>
      <c r="G1103">
        <v>8</v>
      </c>
      <c r="H1103" s="32" t="str">
        <f t="shared" si="51"/>
        <v>OK</v>
      </c>
      <c r="I1103" s="30">
        <v>1779.27</v>
      </c>
      <c r="J1103" s="33" t="str">
        <f t="shared" si="52"/>
        <v>OK</v>
      </c>
      <c r="K1103" s="30">
        <v>1534.9</v>
      </c>
      <c r="L1103" t="s">
        <v>71</v>
      </c>
      <c r="M1103" s="31" t="str">
        <f t="shared" si="53"/>
        <v>OK</v>
      </c>
    </row>
    <row r="1104" spans="1:13">
      <c r="A1104" t="s">
        <v>1486</v>
      </c>
      <c r="B1104" s="1">
        <v>45987</v>
      </c>
      <c r="C1104" t="s">
        <v>85</v>
      </c>
      <c r="D1104" t="s">
        <v>19</v>
      </c>
      <c r="E1104" t="s">
        <v>82</v>
      </c>
      <c r="F1104" t="s">
        <v>109</v>
      </c>
      <c r="G1104">
        <v>1</v>
      </c>
      <c r="H1104" s="32" t="str">
        <f t="shared" si="51"/>
        <v>OK</v>
      </c>
      <c r="I1104" s="30">
        <v>6760.99</v>
      </c>
      <c r="J1104" s="33" t="str">
        <f t="shared" si="52"/>
        <v>OK</v>
      </c>
      <c r="K1104" s="30">
        <v>4802.5200000000004</v>
      </c>
      <c r="L1104" t="s">
        <v>16</v>
      </c>
      <c r="M1104" s="31" t="str">
        <f t="shared" si="53"/>
        <v>OK</v>
      </c>
    </row>
    <row r="1105" spans="1:13">
      <c r="A1105" t="s">
        <v>1586</v>
      </c>
      <c r="B1105" s="1">
        <v>45987</v>
      </c>
      <c r="C1105" t="s">
        <v>51</v>
      </c>
      <c r="D1105" t="s">
        <v>63</v>
      </c>
      <c r="E1105" t="s">
        <v>20</v>
      </c>
      <c r="F1105" t="s">
        <v>196</v>
      </c>
      <c r="G1105">
        <v>2</v>
      </c>
      <c r="H1105" s="32" t="str">
        <f t="shared" si="51"/>
        <v>OK</v>
      </c>
      <c r="I1105" s="30">
        <v>5519.35</v>
      </c>
      <c r="J1105" s="33" t="str">
        <f t="shared" si="52"/>
        <v>OK</v>
      </c>
      <c r="K1105" s="30">
        <v>4338.66</v>
      </c>
      <c r="L1105" t="s">
        <v>16</v>
      </c>
      <c r="M1105" s="31" t="str">
        <f t="shared" si="53"/>
        <v>OK</v>
      </c>
    </row>
    <row r="1106" spans="1:13">
      <c r="A1106" t="s">
        <v>258</v>
      </c>
      <c r="B1106" s="1">
        <v>45988</v>
      </c>
      <c r="C1106" t="s">
        <v>259</v>
      </c>
      <c r="D1106" t="s">
        <v>57</v>
      </c>
      <c r="E1106" t="s">
        <v>20</v>
      </c>
      <c r="F1106" t="s">
        <v>91</v>
      </c>
      <c r="G1106">
        <v>7</v>
      </c>
      <c r="H1106" s="32" t="str">
        <f t="shared" si="51"/>
        <v>OK</v>
      </c>
      <c r="I1106" s="30">
        <v>2559.54</v>
      </c>
      <c r="J1106" s="33" t="str">
        <f t="shared" si="52"/>
        <v>OK</v>
      </c>
      <c r="K1106" s="30">
        <v>2160.61</v>
      </c>
      <c r="L1106" t="s">
        <v>28</v>
      </c>
      <c r="M1106" s="31" t="str">
        <f t="shared" si="53"/>
        <v>OK</v>
      </c>
    </row>
    <row r="1107" spans="1:13">
      <c r="A1107" t="s">
        <v>362</v>
      </c>
      <c r="B1107" s="1">
        <v>45988</v>
      </c>
      <c r="C1107" t="s">
        <v>115</v>
      </c>
      <c r="D1107" t="s">
        <v>19</v>
      </c>
      <c r="E1107" t="s">
        <v>36</v>
      </c>
      <c r="F1107" t="s">
        <v>113</v>
      </c>
      <c r="G1107">
        <v>3</v>
      </c>
      <c r="H1107" s="32" t="str">
        <f t="shared" si="51"/>
        <v>OK</v>
      </c>
      <c r="I1107" s="30">
        <v>1569.33</v>
      </c>
      <c r="J1107" s="33" t="str">
        <f t="shared" si="52"/>
        <v>OK</v>
      </c>
      <c r="K1107" s="30">
        <v>1229.5899999999999</v>
      </c>
      <c r="L1107" t="s">
        <v>28</v>
      </c>
      <c r="M1107" s="31" t="str">
        <f t="shared" si="53"/>
        <v>OK</v>
      </c>
    </row>
    <row r="1108" spans="1:13">
      <c r="A1108" t="s">
        <v>371</v>
      </c>
      <c r="B1108" s="1">
        <v>45988</v>
      </c>
      <c r="C1108" t="s">
        <v>162</v>
      </c>
      <c r="D1108" t="s">
        <v>31</v>
      </c>
      <c r="E1108" t="s">
        <v>36</v>
      </c>
      <c r="F1108" t="s">
        <v>46</v>
      </c>
      <c r="G1108">
        <v>2</v>
      </c>
      <c r="H1108" s="32" t="str">
        <f t="shared" si="51"/>
        <v>OK</v>
      </c>
      <c r="I1108" s="30">
        <v>15294.66</v>
      </c>
      <c r="J1108" s="33" t="str">
        <f t="shared" si="52"/>
        <v>OK</v>
      </c>
      <c r="K1108" s="30">
        <v>12746.2</v>
      </c>
      <c r="L1108" t="s">
        <v>71</v>
      </c>
      <c r="M1108" s="31" t="str">
        <f t="shared" si="53"/>
        <v>OK</v>
      </c>
    </row>
    <row r="1109" spans="1:13">
      <c r="A1109" t="s">
        <v>841</v>
      </c>
      <c r="B1109" s="1">
        <v>45988</v>
      </c>
      <c r="C1109" t="s">
        <v>108</v>
      </c>
      <c r="D1109" t="s">
        <v>63</v>
      </c>
      <c r="E1109" t="s">
        <v>26</v>
      </c>
      <c r="F1109" t="s">
        <v>350</v>
      </c>
      <c r="G1109">
        <v>3</v>
      </c>
      <c r="H1109" s="32" t="str">
        <f t="shared" si="51"/>
        <v>OK</v>
      </c>
      <c r="I1109" s="30">
        <v>1083.45</v>
      </c>
      <c r="J1109" s="33" t="str">
        <f t="shared" si="52"/>
        <v>OK</v>
      </c>
      <c r="K1109" s="30">
        <v>810.86</v>
      </c>
      <c r="L1109" t="s">
        <v>28</v>
      </c>
      <c r="M1109" s="31" t="str">
        <f t="shared" si="53"/>
        <v>OK</v>
      </c>
    </row>
    <row r="1110" spans="1:13">
      <c r="A1110" t="s">
        <v>1175</v>
      </c>
      <c r="B1110" s="1">
        <v>45988</v>
      </c>
      <c r="C1110" t="s">
        <v>259</v>
      </c>
      <c r="D1110" t="s">
        <v>57</v>
      </c>
      <c r="E1110" t="s">
        <v>32</v>
      </c>
      <c r="F1110" t="s">
        <v>1616</v>
      </c>
      <c r="G1110">
        <v>4</v>
      </c>
      <c r="H1110" s="32" t="str">
        <f t="shared" si="51"/>
        <v>OK</v>
      </c>
      <c r="I1110" s="30">
        <v>265.42</v>
      </c>
      <c r="J1110" s="33" t="str">
        <f t="shared" si="52"/>
        <v>OK</v>
      </c>
      <c r="K1110" s="30">
        <v>212.96</v>
      </c>
      <c r="L1110" t="s">
        <v>28</v>
      </c>
      <c r="M1110" s="31" t="str">
        <f t="shared" si="53"/>
        <v>OK</v>
      </c>
    </row>
    <row r="1111" spans="1:13">
      <c r="A1111" t="s">
        <v>1248</v>
      </c>
      <c r="B1111" s="1">
        <v>45988</v>
      </c>
      <c r="C1111" t="s">
        <v>59</v>
      </c>
      <c r="D1111" t="s">
        <v>63</v>
      </c>
      <c r="E1111" t="s">
        <v>82</v>
      </c>
      <c r="F1111" t="s">
        <v>155</v>
      </c>
      <c r="G1111">
        <v>3</v>
      </c>
      <c r="H1111" s="32" t="str">
        <f t="shared" si="51"/>
        <v>OK</v>
      </c>
      <c r="I1111" s="30">
        <v>4062.42</v>
      </c>
      <c r="J1111" s="33" t="str">
        <f t="shared" si="52"/>
        <v>OK</v>
      </c>
      <c r="K1111" s="30">
        <v>2890.74</v>
      </c>
      <c r="L1111" t="s">
        <v>71</v>
      </c>
      <c r="M1111" s="31" t="str">
        <f t="shared" si="53"/>
        <v>OK</v>
      </c>
    </row>
    <row r="1112" spans="1:13">
      <c r="A1112" t="s">
        <v>1385</v>
      </c>
      <c r="B1112" s="1">
        <v>45988</v>
      </c>
      <c r="C1112" t="s">
        <v>18</v>
      </c>
      <c r="D1112" t="s">
        <v>19</v>
      </c>
      <c r="E1112" t="s">
        <v>26</v>
      </c>
      <c r="F1112" t="s">
        <v>131</v>
      </c>
      <c r="G1112">
        <v>3</v>
      </c>
      <c r="H1112" s="32" t="str">
        <f t="shared" si="51"/>
        <v>OK</v>
      </c>
      <c r="I1112" s="30">
        <v>1017.87</v>
      </c>
      <c r="J1112" s="33" t="str">
        <f t="shared" si="52"/>
        <v>OK</v>
      </c>
      <c r="K1112" s="30">
        <v>609.02</v>
      </c>
      <c r="L1112" t="s">
        <v>71</v>
      </c>
      <c r="M1112" s="31" t="str">
        <f t="shared" si="53"/>
        <v>OK</v>
      </c>
    </row>
    <row r="1113" spans="1:13">
      <c r="A1113" t="s">
        <v>486</v>
      </c>
      <c r="B1113" s="1">
        <v>45989</v>
      </c>
      <c r="C1113" t="s">
        <v>48</v>
      </c>
      <c r="D1113" t="s">
        <v>19</v>
      </c>
      <c r="E1113" t="s">
        <v>26</v>
      </c>
      <c r="F1113" t="s">
        <v>103</v>
      </c>
      <c r="G1113">
        <v>2</v>
      </c>
      <c r="H1113" s="32" t="str">
        <f t="shared" si="51"/>
        <v>OK</v>
      </c>
      <c r="I1113" s="30">
        <v>301.77</v>
      </c>
      <c r="J1113" s="33" t="str">
        <f t="shared" si="52"/>
        <v>OK</v>
      </c>
      <c r="K1113" s="30">
        <v>232.6</v>
      </c>
      <c r="L1113" t="s">
        <v>71</v>
      </c>
      <c r="M1113" s="31" t="str">
        <f t="shared" si="53"/>
        <v>OK</v>
      </c>
    </row>
    <row r="1114" spans="1:13">
      <c r="A1114" t="s">
        <v>1285</v>
      </c>
      <c r="B1114" s="1">
        <v>45989</v>
      </c>
      <c r="C1114" t="s">
        <v>135</v>
      </c>
      <c r="D1114" t="s">
        <v>31</v>
      </c>
      <c r="E1114" t="s">
        <v>36</v>
      </c>
      <c r="F1114" t="s">
        <v>42</v>
      </c>
      <c r="G1114">
        <v>6</v>
      </c>
      <c r="H1114" s="32" t="str">
        <f t="shared" si="51"/>
        <v>OK</v>
      </c>
      <c r="I1114" s="30">
        <v>2027.09</v>
      </c>
      <c r="J1114" s="33" t="str">
        <f t="shared" si="52"/>
        <v>OK</v>
      </c>
      <c r="K1114" s="30">
        <v>1178.1199999999999</v>
      </c>
      <c r="L1114" t="s">
        <v>28</v>
      </c>
      <c r="M1114" s="31" t="str">
        <f t="shared" si="53"/>
        <v>OK</v>
      </c>
    </row>
    <row r="1115" spans="1:13">
      <c r="A1115" t="s">
        <v>1390</v>
      </c>
      <c r="B1115" s="1">
        <v>45989</v>
      </c>
      <c r="C1115" t="s">
        <v>259</v>
      </c>
      <c r="D1115" t="s">
        <v>12</v>
      </c>
      <c r="E1115" t="s">
        <v>82</v>
      </c>
      <c r="F1115" t="s">
        <v>109</v>
      </c>
      <c r="G1115">
        <v>3</v>
      </c>
      <c r="H1115" s="32" t="str">
        <f t="shared" si="51"/>
        <v>OK</v>
      </c>
      <c r="I1115" s="30">
        <v>6395.52</v>
      </c>
      <c r="J1115" s="33" t="str">
        <f t="shared" si="52"/>
        <v>OK</v>
      </c>
      <c r="K1115" s="30">
        <v>5262.16</v>
      </c>
      <c r="L1115" t="s">
        <v>16</v>
      </c>
      <c r="M1115" s="31" t="str">
        <f t="shared" si="53"/>
        <v>OK</v>
      </c>
    </row>
    <row r="1116" spans="1:13">
      <c r="A1116" t="s">
        <v>209</v>
      </c>
      <c r="B1116" s="1">
        <v>45990</v>
      </c>
      <c r="C1116" t="s">
        <v>59</v>
      </c>
      <c r="D1116" t="s">
        <v>12</v>
      </c>
      <c r="E1116" t="s">
        <v>36</v>
      </c>
      <c r="F1116" t="s">
        <v>113</v>
      </c>
      <c r="G1116">
        <v>6</v>
      </c>
      <c r="H1116" s="32" t="str">
        <f t="shared" si="51"/>
        <v>OK</v>
      </c>
      <c r="I1116" s="30">
        <v>11047.01</v>
      </c>
      <c r="J1116" s="33" t="str">
        <f t="shared" si="52"/>
        <v>OK</v>
      </c>
      <c r="K1116" s="30">
        <v>9611.01</v>
      </c>
      <c r="L1116" t="s">
        <v>28</v>
      </c>
      <c r="M1116" s="31" t="str">
        <f t="shared" si="53"/>
        <v>OK</v>
      </c>
    </row>
    <row r="1117" spans="1:13">
      <c r="A1117" t="s">
        <v>316</v>
      </c>
      <c r="B1117" s="1">
        <v>45990</v>
      </c>
      <c r="C1117" t="s">
        <v>121</v>
      </c>
      <c r="D1117" t="s">
        <v>12</v>
      </c>
      <c r="E1117" t="s">
        <v>36</v>
      </c>
      <c r="F1117" t="s">
        <v>42</v>
      </c>
      <c r="G1117">
        <v>1</v>
      </c>
      <c r="H1117" s="32" t="str">
        <f t="shared" si="51"/>
        <v>OK</v>
      </c>
      <c r="I1117" s="30">
        <v>2498.86</v>
      </c>
      <c r="J1117" s="33" t="str">
        <f t="shared" si="52"/>
        <v>OK</v>
      </c>
      <c r="K1117" s="30">
        <v>1687.12</v>
      </c>
      <c r="L1117" t="s">
        <v>38</v>
      </c>
      <c r="M1117" s="31" t="str">
        <f t="shared" si="53"/>
        <v>OK</v>
      </c>
    </row>
    <row r="1118" spans="1:13">
      <c r="A1118" t="s">
        <v>505</v>
      </c>
      <c r="B1118" s="1">
        <v>45990</v>
      </c>
      <c r="C1118" t="s">
        <v>129</v>
      </c>
      <c r="D1118" t="s">
        <v>31</v>
      </c>
      <c r="E1118" t="s">
        <v>36</v>
      </c>
      <c r="F1118" t="s">
        <v>113</v>
      </c>
      <c r="G1118">
        <v>3</v>
      </c>
      <c r="H1118" s="32" t="str">
        <f t="shared" si="51"/>
        <v>OK</v>
      </c>
      <c r="I1118" s="30">
        <v>8425.7000000000007</v>
      </c>
      <c r="J1118" s="33" t="str">
        <f t="shared" si="52"/>
        <v>OK</v>
      </c>
      <c r="K1118" s="30">
        <v>6642.84</v>
      </c>
      <c r="L1118" t="s">
        <v>71</v>
      </c>
      <c r="M1118" s="31" t="str">
        <f t="shared" si="53"/>
        <v>OK</v>
      </c>
    </row>
    <row r="1119" spans="1:13">
      <c r="A1119" t="s">
        <v>758</v>
      </c>
      <c r="B1119" s="1">
        <v>45990</v>
      </c>
      <c r="C1119" t="s">
        <v>135</v>
      </c>
      <c r="D1119" t="s">
        <v>19</v>
      </c>
      <c r="E1119" t="s">
        <v>20</v>
      </c>
      <c r="F1119" t="s">
        <v>91</v>
      </c>
      <c r="G1119">
        <v>3</v>
      </c>
      <c r="H1119" s="32" t="str">
        <f t="shared" si="51"/>
        <v>OK</v>
      </c>
      <c r="I1119" s="30">
        <v>3271.41</v>
      </c>
      <c r="J1119" s="33" t="str">
        <f t="shared" si="52"/>
        <v>OK</v>
      </c>
      <c r="K1119" s="30">
        <v>2548.83</v>
      </c>
      <c r="L1119" t="s">
        <v>22</v>
      </c>
      <c r="M1119" s="31" t="str">
        <f t="shared" si="53"/>
        <v>OK</v>
      </c>
    </row>
    <row r="1120" spans="1:13">
      <c r="A1120" t="s">
        <v>1144</v>
      </c>
      <c r="B1120" s="1">
        <v>45990</v>
      </c>
      <c r="C1120" t="s">
        <v>85</v>
      </c>
      <c r="D1120" t="s">
        <v>12</v>
      </c>
      <c r="E1120" t="s">
        <v>26</v>
      </c>
      <c r="F1120" t="s">
        <v>350</v>
      </c>
      <c r="G1120">
        <v>5</v>
      </c>
      <c r="H1120" s="32" t="str">
        <f t="shared" si="51"/>
        <v>OK</v>
      </c>
      <c r="I1120" s="30">
        <v>-1326.29</v>
      </c>
      <c r="J1120" s="33" t="str">
        <f t="shared" si="52"/>
        <v>Negative Sales</v>
      </c>
      <c r="K1120" s="30">
        <v>1323.94</v>
      </c>
      <c r="L1120" t="s">
        <v>71</v>
      </c>
      <c r="M1120" s="31" t="str">
        <f t="shared" si="53"/>
        <v>Sales &lt; Cost</v>
      </c>
    </row>
    <row r="1121" spans="1:13">
      <c r="A1121" t="s">
        <v>73</v>
      </c>
      <c r="B1121" s="1">
        <v>45991</v>
      </c>
      <c r="C1121" t="s">
        <v>74</v>
      </c>
      <c r="D1121" t="s">
        <v>19</v>
      </c>
      <c r="E1121" t="s">
        <v>36</v>
      </c>
      <c r="F1121" t="s">
        <v>37</v>
      </c>
      <c r="G1121">
        <v>4</v>
      </c>
      <c r="H1121" s="32" t="str">
        <f t="shared" si="51"/>
        <v>OK</v>
      </c>
      <c r="I1121" s="30">
        <v>10051.1</v>
      </c>
      <c r="J1121" s="33" t="str">
        <f t="shared" si="52"/>
        <v>OK</v>
      </c>
      <c r="K1121" s="30">
        <v>7926.59</v>
      </c>
      <c r="L1121" t="s">
        <v>16</v>
      </c>
      <c r="M1121" s="31" t="str">
        <f t="shared" si="53"/>
        <v>OK</v>
      </c>
    </row>
    <row r="1122" spans="1:13">
      <c r="A1122" t="s">
        <v>848</v>
      </c>
      <c r="B1122" s="1">
        <v>45991</v>
      </c>
      <c r="C1122" t="s">
        <v>85</v>
      </c>
      <c r="D1122" t="s">
        <v>12</v>
      </c>
      <c r="E1122" t="s">
        <v>20</v>
      </c>
      <c r="F1122" t="s">
        <v>91</v>
      </c>
      <c r="G1122">
        <v>1</v>
      </c>
      <c r="H1122" s="32" t="str">
        <f t="shared" si="51"/>
        <v>OK</v>
      </c>
      <c r="I1122" s="30">
        <v>2492.2399999999998</v>
      </c>
      <c r="J1122" s="33" t="str">
        <f t="shared" si="52"/>
        <v>OK</v>
      </c>
      <c r="K1122" s="30">
        <v>2074.86</v>
      </c>
      <c r="L1122" t="s">
        <v>16</v>
      </c>
      <c r="M1122" s="31" t="str">
        <f t="shared" si="53"/>
        <v>OK</v>
      </c>
    </row>
    <row r="1123" spans="1:13">
      <c r="A1123" t="s">
        <v>389</v>
      </c>
      <c r="B1123" s="1">
        <v>45992</v>
      </c>
      <c r="C1123" t="s">
        <v>133</v>
      </c>
      <c r="D1123" t="s">
        <v>31</v>
      </c>
      <c r="E1123" t="s">
        <v>36</v>
      </c>
      <c r="F1123" t="s">
        <v>93</v>
      </c>
      <c r="G1123">
        <v>3</v>
      </c>
      <c r="H1123" s="32" t="str">
        <f t="shared" si="51"/>
        <v>OK</v>
      </c>
      <c r="I1123" s="30">
        <v>15699.47</v>
      </c>
      <c r="J1123" s="33" t="str">
        <f t="shared" si="52"/>
        <v>OK</v>
      </c>
      <c r="K1123" s="30">
        <v>9813.75</v>
      </c>
      <c r="L1123" t="s">
        <v>71</v>
      </c>
      <c r="M1123" s="31" t="str">
        <f t="shared" si="53"/>
        <v>OK</v>
      </c>
    </row>
    <row r="1124" spans="1:13">
      <c r="A1124" t="s">
        <v>1021</v>
      </c>
      <c r="B1124" s="1">
        <v>45992</v>
      </c>
      <c r="C1124" t="s">
        <v>74</v>
      </c>
      <c r="D1124" t="s">
        <v>57</v>
      </c>
      <c r="E1124" t="s">
        <v>26</v>
      </c>
      <c r="F1124" t="s">
        <v>350</v>
      </c>
      <c r="G1124">
        <v>5</v>
      </c>
      <c r="H1124" s="32" t="str">
        <f t="shared" si="51"/>
        <v>OK</v>
      </c>
      <c r="I1124" s="30">
        <v>2558.91</v>
      </c>
      <c r="J1124" s="33" t="str">
        <f t="shared" si="52"/>
        <v>OK</v>
      </c>
      <c r="K1124" s="30">
        <v>1918.61</v>
      </c>
      <c r="L1124" t="s">
        <v>28</v>
      </c>
      <c r="M1124" s="31" t="str">
        <f t="shared" si="53"/>
        <v>OK</v>
      </c>
    </row>
    <row r="1125" spans="1:13">
      <c r="A1125" t="s">
        <v>1446</v>
      </c>
      <c r="B1125" s="1">
        <v>45992</v>
      </c>
      <c r="C1125" t="s">
        <v>119</v>
      </c>
      <c r="D1125" t="s">
        <v>63</v>
      </c>
      <c r="E1125" t="s">
        <v>82</v>
      </c>
      <c r="F1125" t="s">
        <v>97</v>
      </c>
      <c r="G1125">
        <v>8</v>
      </c>
      <c r="H1125" s="32" t="str">
        <f t="shared" si="51"/>
        <v>OK</v>
      </c>
      <c r="I1125" s="30">
        <v>3100.29</v>
      </c>
      <c r="J1125" s="33" t="str">
        <f t="shared" si="52"/>
        <v>OK</v>
      </c>
      <c r="K1125" s="30">
        <v>2208.2399999999998</v>
      </c>
      <c r="L1125" t="s">
        <v>28</v>
      </c>
      <c r="M1125" s="31" t="str">
        <f t="shared" si="53"/>
        <v>OK</v>
      </c>
    </row>
    <row r="1126" spans="1:13">
      <c r="A1126" t="s">
        <v>921</v>
      </c>
      <c r="B1126" s="1">
        <v>45993</v>
      </c>
      <c r="C1126" t="s">
        <v>18</v>
      </c>
      <c r="D1126" t="s">
        <v>31</v>
      </c>
      <c r="E1126" t="s">
        <v>26</v>
      </c>
      <c r="F1126" t="s">
        <v>103</v>
      </c>
      <c r="G1126">
        <v>8</v>
      </c>
      <c r="H1126" s="32" t="str">
        <f t="shared" si="51"/>
        <v>OK</v>
      </c>
      <c r="I1126" s="30">
        <v>1535.8</v>
      </c>
      <c r="J1126" s="33" t="str">
        <f t="shared" si="52"/>
        <v>OK</v>
      </c>
      <c r="K1126" s="30">
        <v>1308.2</v>
      </c>
      <c r="L1126" t="s">
        <v>28</v>
      </c>
      <c r="M1126" s="31" t="str">
        <f t="shared" si="53"/>
        <v>OK</v>
      </c>
    </row>
    <row r="1127" spans="1:13">
      <c r="A1127" t="s">
        <v>962</v>
      </c>
      <c r="B1127" s="1">
        <v>45993</v>
      </c>
      <c r="C1127" t="s">
        <v>231</v>
      </c>
      <c r="D1127" t="s">
        <v>63</v>
      </c>
      <c r="E1127" t="s">
        <v>26</v>
      </c>
      <c r="F1127" t="s">
        <v>106</v>
      </c>
      <c r="G1127">
        <v>8</v>
      </c>
      <c r="H1127" s="32" t="str">
        <f t="shared" si="51"/>
        <v>OK</v>
      </c>
      <c r="I1127" s="30">
        <v>2109.08</v>
      </c>
      <c r="J1127" s="33" t="str">
        <f t="shared" si="52"/>
        <v>OK</v>
      </c>
      <c r="K1127" s="30">
        <v>1489.23</v>
      </c>
      <c r="L1127" t="s">
        <v>71</v>
      </c>
      <c r="M1127" s="31" t="str">
        <f t="shared" si="53"/>
        <v>OK</v>
      </c>
    </row>
    <row r="1128" spans="1:13">
      <c r="A1128" t="s">
        <v>1037</v>
      </c>
      <c r="B1128" s="1">
        <v>45993</v>
      </c>
      <c r="C1128" t="s">
        <v>259</v>
      </c>
      <c r="D1128" t="s">
        <v>31</v>
      </c>
      <c r="E1128" t="s">
        <v>20</v>
      </c>
      <c r="F1128" t="s">
        <v>191</v>
      </c>
      <c r="G1128">
        <v>2</v>
      </c>
      <c r="H1128" s="32" t="str">
        <f t="shared" si="51"/>
        <v>OK</v>
      </c>
      <c r="I1128" s="30">
        <v>5085.3100000000004</v>
      </c>
      <c r="J1128" s="33" t="str">
        <f t="shared" si="52"/>
        <v>OK</v>
      </c>
      <c r="K1128" s="30">
        <v>3830.08</v>
      </c>
      <c r="L1128" t="s">
        <v>22</v>
      </c>
      <c r="M1128" s="31" t="str">
        <f t="shared" si="53"/>
        <v>OK</v>
      </c>
    </row>
    <row r="1129" spans="1:13">
      <c r="A1129" t="s">
        <v>1388</v>
      </c>
      <c r="B1129" s="1">
        <v>45993</v>
      </c>
      <c r="C1129" t="s">
        <v>11</v>
      </c>
      <c r="D1129" t="s">
        <v>31</v>
      </c>
      <c r="E1129" t="s">
        <v>20</v>
      </c>
      <c r="F1129" t="s">
        <v>14</v>
      </c>
      <c r="G1129">
        <v>7</v>
      </c>
      <c r="H1129" s="32" t="str">
        <f t="shared" si="51"/>
        <v>OK</v>
      </c>
      <c r="I1129" s="30">
        <v>2201.54</v>
      </c>
      <c r="J1129" s="33" t="str">
        <f t="shared" si="52"/>
        <v>OK</v>
      </c>
      <c r="K1129" s="30">
        <v>1390.58</v>
      </c>
      <c r="L1129" t="s">
        <v>22</v>
      </c>
      <c r="M1129" s="31" t="str">
        <f t="shared" si="53"/>
        <v>OK</v>
      </c>
    </row>
    <row r="1130" spans="1:13">
      <c r="A1130" t="s">
        <v>1543</v>
      </c>
      <c r="B1130" s="1">
        <v>45993</v>
      </c>
      <c r="C1130" t="s">
        <v>231</v>
      </c>
      <c r="D1130" t="s">
        <v>31</v>
      </c>
      <c r="E1130" t="s">
        <v>82</v>
      </c>
      <c r="F1130" t="s">
        <v>109</v>
      </c>
      <c r="G1130">
        <v>8</v>
      </c>
      <c r="H1130" s="32" t="str">
        <f t="shared" si="51"/>
        <v>OK</v>
      </c>
      <c r="I1130" s="30">
        <v>6672.34</v>
      </c>
      <c r="J1130" s="33" t="str">
        <f t="shared" si="52"/>
        <v>OK</v>
      </c>
      <c r="K1130" s="30">
        <v>4469.82</v>
      </c>
      <c r="L1130" t="s">
        <v>16</v>
      </c>
      <c r="M1130" s="31" t="str">
        <f t="shared" si="53"/>
        <v>OK</v>
      </c>
    </row>
    <row r="1131" spans="1:13">
      <c r="A1131" t="s">
        <v>1112</v>
      </c>
      <c r="B1131" s="1">
        <v>45994</v>
      </c>
      <c r="C1131" t="s">
        <v>51</v>
      </c>
      <c r="D1131" t="s">
        <v>63</v>
      </c>
      <c r="E1131" t="s">
        <v>82</v>
      </c>
      <c r="F1131" t="s">
        <v>137</v>
      </c>
      <c r="G1131">
        <v>3</v>
      </c>
      <c r="H1131" s="32" t="str">
        <f t="shared" si="51"/>
        <v>OK</v>
      </c>
      <c r="I1131" s="30">
        <v>3923.74</v>
      </c>
      <c r="J1131" s="33" t="str">
        <f t="shared" si="52"/>
        <v>OK</v>
      </c>
      <c r="K1131" s="30">
        <v>2934.85</v>
      </c>
      <c r="L1131" t="s">
        <v>22</v>
      </c>
      <c r="M1131" s="31" t="str">
        <f t="shared" si="53"/>
        <v>OK</v>
      </c>
    </row>
    <row r="1132" spans="1:13">
      <c r="A1132" t="s">
        <v>1492</v>
      </c>
      <c r="B1132" s="1">
        <v>45994</v>
      </c>
      <c r="C1132" t="s">
        <v>70</v>
      </c>
      <c r="D1132" t="s">
        <v>12</v>
      </c>
      <c r="E1132" t="s">
        <v>26</v>
      </c>
      <c r="F1132" t="s">
        <v>79</v>
      </c>
      <c r="G1132">
        <v>1</v>
      </c>
      <c r="H1132" s="32" t="str">
        <f t="shared" si="51"/>
        <v>OK</v>
      </c>
      <c r="I1132" s="30">
        <v>1320.64</v>
      </c>
      <c r="J1132" s="33" t="str">
        <f t="shared" si="52"/>
        <v>OK</v>
      </c>
      <c r="K1132" s="30">
        <v>745.46</v>
      </c>
      <c r="L1132" t="s">
        <v>38</v>
      </c>
      <c r="M1132" s="31" t="str">
        <f t="shared" si="53"/>
        <v>OK</v>
      </c>
    </row>
    <row r="1133" spans="1:13">
      <c r="A1133" t="s">
        <v>396</v>
      </c>
      <c r="B1133" s="1">
        <v>45995</v>
      </c>
      <c r="C1133" t="s">
        <v>121</v>
      </c>
      <c r="D1133" t="s">
        <v>12</v>
      </c>
      <c r="E1133" t="s">
        <v>82</v>
      </c>
      <c r="F1133" t="s">
        <v>137</v>
      </c>
      <c r="G1133">
        <v>8</v>
      </c>
      <c r="H1133" s="32" t="str">
        <f t="shared" si="51"/>
        <v>OK</v>
      </c>
      <c r="I1133" s="30">
        <v>1323.04</v>
      </c>
      <c r="J1133" s="33" t="str">
        <f t="shared" si="52"/>
        <v>OK</v>
      </c>
      <c r="K1133" s="30">
        <v>941.8</v>
      </c>
      <c r="L1133" t="s">
        <v>22</v>
      </c>
      <c r="M1133" s="31" t="str">
        <f t="shared" si="53"/>
        <v>OK</v>
      </c>
    </row>
    <row r="1134" spans="1:13">
      <c r="A1134" t="s">
        <v>539</v>
      </c>
      <c r="B1134" s="1">
        <v>45995</v>
      </c>
      <c r="C1134" t="s">
        <v>105</v>
      </c>
      <c r="D1134" t="s">
        <v>63</v>
      </c>
      <c r="E1134" t="s">
        <v>32</v>
      </c>
      <c r="F1134" t="s">
        <v>33</v>
      </c>
      <c r="G1134">
        <v>3</v>
      </c>
      <c r="H1134" s="32" t="str">
        <f t="shared" si="51"/>
        <v>OK</v>
      </c>
      <c r="I1134" s="30">
        <v>1806.6</v>
      </c>
      <c r="J1134" s="33" t="str">
        <f t="shared" si="52"/>
        <v>OK</v>
      </c>
      <c r="K1134" s="30">
        <v>1050.5899999999999</v>
      </c>
      <c r="L1134" t="s">
        <v>16</v>
      </c>
      <c r="M1134" s="31" t="str">
        <f t="shared" si="53"/>
        <v>OK</v>
      </c>
    </row>
    <row r="1135" spans="1:13">
      <c r="A1135" t="s">
        <v>1371</v>
      </c>
      <c r="B1135" s="1">
        <v>45995</v>
      </c>
      <c r="C1135" t="s">
        <v>220</v>
      </c>
      <c r="D1135" t="s">
        <v>63</v>
      </c>
      <c r="E1135" t="s">
        <v>20</v>
      </c>
      <c r="F1135" t="s">
        <v>196</v>
      </c>
      <c r="G1135">
        <v>1</v>
      </c>
      <c r="H1135" s="32" t="str">
        <f t="shared" si="51"/>
        <v>OK</v>
      </c>
      <c r="I1135" s="30">
        <v>2993.76</v>
      </c>
      <c r="J1135" s="33" t="str">
        <f t="shared" si="52"/>
        <v>OK</v>
      </c>
      <c r="K1135" s="30">
        <v>2105.1799999999998</v>
      </c>
      <c r="L1135" t="s">
        <v>28</v>
      </c>
      <c r="M1135" s="31" t="str">
        <f t="shared" si="53"/>
        <v>OK</v>
      </c>
    </row>
    <row r="1136" spans="1:13">
      <c r="A1136" t="s">
        <v>835</v>
      </c>
      <c r="B1136" s="1">
        <v>45996</v>
      </c>
      <c r="C1136" t="s">
        <v>105</v>
      </c>
      <c r="D1136" t="s">
        <v>12</v>
      </c>
      <c r="E1136" t="s">
        <v>82</v>
      </c>
      <c r="F1136" t="s">
        <v>137</v>
      </c>
      <c r="G1136">
        <v>5</v>
      </c>
      <c r="H1136" s="32" t="str">
        <f t="shared" si="51"/>
        <v>OK</v>
      </c>
      <c r="I1136" s="30">
        <v>2362.84</v>
      </c>
      <c r="J1136" s="33" t="str">
        <f t="shared" si="52"/>
        <v>OK</v>
      </c>
      <c r="K1136" s="30">
        <v>1374.35</v>
      </c>
      <c r="L1136" t="s">
        <v>28</v>
      </c>
      <c r="M1136" s="31" t="str">
        <f t="shared" si="53"/>
        <v>OK</v>
      </c>
    </row>
    <row r="1137" spans="1:13">
      <c r="A1137" t="s">
        <v>1361</v>
      </c>
      <c r="B1137" s="1">
        <v>45996</v>
      </c>
      <c r="C1137" t="s">
        <v>175</v>
      </c>
      <c r="D1137" t="s">
        <v>31</v>
      </c>
      <c r="E1137" t="s">
        <v>26</v>
      </c>
      <c r="F1137" t="s">
        <v>103</v>
      </c>
      <c r="G1137">
        <v>1</v>
      </c>
      <c r="H1137" s="32" t="str">
        <f t="shared" si="51"/>
        <v>OK</v>
      </c>
      <c r="I1137" s="30">
        <v>2223.96</v>
      </c>
      <c r="J1137" s="33" t="str">
        <f t="shared" si="52"/>
        <v>OK</v>
      </c>
      <c r="K1137" s="30">
        <v>1931.14</v>
      </c>
      <c r="L1137" t="s">
        <v>38</v>
      </c>
      <c r="M1137" s="31" t="str">
        <f t="shared" si="53"/>
        <v>OK</v>
      </c>
    </row>
    <row r="1138" spans="1:13">
      <c r="A1138" t="s">
        <v>1377</v>
      </c>
      <c r="B1138" s="1">
        <v>45996</v>
      </c>
      <c r="C1138" t="s">
        <v>59</v>
      </c>
      <c r="D1138" t="s">
        <v>12</v>
      </c>
      <c r="E1138" t="s">
        <v>36</v>
      </c>
      <c r="F1138" t="s">
        <v>37</v>
      </c>
      <c r="G1138">
        <v>6</v>
      </c>
      <c r="H1138" s="32" t="str">
        <f t="shared" si="51"/>
        <v>OK</v>
      </c>
      <c r="I1138" s="30">
        <v>4524.82</v>
      </c>
      <c r="J1138" s="33" t="str">
        <f t="shared" si="52"/>
        <v>OK</v>
      </c>
      <c r="K1138" s="30">
        <v>3193.52</v>
      </c>
      <c r="L1138" t="s">
        <v>38</v>
      </c>
      <c r="M1138" s="31" t="str">
        <f t="shared" si="53"/>
        <v>OK</v>
      </c>
    </row>
    <row r="1139" spans="1:13">
      <c r="A1139" t="s">
        <v>1386</v>
      </c>
      <c r="B1139" s="1">
        <v>45997</v>
      </c>
      <c r="C1139" t="s">
        <v>135</v>
      </c>
      <c r="D1139" t="s">
        <v>12</v>
      </c>
      <c r="E1139" t="s">
        <v>26</v>
      </c>
      <c r="F1139" t="s">
        <v>79</v>
      </c>
      <c r="G1139">
        <v>6</v>
      </c>
      <c r="H1139" s="32" t="str">
        <f t="shared" si="51"/>
        <v>OK</v>
      </c>
      <c r="I1139" s="30">
        <v>553.51</v>
      </c>
      <c r="J1139" s="33" t="str">
        <f t="shared" si="52"/>
        <v>OK</v>
      </c>
      <c r="K1139" s="30">
        <v>478.32</v>
      </c>
      <c r="L1139" t="s">
        <v>71</v>
      </c>
      <c r="M1139" s="31" t="str">
        <f t="shared" si="53"/>
        <v>OK</v>
      </c>
    </row>
    <row r="1140" spans="1:13">
      <c r="A1140" t="s">
        <v>112</v>
      </c>
      <c r="B1140" s="1">
        <v>45998</v>
      </c>
      <c r="C1140" t="s">
        <v>18</v>
      </c>
      <c r="D1140" t="s">
        <v>63</v>
      </c>
      <c r="E1140" t="s">
        <v>36</v>
      </c>
      <c r="F1140" t="s">
        <v>113</v>
      </c>
      <c r="G1140">
        <v>4</v>
      </c>
      <c r="H1140" s="32" t="str">
        <f t="shared" si="51"/>
        <v>OK</v>
      </c>
      <c r="I1140" s="30">
        <v>8985.32</v>
      </c>
      <c r="J1140" s="33" t="str">
        <f t="shared" si="52"/>
        <v>OK</v>
      </c>
      <c r="K1140" s="30">
        <v>6962.51</v>
      </c>
      <c r="L1140" t="s">
        <v>22</v>
      </c>
      <c r="M1140" s="31" t="str">
        <f t="shared" si="53"/>
        <v>OK</v>
      </c>
    </row>
    <row r="1141" spans="1:13">
      <c r="A1141" t="s">
        <v>239</v>
      </c>
      <c r="B1141" s="1">
        <v>45998</v>
      </c>
      <c r="C1141" t="s">
        <v>51</v>
      </c>
      <c r="D1141" t="s">
        <v>57</v>
      </c>
      <c r="E1141" t="s">
        <v>20</v>
      </c>
      <c r="F1141" t="s">
        <v>191</v>
      </c>
      <c r="G1141">
        <v>7</v>
      </c>
      <c r="H1141" s="32" t="str">
        <f t="shared" si="51"/>
        <v>OK</v>
      </c>
      <c r="I1141" s="30">
        <v>4225.25</v>
      </c>
      <c r="J1141" s="33" t="str">
        <f t="shared" si="52"/>
        <v>OK</v>
      </c>
      <c r="K1141" s="30">
        <v>3582.7</v>
      </c>
      <c r="L1141" t="s">
        <v>38</v>
      </c>
      <c r="M1141" s="31" t="str">
        <f t="shared" si="53"/>
        <v>OK</v>
      </c>
    </row>
    <row r="1142" spans="1:13">
      <c r="A1142" t="s">
        <v>635</v>
      </c>
      <c r="B1142" s="1">
        <v>45998</v>
      </c>
      <c r="C1142" t="s">
        <v>175</v>
      </c>
      <c r="D1142" t="s">
        <v>63</v>
      </c>
      <c r="E1142" t="s">
        <v>26</v>
      </c>
      <c r="F1142" t="s">
        <v>131</v>
      </c>
      <c r="G1142">
        <v>4</v>
      </c>
      <c r="H1142" s="32" t="str">
        <f t="shared" si="51"/>
        <v>OK</v>
      </c>
      <c r="I1142" s="30">
        <v>742.74</v>
      </c>
      <c r="J1142" s="33" t="str">
        <f t="shared" si="52"/>
        <v>OK</v>
      </c>
      <c r="K1142" s="30">
        <v>593.19000000000005</v>
      </c>
      <c r="L1142" t="s">
        <v>28</v>
      </c>
      <c r="M1142" s="31" t="str">
        <f t="shared" si="53"/>
        <v>OK</v>
      </c>
    </row>
    <row r="1143" spans="1:13">
      <c r="A1143" t="s">
        <v>736</v>
      </c>
      <c r="B1143" s="1">
        <v>45998</v>
      </c>
      <c r="C1143" t="s">
        <v>59</v>
      </c>
      <c r="D1143" t="s">
        <v>12</v>
      </c>
      <c r="E1143" t="s">
        <v>20</v>
      </c>
      <c r="F1143" t="s">
        <v>191</v>
      </c>
      <c r="G1143">
        <v>5</v>
      </c>
      <c r="H1143" s="32" t="str">
        <f t="shared" si="51"/>
        <v>OK</v>
      </c>
      <c r="I1143" s="30">
        <v>1153.3599999999999</v>
      </c>
      <c r="J1143" s="33" t="str">
        <f t="shared" si="52"/>
        <v>OK</v>
      </c>
      <c r="K1143" s="30">
        <v>820.49</v>
      </c>
      <c r="L1143" t="s">
        <v>28</v>
      </c>
      <c r="M1143" s="31" t="str">
        <f t="shared" si="53"/>
        <v>OK</v>
      </c>
    </row>
    <row r="1144" spans="1:13">
      <c r="A1144" t="s">
        <v>1538</v>
      </c>
      <c r="B1144" s="1">
        <v>45998</v>
      </c>
      <c r="C1144" t="s">
        <v>124</v>
      </c>
      <c r="D1144" t="s">
        <v>12</v>
      </c>
      <c r="E1144" t="s">
        <v>32</v>
      </c>
      <c r="F1144" t="s">
        <v>1616</v>
      </c>
      <c r="G1144">
        <v>7</v>
      </c>
      <c r="H1144" s="32" t="str">
        <f t="shared" si="51"/>
        <v>OK</v>
      </c>
      <c r="I1144" s="30">
        <v>2230.5</v>
      </c>
      <c r="J1144" s="33" t="str">
        <f t="shared" si="52"/>
        <v>OK</v>
      </c>
      <c r="K1144" s="30">
        <v>1349.56</v>
      </c>
      <c r="L1144" t="s">
        <v>71</v>
      </c>
      <c r="M1144" s="31" t="str">
        <f t="shared" si="53"/>
        <v>OK</v>
      </c>
    </row>
    <row r="1145" spans="1:13">
      <c r="A1145" t="s">
        <v>236</v>
      </c>
      <c r="B1145" s="1">
        <v>45999</v>
      </c>
      <c r="C1145" t="s">
        <v>35</v>
      </c>
      <c r="D1145" t="s">
        <v>19</v>
      </c>
      <c r="E1145" t="s">
        <v>20</v>
      </c>
      <c r="F1145" t="s">
        <v>14</v>
      </c>
      <c r="G1145">
        <v>2</v>
      </c>
      <c r="H1145" s="32" t="str">
        <f t="shared" si="51"/>
        <v>OK</v>
      </c>
      <c r="I1145" s="30">
        <v>3059.67</v>
      </c>
      <c r="J1145" s="33" t="str">
        <f t="shared" si="52"/>
        <v>OK</v>
      </c>
      <c r="K1145" s="30">
        <v>1844.08</v>
      </c>
      <c r="L1145" t="s">
        <v>38</v>
      </c>
      <c r="M1145" s="31" t="str">
        <f t="shared" si="53"/>
        <v>OK</v>
      </c>
    </row>
    <row r="1146" spans="1:13">
      <c r="A1146" t="s">
        <v>768</v>
      </c>
      <c r="B1146" s="1">
        <v>45999</v>
      </c>
      <c r="C1146" t="s">
        <v>54</v>
      </c>
      <c r="D1146" t="s">
        <v>12</v>
      </c>
      <c r="E1146" t="s">
        <v>82</v>
      </c>
      <c r="F1146" t="s">
        <v>150</v>
      </c>
      <c r="G1146">
        <v>5</v>
      </c>
      <c r="H1146" s="32" t="str">
        <f t="shared" si="51"/>
        <v>OK</v>
      </c>
      <c r="I1146" s="30">
        <v>6549.59</v>
      </c>
      <c r="J1146" s="33" t="str">
        <f t="shared" si="52"/>
        <v>OK</v>
      </c>
      <c r="K1146" s="30">
        <v>3826.16</v>
      </c>
      <c r="L1146" t="s">
        <v>71</v>
      </c>
      <c r="M1146" s="31" t="str">
        <f t="shared" si="53"/>
        <v>OK</v>
      </c>
    </row>
    <row r="1147" spans="1:13">
      <c r="A1147" t="s">
        <v>390</v>
      </c>
      <c r="B1147" s="1">
        <v>46000</v>
      </c>
      <c r="C1147" t="s">
        <v>40</v>
      </c>
      <c r="D1147" t="s">
        <v>19</v>
      </c>
      <c r="E1147" t="s">
        <v>20</v>
      </c>
      <c r="F1147" t="s">
        <v>91</v>
      </c>
      <c r="G1147">
        <v>2</v>
      </c>
      <c r="H1147" s="32" t="str">
        <f t="shared" si="51"/>
        <v>OK</v>
      </c>
      <c r="I1147" s="30">
        <v>1713.12</v>
      </c>
      <c r="J1147" s="33" t="str">
        <f t="shared" si="52"/>
        <v>OK</v>
      </c>
      <c r="K1147" s="30">
        <v>1441</v>
      </c>
      <c r="L1147" t="s">
        <v>71</v>
      </c>
      <c r="M1147" s="31" t="str">
        <f t="shared" si="53"/>
        <v>OK</v>
      </c>
    </row>
    <row r="1148" spans="1:13">
      <c r="A1148" t="s">
        <v>513</v>
      </c>
      <c r="B1148" s="1">
        <v>46000</v>
      </c>
      <c r="C1148" t="s">
        <v>67</v>
      </c>
      <c r="D1148" t="s">
        <v>31</v>
      </c>
      <c r="E1148" t="s">
        <v>20</v>
      </c>
      <c r="F1148" t="s">
        <v>21</v>
      </c>
      <c r="G1148">
        <v>8</v>
      </c>
      <c r="H1148" s="32" t="str">
        <f t="shared" si="51"/>
        <v>OK</v>
      </c>
      <c r="I1148" s="30">
        <v>1678.3</v>
      </c>
      <c r="J1148" s="33" t="str">
        <f t="shared" si="52"/>
        <v>OK</v>
      </c>
      <c r="K1148" s="30">
        <v>996.34</v>
      </c>
      <c r="L1148" t="s">
        <v>38</v>
      </c>
      <c r="M1148" s="31" t="str">
        <f t="shared" si="53"/>
        <v>OK</v>
      </c>
    </row>
    <row r="1149" spans="1:13">
      <c r="A1149" t="s">
        <v>297</v>
      </c>
      <c r="B1149" s="1">
        <v>46001</v>
      </c>
      <c r="C1149" t="s">
        <v>162</v>
      </c>
      <c r="D1149" t="s">
        <v>19</v>
      </c>
      <c r="E1149" t="s">
        <v>26</v>
      </c>
      <c r="F1149" t="s">
        <v>103</v>
      </c>
      <c r="G1149">
        <v>4</v>
      </c>
      <c r="H1149" s="32" t="str">
        <f t="shared" si="51"/>
        <v>OK</v>
      </c>
      <c r="I1149" s="30">
        <v>575.15</v>
      </c>
      <c r="J1149" s="33" t="str">
        <f t="shared" si="52"/>
        <v>OK</v>
      </c>
      <c r="K1149" s="30">
        <v>433.92</v>
      </c>
      <c r="L1149" t="s">
        <v>71</v>
      </c>
      <c r="M1149" s="31" t="str">
        <f t="shared" si="53"/>
        <v>OK</v>
      </c>
    </row>
    <row r="1150" spans="1:13">
      <c r="A1150" t="s">
        <v>315</v>
      </c>
      <c r="B1150" s="1">
        <v>46001</v>
      </c>
      <c r="C1150" t="s">
        <v>24</v>
      </c>
      <c r="D1150" t="s">
        <v>19</v>
      </c>
      <c r="E1150" t="s">
        <v>32</v>
      </c>
      <c r="F1150" t="s">
        <v>52</v>
      </c>
      <c r="G1150">
        <v>4</v>
      </c>
      <c r="H1150" s="32" t="str">
        <f t="shared" si="51"/>
        <v>OK</v>
      </c>
      <c r="I1150" s="30">
        <v>1942.89</v>
      </c>
      <c r="J1150" s="33" t="str">
        <f t="shared" si="52"/>
        <v>OK</v>
      </c>
      <c r="K1150" s="30">
        <v>1110.99</v>
      </c>
      <c r="L1150" t="s">
        <v>28</v>
      </c>
      <c r="M1150" s="31" t="str">
        <f t="shared" si="53"/>
        <v>OK</v>
      </c>
    </row>
    <row r="1151" spans="1:13">
      <c r="A1151" t="s">
        <v>381</v>
      </c>
      <c r="B1151" s="1">
        <v>46001</v>
      </c>
      <c r="C1151" t="s">
        <v>74</v>
      </c>
      <c r="D1151" t="s">
        <v>57</v>
      </c>
      <c r="E1151" t="s">
        <v>36</v>
      </c>
      <c r="F1151" t="s">
        <v>37</v>
      </c>
      <c r="G1151">
        <v>2</v>
      </c>
      <c r="H1151" s="32" t="str">
        <f t="shared" si="51"/>
        <v>OK</v>
      </c>
      <c r="I1151" s="30">
        <v>16407.650000000001</v>
      </c>
      <c r="J1151" s="33" t="str">
        <f t="shared" si="52"/>
        <v>OK</v>
      </c>
      <c r="K1151" s="30">
        <v>13546.59</v>
      </c>
      <c r="L1151" t="s">
        <v>28</v>
      </c>
      <c r="M1151" s="31" t="str">
        <f t="shared" si="53"/>
        <v>OK</v>
      </c>
    </row>
    <row r="1152" spans="1:13">
      <c r="A1152" t="s">
        <v>521</v>
      </c>
      <c r="B1152" s="1">
        <v>46001</v>
      </c>
      <c r="C1152" t="s">
        <v>59</v>
      </c>
      <c r="D1152" t="s">
        <v>19</v>
      </c>
      <c r="E1152" t="s">
        <v>26</v>
      </c>
      <c r="F1152" t="s">
        <v>103</v>
      </c>
      <c r="G1152">
        <v>5</v>
      </c>
      <c r="H1152" s="32" t="str">
        <f t="shared" si="51"/>
        <v>OK</v>
      </c>
      <c r="I1152" s="30">
        <v>2530.92</v>
      </c>
      <c r="J1152" s="33" t="str">
        <f t="shared" si="52"/>
        <v>OK</v>
      </c>
      <c r="K1152" s="30">
        <v>1962.91</v>
      </c>
      <c r="L1152" t="s">
        <v>16</v>
      </c>
      <c r="M1152" s="31" t="str">
        <f t="shared" si="53"/>
        <v>OK</v>
      </c>
    </row>
    <row r="1153" spans="1:13">
      <c r="A1153" t="s">
        <v>609</v>
      </c>
      <c r="B1153" s="1">
        <v>46001</v>
      </c>
      <c r="C1153" t="s">
        <v>35</v>
      </c>
      <c r="D1153" t="s">
        <v>12</v>
      </c>
      <c r="E1153" t="s">
        <v>32</v>
      </c>
      <c r="F1153" t="s">
        <v>1616</v>
      </c>
      <c r="G1153">
        <v>2</v>
      </c>
      <c r="H1153" s="32" t="str">
        <f t="shared" si="51"/>
        <v>OK</v>
      </c>
      <c r="I1153" s="30">
        <v>1988.78</v>
      </c>
      <c r="J1153" s="33" t="str">
        <f t="shared" si="52"/>
        <v>OK</v>
      </c>
      <c r="K1153" s="30">
        <v>1661.46</v>
      </c>
      <c r="L1153" t="s">
        <v>28</v>
      </c>
      <c r="M1153" s="31" t="str">
        <f t="shared" si="53"/>
        <v>OK</v>
      </c>
    </row>
    <row r="1154" spans="1:13">
      <c r="A1154" t="s">
        <v>931</v>
      </c>
      <c r="B1154" s="1">
        <v>46001</v>
      </c>
      <c r="C1154" t="s">
        <v>119</v>
      </c>
      <c r="D1154" t="s">
        <v>63</v>
      </c>
      <c r="E1154" t="s">
        <v>20</v>
      </c>
      <c r="F1154" t="s">
        <v>21</v>
      </c>
      <c r="G1154">
        <v>3</v>
      </c>
      <c r="H1154" s="32" t="str">
        <f t="shared" ref="H1154:H1217" si="54">IF(G1154="","Blank",IF(G1154&lt;0,"Negative Quantity",IF(G1154=0,"Zero Quantity",IF(G1154&gt;0,"OK",""))))</f>
        <v>OK</v>
      </c>
      <c r="I1154" s="30">
        <v>1238.53</v>
      </c>
      <c r="J1154" s="33" t="str">
        <f t="shared" ref="J1154:J1217" si="55">IF(I1154="","Missing Sales",IF(I1154&lt;0,"Negative Sales","OK"))</f>
        <v>OK</v>
      </c>
      <c r="K1154" s="30">
        <v>710.52</v>
      </c>
      <c r="L1154" t="s">
        <v>16</v>
      </c>
      <c r="M1154" s="31" t="str">
        <f t="shared" ref="M1154:M1217" si="56">IF(OR(I1154="",K1154=""),"Missing Data",IF(I1154&lt;K1154,"Sales &lt; Cost","OK"))</f>
        <v>OK</v>
      </c>
    </row>
    <row r="1155" spans="1:13">
      <c r="A1155" t="s">
        <v>1271</v>
      </c>
      <c r="B1155" s="1">
        <v>46001</v>
      </c>
      <c r="C1155" t="s">
        <v>59</v>
      </c>
      <c r="D1155" t="s">
        <v>12</v>
      </c>
      <c r="E1155" t="s">
        <v>36</v>
      </c>
      <c r="F1155" t="s">
        <v>42</v>
      </c>
      <c r="G1155">
        <v>6</v>
      </c>
      <c r="H1155" s="32" t="str">
        <f t="shared" si="54"/>
        <v>OK</v>
      </c>
      <c r="I1155" s="30">
        <v>8537.3700000000008</v>
      </c>
      <c r="J1155" s="33" t="str">
        <f t="shared" si="55"/>
        <v>OK</v>
      </c>
      <c r="K1155" s="30">
        <v>5442.75</v>
      </c>
      <c r="L1155" t="s">
        <v>71</v>
      </c>
      <c r="M1155" s="31" t="str">
        <f t="shared" si="56"/>
        <v>OK</v>
      </c>
    </row>
    <row r="1156" spans="1:13">
      <c r="A1156" t="s">
        <v>1362</v>
      </c>
      <c r="B1156" s="1">
        <v>46001</v>
      </c>
      <c r="C1156" t="s">
        <v>117</v>
      </c>
      <c r="D1156" t="s">
        <v>12</v>
      </c>
      <c r="E1156" t="s">
        <v>36</v>
      </c>
      <c r="F1156" t="s">
        <v>42</v>
      </c>
      <c r="G1156">
        <v>0</v>
      </c>
      <c r="H1156" s="32" t="str">
        <f t="shared" si="54"/>
        <v>Zero Quantity</v>
      </c>
      <c r="I1156" s="30">
        <v>5226.01</v>
      </c>
      <c r="J1156" s="33" t="str">
        <f t="shared" si="55"/>
        <v>OK</v>
      </c>
      <c r="K1156" s="30">
        <v>3537.74</v>
      </c>
      <c r="L1156" t="s">
        <v>22</v>
      </c>
      <c r="M1156" s="31" t="str">
        <f t="shared" si="56"/>
        <v>OK</v>
      </c>
    </row>
    <row r="1157" spans="1:13">
      <c r="A1157" t="s">
        <v>1218</v>
      </c>
      <c r="B1157" s="1">
        <v>46002</v>
      </c>
      <c r="C1157" t="s">
        <v>24</v>
      </c>
      <c r="D1157" t="s">
        <v>31</v>
      </c>
      <c r="E1157" t="s">
        <v>82</v>
      </c>
      <c r="F1157" t="s">
        <v>150</v>
      </c>
      <c r="G1157">
        <v>3</v>
      </c>
      <c r="H1157" s="32" t="str">
        <f t="shared" si="54"/>
        <v>OK</v>
      </c>
      <c r="I1157" s="30">
        <v>2467.0300000000002</v>
      </c>
      <c r="J1157" s="33" t="str">
        <f t="shared" si="55"/>
        <v>OK</v>
      </c>
      <c r="K1157" s="30">
        <v>1551.09</v>
      </c>
      <c r="L1157" t="s">
        <v>16</v>
      </c>
      <c r="M1157" s="31" t="str">
        <f t="shared" si="56"/>
        <v>OK</v>
      </c>
    </row>
    <row r="1158" spans="1:13">
      <c r="A1158" t="s">
        <v>1448</v>
      </c>
      <c r="B1158" s="1">
        <v>46002</v>
      </c>
      <c r="C1158" t="s">
        <v>48</v>
      </c>
      <c r="D1158" t="s">
        <v>19</v>
      </c>
      <c r="E1158" t="s">
        <v>32</v>
      </c>
      <c r="F1158" t="s">
        <v>33</v>
      </c>
      <c r="G1158">
        <v>6</v>
      </c>
      <c r="H1158" s="32" t="str">
        <f t="shared" si="54"/>
        <v>OK</v>
      </c>
      <c r="I1158" s="30">
        <v>2030.74</v>
      </c>
      <c r="J1158" s="33" t="str">
        <f t="shared" si="55"/>
        <v>OK</v>
      </c>
      <c r="K1158" s="30">
        <v>1652.86</v>
      </c>
      <c r="L1158" t="s">
        <v>71</v>
      </c>
      <c r="M1158" s="31" t="str">
        <f t="shared" si="56"/>
        <v>OK</v>
      </c>
    </row>
    <row r="1159" spans="1:13">
      <c r="A1159" t="s">
        <v>296</v>
      </c>
      <c r="B1159" s="1">
        <v>46004</v>
      </c>
      <c r="C1159" t="s">
        <v>121</v>
      </c>
      <c r="D1159" t="s">
        <v>12</v>
      </c>
      <c r="E1159" t="s">
        <v>20</v>
      </c>
      <c r="F1159" t="s">
        <v>21</v>
      </c>
      <c r="G1159">
        <v>6</v>
      </c>
      <c r="H1159" s="32" t="str">
        <f t="shared" si="54"/>
        <v>OK</v>
      </c>
      <c r="I1159" s="30">
        <v>5765.65</v>
      </c>
      <c r="J1159" s="33" t="str">
        <f t="shared" si="55"/>
        <v>OK</v>
      </c>
      <c r="K1159" s="30">
        <v>3192.32</v>
      </c>
      <c r="L1159" t="s">
        <v>38</v>
      </c>
      <c r="M1159" s="31" t="str">
        <f t="shared" si="56"/>
        <v>OK</v>
      </c>
    </row>
    <row r="1160" spans="1:13">
      <c r="A1160" t="s">
        <v>1113</v>
      </c>
      <c r="B1160" s="1">
        <v>46004</v>
      </c>
      <c r="C1160" t="s">
        <v>24</v>
      </c>
      <c r="D1160" t="s">
        <v>12</v>
      </c>
      <c r="E1160" t="s">
        <v>20</v>
      </c>
      <c r="F1160" t="s">
        <v>191</v>
      </c>
      <c r="G1160">
        <v>2</v>
      </c>
      <c r="H1160" s="32" t="str">
        <f t="shared" si="54"/>
        <v>OK</v>
      </c>
      <c r="I1160" s="30">
        <v>5380.52</v>
      </c>
      <c r="J1160" s="33" t="str">
        <f t="shared" si="55"/>
        <v>OK</v>
      </c>
      <c r="K1160" s="30">
        <v>3005.38</v>
      </c>
      <c r="L1160" t="s">
        <v>16</v>
      </c>
      <c r="M1160" s="31" t="str">
        <f t="shared" si="56"/>
        <v>OK</v>
      </c>
    </row>
    <row r="1161" spans="1:13">
      <c r="A1161" t="s">
        <v>1152</v>
      </c>
      <c r="B1161" s="1">
        <v>46004</v>
      </c>
      <c r="C1161" t="s">
        <v>129</v>
      </c>
      <c r="D1161" t="s">
        <v>31</v>
      </c>
      <c r="E1161" t="s">
        <v>82</v>
      </c>
      <c r="F1161" t="s">
        <v>97</v>
      </c>
      <c r="G1161">
        <v>3</v>
      </c>
      <c r="H1161" s="32" t="str">
        <f t="shared" si="54"/>
        <v>OK</v>
      </c>
      <c r="I1161" s="30">
        <v>1193.8599999999999</v>
      </c>
      <c r="J1161" s="33" t="str">
        <f t="shared" si="55"/>
        <v>OK</v>
      </c>
      <c r="K1161" s="30">
        <v>954.94</v>
      </c>
      <c r="L1161" t="s">
        <v>71</v>
      </c>
      <c r="M1161" s="31" t="str">
        <f t="shared" si="56"/>
        <v>OK</v>
      </c>
    </row>
    <row r="1162" spans="1:13">
      <c r="A1162" t="s">
        <v>242</v>
      </c>
      <c r="B1162" s="1">
        <v>46005</v>
      </c>
      <c r="C1162" t="s">
        <v>56</v>
      </c>
      <c r="D1162" t="s">
        <v>12</v>
      </c>
      <c r="E1162" t="s">
        <v>82</v>
      </c>
      <c r="F1162" t="s">
        <v>109</v>
      </c>
      <c r="G1162">
        <v>8</v>
      </c>
      <c r="H1162" s="32" t="str">
        <f t="shared" si="54"/>
        <v>OK</v>
      </c>
      <c r="I1162" s="30">
        <v>6662.24</v>
      </c>
      <c r="J1162" s="33" t="str">
        <f t="shared" si="55"/>
        <v>OK</v>
      </c>
      <c r="K1162" s="30">
        <v>4482.12</v>
      </c>
      <c r="L1162" t="s">
        <v>16</v>
      </c>
      <c r="M1162" s="31" t="str">
        <f t="shared" si="56"/>
        <v>OK</v>
      </c>
    </row>
    <row r="1163" spans="1:13">
      <c r="A1163" t="s">
        <v>748</v>
      </c>
      <c r="B1163" s="1">
        <v>46005</v>
      </c>
      <c r="C1163" t="s">
        <v>74</v>
      </c>
      <c r="D1163" t="s">
        <v>63</v>
      </c>
      <c r="E1163" t="s">
        <v>20</v>
      </c>
      <c r="F1163" t="s">
        <v>21</v>
      </c>
      <c r="G1163">
        <v>7</v>
      </c>
      <c r="H1163" s="32" t="str">
        <f t="shared" si="54"/>
        <v>OK</v>
      </c>
      <c r="I1163" s="30">
        <v>3122.74</v>
      </c>
      <c r="J1163" s="33" t="str">
        <f t="shared" si="55"/>
        <v>OK</v>
      </c>
      <c r="K1163" s="30">
        <v>1848.97</v>
      </c>
      <c r="L1163" t="s">
        <v>16</v>
      </c>
      <c r="M1163" s="31" t="str">
        <f t="shared" si="56"/>
        <v>OK</v>
      </c>
    </row>
    <row r="1164" spans="1:13">
      <c r="A1164" t="s">
        <v>1073</v>
      </c>
      <c r="B1164" s="1">
        <v>46005</v>
      </c>
      <c r="C1164" t="s">
        <v>121</v>
      </c>
      <c r="D1164" t="s">
        <v>31</v>
      </c>
      <c r="E1164" t="s">
        <v>26</v>
      </c>
      <c r="F1164" t="s">
        <v>79</v>
      </c>
      <c r="G1164">
        <v>2</v>
      </c>
      <c r="H1164" s="32" t="str">
        <f t="shared" si="54"/>
        <v>OK</v>
      </c>
      <c r="I1164" s="30">
        <v>690.66</v>
      </c>
      <c r="J1164" s="33" t="str">
        <f t="shared" si="55"/>
        <v>OK</v>
      </c>
      <c r="K1164" s="30">
        <v>550.82000000000005</v>
      </c>
      <c r="L1164" t="s">
        <v>28</v>
      </c>
      <c r="M1164" s="31" t="str">
        <f t="shared" si="56"/>
        <v>OK</v>
      </c>
    </row>
    <row r="1165" spans="1:13">
      <c r="A1165" t="s">
        <v>1188</v>
      </c>
      <c r="B1165" s="1">
        <v>46005</v>
      </c>
      <c r="C1165" t="s">
        <v>40</v>
      </c>
      <c r="D1165" t="s">
        <v>19</v>
      </c>
      <c r="E1165" t="s">
        <v>32</v>
      </c>
      <c r="F1165" t="s">
        <v>33</v>
      </c>
      <c r="G1165">
        <v>6</v>
      </c>
      <c r="H1165" s="32" t="str">
        <f t="shared" si="54"/>
        <v>OK</v>
      </c>
      <c r="I1165" s="30">
        <v>2412.0500000000002</v>
      </c>
      <c r="J1165" s="33" t="str">
        <f t="shared" si="55"/>
        <v>OK</v>
      </c>
      <c r="K1165" s="30">
        <v>1870.18</v>
      </c>
      <c r="L1165" t="s">
        <v>16</v>
      </c>
      <c r="M1165" s="31" t="str">
        <f t="shared" si="56"/>
        <v>OK</v>
      </c>
    </row>
    <row r="1166" spans="1:13">
      <c r="A1166" t="s">
        <v>1209</v>
      </c>
      <c r="B1166" s="1">
        <v>46005</v>
      </c>
      <c r="C1166" t="s">
        <v>56</v>
      </c>
      <c r="D1166" t="s">
        <v>12</v>
      </c>
      <c r="E1166" t="s">
        <v>20</v>
      </c>
      <c r="F1166" t="s">
        <v>91</v>
      </c>
      <c r="G1166">
        <v>7</v>
      </c>
      <c r="H1166" s="32" t="str">
        <f t="shared" si="54"/>
        <v>OK</v>
      </c>
      <c r="I1166" s="30">
        <v>3557.18</v>
      </c>
      <c r="J1166" s="33" t="str">
        <f t="shared" si="55"/>
        <v>OK</v>
      </c>
      <c r="K1166" s="30">
        <v>2011.48</v>
      </c>
      <c r="L1166" t="s">
        <v>22</v>
      </c>
      <c r="M1166" s="31" t="str">
        <f t="shared" si="56"/>
        <v>OK</v>
      </c>
    </row>
    <row r="1167" spans="1:13">
      <c r="A1167" t="s">
        <v>1212</v>
      </c>
      <c r="B1167" s="1">
        <v>46005</v>
      </c>
      <c r="C1167" t="s">
        <v>135</v>
      </c>
      <c r="D1167" t="s">
        <v>57</v>
      </c>
      <c r="E1167" t="s">
        <v>32</v>
      </c>
      <c r="F1167" t="s">
        <v>33</v>
      </c>
      <c r="G1167">
        <v>3</v>
      </c>
      <c r="H1167" s="32" t="str">
        <f t="shared" si="54"/>
        <v>OK</v>
      </c>
      <c r="I1167" s="30">
        <v>2329.77</v>
      </c>
      <c r="J1167" s="33" t="str">
        <f t="shared" si="55"/>
        <v>OK</v>
      </c>
      <c r="K1167" s="30">
        <v>1355.22</v>
      </c>
      <c r="L1167" t="s">
        <v>28</v>
      </c>
      <c r="M1167" s="31" t="str">
        <f t="shared" si="56"/>
        <v>OK</v>
      </c>
    </row>
    <row r="1168" spans="1:13">
      <c r="A1168" t="s">
        <v>1255</v>
      </c>
      <c r="B1168" s="1">
        <v>46005</v>
      </c>
      <c r="C1168" t="s">
        <v>40</v>
      </c>
      <c r="D1168" t="s">
        <v>63</v>
      </c>
      <c r="E1168" t="s">
        <v>26</v>
      </c>
      <c r="F1168" t="s">
        <v>131</v>
      </c>
      <c r="G1168">
        <v>7</v>
      </c>
      <c r="H1168" s="32" t="str">
        <f t="shared" si="54"/>
        <v>OK</v>
      </c>
      <c r="I1168" s="30">
        <v>2603.59</v>
      </c>
      <c r="J1168" s="33" t="str">
        <f t="shared" si="55"/>
        <v>OK</v>
      </c>
      <c r="K1168" s="30">
        <v>2154.12</v>
      </c>
      <c r="L1168" t="s">
        <v>71</v>
      </c>
      <c r="M1168" s="31" t="str">
        <f t="shared" si="56"/>
        <v>OK</v>
      </c>
    </row>
    <row r="1169" spans="1:13">
      <c r="A1169" t="s">
        <v>201</v>
      </c>
      <c r="B1169" s="1">
        <v>46006</v>
      </c>
      <c r="C1169" t="s">
        <v>162</v>
      </c>
      <c r="D1169" t="s">
        <v>57</v>
      </c>
      <c r="E1169" t="s">
        <v>26</v>
      </c>
      <c r="F1169" t="s">
        <v>106</v>
      </c>
      <c r="G1169">
        <v>8</v>
      </c>
      <c r="H1169" s="32" t="str">
        <f t="shared" si="54"/>
        <v>OK</v>
      </c>
      <c r="I1169" s="30">
        <v>3163.7</v>
      </c>
      <c r="J1169" s="33" t="str">
        <f t="shared" si="55"/>
        <v>OK</v>
      </c>
      <c r="K1169" s="30">
        <v>2640.01</v>
      </c>
      <c r="L1169" t="s">
        <v>28</v>
      </c>
      <c r="M1169" s="31" t="str">
        <f t="shared" si="56"/>
        <v>OK</v>
      </c>
    </row>
    <row r="1170" spans="1:13">
      <c r="A1170" t="s">
        <v>244</v>
      </c>
      <c r="B1170" s="1">
        <v>46006</v>
      </c>
      <c r="C1170" t="s">
        <v>220</v>
      </c>
      <c r="D1170" t="s">
        <v>31</v>
      </c>
      <c r="E1170" t="s">
        <v>82</v>
      </c>
      <c r="F1170" t="s">
        <v>83</v>
      </c>
      <c r="H1170" s="32" t="str">
        <f t="shared" si="54"/>
        <v>Blank</v>
      </c>
      <c r="I1170" s="30">
        <v>6104.03</v>
      </c>
      <c r="J1170" s="33" t="str">
        <f t="shared" si="55"/>
        <v>OK</v>
      </c>
      <c r="K1170" s="30">
        <v>4620.6400000000003</v>
      </c>
      <c r="L1170" t="s">
        <v>71</v>
      </c>
      <c r="M1170" s="31" t="str">
        <f t="shared" si="56"/>
        <v>OK</v>
      </c>
    </row>
    <row r="1171" spans="1:13">
      <c r="A1171" t="s">
        <v>571</v>
      </c>
      <c r="B1171" s="1">
        <v>46006</v>
      </c>
      <c r="C1171" t="s">
        <v>40</v>
      </c>
      <c r="D1171" t="s">
        <v>57</v>
      </c>
      <c r="E1171" t="s">
        <v>36</v>
      </c>
      <c r="F1171" t="s">
        <v>1614</v>
      </c>
      <c r="G1171">
        <v>6</v>
      </c>
      <c r="H1171" s="32" t="str">
        <f t="shared" si="54"/>
        <v>OK</v>
      </c>
      <c r="I1171" s="30">
        <v>4174.8500000000004</v>
      </c>
      <c r="J1171" s="33" t="str">
        <f t="shared" si="55"/>
        <v>OK</v>
      </c>
      <c r="K1171" s="30">
        <v>3420.76</v>
      </c>
      <c r="L1171" t="s">
        <v>22</v>
      </c>
      <c r="M1171" s="31" t="str">
        <f t="shared" si="56"/>
        <v>OK</v>
      </c>
    </row>
    <row r="1172" spans="1:13">
      <c r="A1172" t="s">
        <v>675</v>
      </c>
      <c r="B1172" s="1">
        <v>46006</v>
      </c>
      <c r="C1172" t="s">
        <v>108</v>
      </c>
      <c r="D1172" t="s">
        <v>31</v>
      </c>
      <c r="E1172" t="s">
        <v>32</v>
      </c>
      <c r="F1172" t="s">
        <v>180</v>
      </c>
      <c r="G1172">
        <v>4</v>
      </c>
      <c r="H1172" s="32" t="str">
        <f t="shared" si="54"/>
        <v>OK</v>
      </c>
      <c r="I1172" s="30">
        <v>1848.91</v>
      </c>
      <c r="J1172" s="33" t="str">
        <f t="shared" si="55"/>
        <v>OK</v>
      </c>
      <c r="K1172" s="30">
        <v>1315.15</v>
      </c>
      <c r="L1172" t="s">
        <v>38</v>
      </c>
      <c r="M1172" s="31" t="str">
        <f t="shared" si="56"/>
        <v>OK</v>
      </c>
    </row>
    <row r="1173" spans="1:13">
      <c r="A1173" t="s">
        <v>691</v>
      </c>
      <c r="B1173" s="1">
        <v>46006</v>
      </c>
      <c r="C1173" t="s">
        <v>129</v>
      </c>
      <c r="D1173" t="s">
        <v>19</v>
      </c>
      <c r="E1173" t="s">
        <v>82</v>
      </c>
      <c r="F1173" t="s">
        <v>150</v>
      </c>
      <c r="G1173">
        <v>2</v>
      </c>
      <c r="H1173" s="32" t="str">
        <f t="shared" si="54"/>
        <v>OK</v>
      </c>
      <c r="I1173" s="30">
        <v>4899.29</v>
      </c>
      <c r="J1173" s="33" t="str">
        <f t="shared" si="55"/>
        <v>OK</v>
      </c>
      <c r="K1173" s="30">
        <v>3562.76</v>
      </c>
      <c r="L1173" t="s">
        <v>22</v>
      </c>
      <c r="M1173" s="31" t="str">
        <f t="shared" si="56"/>
        <v>OK</v>
      </c>
    </row>
    <row r="1174" spans="1:13">
      <c r="A1174" t="s">
        <v>1302</v>
      </c>
      <c r="B1174" s="1">
        <v>46006</v>
      </c>
      <c r="C1174" t="s">
        <v>220</v>
      </c>
      <c r="D1174" t="s">
        <v>31</v>
      </c>
      <c r="E1174" t="s">
        <v>20</v>
      </c>
      <c r="F1174" t="s">
        <v>86</v>
      </c>
      <c r="G1174">
        <v>2</v>
      </c>
      <c r="H1174" s="32" t="str">
        <f t="shared" si="54"/>
        <v>OK</v>
      </c>
      <c r="I1174" s="30">
        <v>3390.29</v>
      </c>
      <c r="J1174" s="33" t="str">
        <f t="shared" si="55"/>
        <v>OK</v>
      </c>
      <c r="K1174" s="30">
        <v>2455.58</v>
      </c>
      <c r="L1174" t="s">
        <v>22</v>
      </c>
      <c r="M1174" s="31" t="str">
        <f t="shared" si="56"/>
        <v>OK</v>
      </c>
    </row>
    <row r="1175" spans="1:13">
      <c r="A1175" t="s">
        <v>17</v>
      </c>
      <c r="B1175" s="1">
        <v>46007</v>
      </c>
      <c r="C1175" t="s">
        <v>18</v>
      </c>
      <c r="D1175" t="s">
        <v>19</v>
      </c>
      <c r="E1175" t="s">
        <v>20</v>
      </c>
      <c r="F1175" t="s">
        <v>21</v>
      </c>
      <c r="G1175">
        <v>5</v>
      </c>
      <c r="H1175" s="32" t="str">
        <f t="shared" si="54"/>
        <v>OK</v>
      </c>
      <c r="I1175" s="30">
        <v>1305.3599999999999</v>
      </c>
      <c r="J1175" s="33" t="str">
        <f t="shared" si="55"/>
        <v>OK</v>
      </c>
      <c r="K1175" s="30">
        <v>744.67</v>
      </c>
      <c r="L1175" t="s">
        <v>22</v>
      </c>
      <c r="M1175" s="31" t="str">
        <f t="shared" si="56"/>
        <v>OK</v>
      </c>
    </row>
    <row r="1176" spans="1:13">
      <c r="A1176" t="s">
        <v>481</v>
      </c>
      <c r="B1176" s="1">
        <v>46007</v>
      </c>
      <c r="C1176" t="s">
        <v>108</v>
      </c>
      <c r="D1176" t="s">
        <v>63</v>
      </c>
      <c r="E1176" t="s">
        <v>32</v>
      </c>
      <c r="F1176" t="s">
        <v>180</v>
      </c>
      <c r="G1176">
        <v>3</v>
      </c>
      <c r="H1176" s="32" t="str">
        <f t="shared" si="54"/>
        <v>OK</v>
      </c>
      <c r="I1176" s="30">
        <v>1703.13</v>
      </c>
      <c r="J1176" s="33" t="str">
        <f t="shared" si="55"/>
        <v>OK</v>
      </c>
      <c r="K1176" s="30">
        <v>1132.18</v>
      </c>
      <c r="L1176" t="s">
        <v>71</v>
      </c>
      <c r="M1176" s="31" t="str">
        <f t="shared" si="56"/>
        <v>OK</v>
      </c>
    </row>
    <row r="1177" spans="1:13">
      <c r="A1177" t="s">
        <v>530</v>
      </c>
      <c r="B1177" s="1">
        <v>46007</v>
      </c>
      <c r="C1177" t="s">
        <v>70</v>
      </c>
      <c r="D1177" t="s">
        <v>57</v>
      </c>
      <c r="E1177" t="s">
        <v>32</v>
      </c>
      <c r="F1177" t="s">
        <v>180</v>
      </c>
      <c r="G1177">
        <v>6</v>
      </c>
      <c r="H1177" s="32" t="str">
        <f t="shared" si="54"/>
        <v>OK</v>
      </c>
      <c r="I1177" s="30">
        <v>1736.03</v>
      </c>
      <c r="J1177" s="33" t="str">
        <f t="shared" si="55"/>
        <v>OK</v>
      </c>
      <c r="K1177" s="30">
        <v>1361.31</v>
      </c>
      <c r="L1177" t="s">
        <v>38</v>
      </c>
      <c r="M1177" s="31" t="str">
        <f t="shared" si="56"/>
        <v>OK</v>
      </c>
    </row>
    <row r="1178" spans="1:13">
      <c r="A1178" t="s">
        <v>1148</v>
      </c>
      <c r="B1178" s="1">
        <v>46007</v>
      </c>
      <c r="C1178" t="s">
        <v>231</v>
      </c>
      <c r="D1178" t="s">
        <v>12</v>
      </c>
      <c r="E1178" t="s">
        <v>26</v>
      </c>
      <c r="F1178" t="s">
        <v>103</v>
      </c>
      <c r="G1178">
        <v>4</v>
      </c>
      <c r="H1178" s="32" t="str">
        <f t="shared" si="54"/>
        <v>OK</v>
      </c>
      <c r="I1178" s="30">
        <v>2417.5300000000002</v>
      </c>
      <c r="J1178" s="33" t="str">
        <f t="shared" si="55"/>
        <v>OK</v>
      </c>
      <c r="K1178" s="30">
        <v>1611.8</v>
      </c>
      <c r="L1178" t="s">
        <v>38</v>
      </c>
      <c r="M1178" s="31" t="str">
        <f t="shared" si="56"/>
        <v>OK</v>
      </c>
    </row>
    <row r="1179" spans="1:13">
      <c r="A1179" t="s">
        <v>1373</v>
      </c>
      <c r="B1179" s="1">
        <v>46007</v>
      </c>
      <c r="C1179" t="s">
        <v>54</v>
      </c>
      <c r="D1179" t="s">
        <v>63</v>
      </c>
      <c r="E1179" t="s">
        <v>26</v>
      </c>
      <c r="F1179" t="s">
        <v>350</v>
      </c>
      <c r="G1179">
        <v>6</v>
      </c>
      <c r="H1179" s="32" t="str">
        <f t="shared" si="54"/>
        <v>OK</v>
      </c>
      <c r="I1179" s="30">
        <v>3498.2</v>
      </c>
      <c r="J1179" s="33" t="str">
        <f t="shared" si="55"/>
        <v>OK</v>
      </c>
      <c r="K1179" s="30">
        <v>2866.98</v>
      </c>
      <c r="L1179" t="s">
        <v>22</v>
      </c>
      <c r="M1179" s="31" t="str">
        <f t="shared" si="56"/>
        <v>OK</v>
      </c>
    </row>
    <row r="1180" spans="1:13">
      <c r="A1180" t="s">
        <v>1565</v>
      </c>
      <c r="B1180" s="1">
        <v>46007</v>
      </c>
      <c r="C1180" t="s">
        <v>48</v>
      </c>
      <c r="D1180" t="s">
        <v>31</v>
      </c>
      <c r="E1180" t="s">
        <v>32</v>
      </c>
      <c r="F1180" t="s">
        <v>101</v>
      </c>
      <c r="G1180">
        <v>1</v>
      </c>
      <c r="H1180" s="32" t="str">
        <f t="shared" si="54"/>
        <v>OK</v>
      </c>
      <c r="I1180" s="30">
        <v>305.67</v>
      </c>
      <c r="J1180" s="33" t="str">
        <f t="shared" si="55"/>
        <v>OK</v>
      </c>
      <c r="K1180" s="30">
        <v>231.28</v>
      </c>
      <c r="L1180" t="s">
        <v>28</v>
      </c>
      <c r="M1180" s="31" t="str">
        <f t="shared" si="56"/>
        <v>OK</v>
      </c>
    </row>
    <row r="1181" spans="1:13">
      <c r="A1181" t="s">
        <v>1582</v>
      </c>
      <c r="B1181" s="1">
        <v>46007</v>
      </c>
      <c r="C1181" t="s">
        <v>105</v>
      </c>
      <c r="D1181" t="s">
        <v>31</v>
      </c>
      <c r="E1181" t="s">
        <v>20</v>
      </c>
      <c r="F1181" t="s">
        <v>191</v>
      </c>
      <c r="G1181">
        <v>7</v>
      </c>
      <c r="H1181" s="32" t="str">
        <f t="shared" si="54"/>
        <v>OK</v>
      </c>
      <c r="I1181" s="30">
        <v>3110.24</v>
      </c>
      <c r="J1181" s="33" t="str">
        <f t="shared" si="55"/>
        <v>OK</v>
      </c>
      <c r="K1181" s="30">
        <v>1859.61</v>
      </c>
      <c r="L1181" t="s">
        <v>28</v>
      </c>
      <c r="M1181" s="31" t="str">
        <f t="shared" si="56"/>
        <v>OK</v>
      </c>
    </row>
    <row r="1182" spans="1:13">
      <c r="A1182" t="s">
        <v>516</v>
      </c>
      <c r="B1182" s="1">
        <v>46008</v>
      </c>
      <c r="C1182" t="s">
        <v>56</v>
      </c>
      <c r="D1182" t="s">
        <v>57</v>
      </c>
      <c r="E1182" t="s">
        <v>82</v>
      </c>
      <c r="F1182" t="s">
        <v>155</v>
      </c>
      <c r="G1182">
        <v>8</v>
      </c>
      <c r="H1182" s="32" t="str">
        <f t="shared" si="54"/>
        <v>OK</v>
      </c>
      <c r="I1182" s="30">
        <v>2217.91</v>
      </c>
      <c r="J1182" s="33" t="str">
        <f t="shared" si="55"/>
        <v>OK</v>
      </c>
      <c r="K1182" s="30">
        <v>1225.3</v>
      </c>
      <c r="L1182" t="s">
        <v>71</v>
      </c>
      <c r="M1182" s="31" t="str">
        <f t="shared" si="56"/>
        <v>OK</v>
      </c>
    </row>
    <row r="1183" spans="1:13">
      <c r="A1183" t="s">
        <v>884</v>
      </c>
      <c r="B1183" s="1">
        <v>46008</v>
      </c>
      <c r="C1183" t="s">
        <v>121</v>
      </c>
      <c r="D1183" t="s">
        <v>19</v>
      </c>
      <c r="E1183" t="s">
        <v>32</v>
      </c>
      <c r="F1183" t="s">
        <v>1616</v>
      </c>
      <c r="G1183">
        <v>2</v>
      </c>
      <c r="H1183" s="32" t="str">
        <f t="shared" si="54"/>
        <v>OK</v>
      </c>
      <c r="I1183" s="30">
        <v>2436.7399999999998</v>
      </c>
      <c r="J1183" s="33" t="str">
        <f t="shared" si="55"/>
        <v>OK</v>
      </c>
      <c r="K1183" s="30">
        <v>1523.51</v>
      </c>
      <c r="L1183" t="s">
        <v>22</v>
      </c>
      <c r="M1183" s="31" t="str">
        <f t="shared" si="56"/>
        <v>OK</v>
      </c>
    </row>
    <row r="1184" spans="1:13">
      <c r="A1184" t="s">
        <v>1016</v>
      </c>
      <c r="B1184" s="1">
        <v>46008</v>
      </c>
      <c r="C1184" t="s">
        <v>51</v>
      </c>
      <c r="D1184" t="s">
        <v>12</v>
      </c>
      <c r="E1184" t="s">
        <v>20</v>
      </c>
      <c r="F1184" t="s">
        <v>196</v>
      </c>
      <c r="G1184">
        <v>6</v>
      </c>
      <c r="H1184" s="32" t="str">
        <f t="shared" si="54"/>
        <v>OK</v>
      </c>
      <c r="I1184" s="30">
        <v>4897.4399999999996</v>
      </c>
      <c r="J1184" s="33" t="str">
        <f t="shared" si="55"/>
        <v>OK</v>
      </c>
      <c r="K1184" s="30">
        <v>4128.79</v>
      </c>
      <c r="L1184" t="s">
        <v>22</v>
      </c>
      <c r="M1184" s="31" t="str">
        <f t="shared" si="56"/>
        <v>OK</v>
      </c>
    </row>
    <row r="1185" spans="1:13">
      <c r="A1185" t="s">
        <v>1351</v>
      </c>
      <c r="B1185" s="1">
        <v>46008</v>
      </c>
      <c r="C1185" t="s">
        <v>259</v>
      </c>
      <c r="D1185" t="s">
        <v>12</v>
      </c>
      <c r="E1185" t="s">
        <v>82</v>
      </c>
      <c r="F1185" t="s">
        <v>150</v>
      </c>
      <c r="G1185">
        <v>8</v>
      </c>
      <c r="H1185" s="32" t="str">
        <f t="shared" si="54"/>
        <v>OK</v>
      </c>
      <c r="I1185" s="30">
        <v>2720.01</v>
      </c>
      <c r="J1185" s="33" t="str">
        <f t="shared" si="55"/>
        <v>OK</v>
      </c>
      <c r="K1185" s="30">
        <v>2146.9899999999998</v>
      </c>
      <c r="L1185" t="s">
        <v>22</v>
      </c>
      <c r="M1185" s="31" t="str">
        <f t="shared" si="56"/>
        <v>OK</v>
      </c>
    </row>
    <row r="1186" spans="1:13">
      <c r="A1186" t="s">
        <v>1292</v>
      </c>
      <c r="B1186" s="1">
        <v>46009</v>
      </c>
      <c r="C1186" t="s">
        <v>124</v>
      </c>
      <c r="D1186" t="s">
        <v>31</v>
      </c>
      <c r="E1186" t="s">
        <v>36</v>
      </c>
      <c r="F1186" t="s">
        <v>1614</v>
      </c>
      <c r="G1186">
        <v>5</v>
      </c>
      <c r="H1186" s="32" t="str">
        <f t="shared" si="54"/>
        <v>OK</v>
      </c>
      <c r="I1186" s="30">
        <v>11272.28</v>
      </c>
      <c r="J1186" s="33" t="str">
        <f t="shared" si="55"/>
        <v>OK</v>
      </c>
      <c r="K1186" s="30">
        <v>7246.96</v>
      </c>
      <c r="L1186" t="s">
        <v>28</v>
      </c>
      <c r="M1186" s="31" t="str">
        <f t="shared" si="56"/>
        <v>OK</v>
      </c>
    </row>
    <row r="1187" spans="1:13">
      <c r="A1187" t="s">
        <v>1505</v>
      </c>
      <c r="B1187" s="1">
        <v>46009</v>
      </c>
      <c r="C1187" t="s">
        <v>74</v>
      </c>
      <c r="D1187" t="s">
        <v>57</v>
      </c>
      <c r="E1187" t="s">
        <v>32</v>
      </c>
      <c r="F1187" t="s">
        <v>33</v>
      </c>
      <c r="G1187">
        <v>7</v>
      </c>
      <c r="H1187" s="32" t="str">
        <f t="shared" si="54"/>
        <v>OK</v>
      </c>
      <c r="I1187" s="30">
        <v>1954.54</v>
      </c>
      <c r="J1187" s="33" t="str">
        <f t="shared" si="55"/>
        <v>OK</v>
      </c>
      <c r="K1187" s="30">
        <v>1520.38</v>
      </c>
      <c r="L1187" t="s">
        <v>22</v>
      </c>
      <c r="M1187" s="31" t="str">
        <f t="shared" si="56"/>
        <v>OK</v>
      </c>
    </row>
    <row r="1188" spans="1:13">
      <c r="A1188" t="s">
        <v>1558</v>
      </c>
      <c r="B1188" s="1">
        <v>46009</v>
      </c>
      <c r="C1188" t="s">
        <v>74</v>
      </c>
      <c r="D1188" t="s">
        <v>63</v>
      </c>
      <c r="E1188" t="s">
        <v>20</v>
      </c>
      <c r="F1188" t="s">
        <v>91</v>
      </c>
      <c r="G1188">
        <v>3</v>
      </c>
      <c r="H1188" s="32" t="str">
        <f t="shared" si="54"/>
        <v>OK</v>
      </c>
      <c r="I1188" s="30">
        <v>5618.67</v>
      </c>
      <c r="J1188" s="33" t="str">
        <f t="shared" si="55"/>
        <v>OK</v>
      </c>
      <c r="K1188" s="30">
        <v>4067.93</v>
      </c>
      <c r="L1188" t="s">
        <v>38</v>
      </c>
      <c r="M1188" s="31" t="str">
        <f t="shared" si="56"/>
        <v>OK</v>
      </c>
    </row>
    <row r="1189" spans="1:13">
      <c r="A1189" t="s">
        <v>653</v>
      </c>
      <c r="B1189" s="1">
        <v>46010</v>
      </c>
      <c r="C1189" t="s">
        <v>54</v>
      </c>
      <c r="D1189" t="s">
        <v>19</v>
      </c>
      <c r="E1189" t="s">
        <v>26</v>
      </c>
      <c r="F1189" t="s">
        <v>79</v>
      </c>
      <c r="G1189">
        <v>2</v>
      </c>
      <c r="H1189" s="32" t="str">
        <f t="shared" si="54"/>
        <v>OK</v>
      </c>
      <c r="I1189" s="30">
        <v>1138.72</v>
      </c>
      <c r="J1189" s="33" t="str">
        <f t="shared" si="55"/>
        <v>OK</v>
      </c>
      <c r="K1189" s="30">
        <v>944.83</v>
      </c>
      <c r="L1189" t="s">
        <v>38</v>
      </c>
      <c r="M1189" s="31" t="str">
        <f t="shared" si="56"/>
        <v>OK</v>
      </c>
    </row>
    <row r="1190" spans="1:13">
      <c r="A1190" t="s">
        <v>1228</v>
      </c>
      <c r="B1190" s="1">
        <v>46010</v>
      </c>
      <c r="C1190" t="s">
        <v>129</v>
      </c>
      <c r="D1190" t="s">
        <v>12</v>
      </c>
      <c r="E1190" t="s">
        <v>32</v>
      </c>
      <c r="F1190" t="s">
        <v>1616</v>
      </c>
      <c r="G1190">
        <v>6</v>
      </c>
      <c r="H1190" s="32" t="str">
        <f t="shared" si="54"/>
        <v>OK</v>
      </c>
      <c r="I1190" s="30">
        <v>1801.85</v>
      </c>
      <c r="J1190" s="33" t="str">
        <f t="shared" si="55"/>
        <v>OK</v>
      </c>
      <c r="K1190" s="30">
        <v>1378.05</v>
      </c>
      <c r="L1190" t="s">
        <v>28</v>
      </c>
      <c r="M1190" s="31" t="str">
        <f t="shared" si="56"/>
        <v>OK</v>
      </c>
    </row>
    <row r="1191" spans="1:13">
      <c r="A1191" t="s">
        <v>1433</v>
      </c>
      <c r="B1191" s="1">
        <v>46010</v>
      </c>
      <c r="C1191" t="s">
        <v>135</v>
      </c>
      <c r="D1191" t="s">
        <v>57</v>
      </c>
      <c r="E1191" t="s">
        <v>20</v>
      </c>
      <c r="F1191" t="s">
        <v>21</v>
      </c>
      <c r="G1191">
        <v>3</v>
      </c>
      <c r="H1191" s="32" t="str">
        <f t="shared" si="54"/>
        <v>OK</v>
      </c>
      <c r="I1191" s="30">
        <v>2865.35</v>
      </c>
      <c r="J1191" s="33" t="str">
        <f t="shared" si="55"/>
        <v>OK</v>
      </c>
      <c r="K1191" s="30">
        <v>2435.46</v>
      </c>
      <c r="L1191" t="s">
        <v>71</v>
      </c>
      <c r="M1191" s="31" t="str">
        <f t="shared" si="56"/>
        <v>OK</v>
      </c>
    </row>
    <row r="1192" spans="1:13">
      <c r="A1192" t="s">
        <v>1030</v>
      </c>
      <c r="B1192" s="1">
        <v>46011</v>
      </c>
      <c r="C1192" t="s">
        <v>35</v>
      </c>
      <c r="D1192" t="s">
        <v>12</v>
      </c>
      <c r="E1192" t="s">
        <v>36</v>
      </c>
      <c r="F1192" t="s">
        <v>93</v>
      </c>
      <c r="G1192">
        <v>5</v>
      </c>
      <c r="H1192" s="32" t="str">
        <f t="shared" si="54"/>
        <v>OK</v>
      </c>
      <c r="I1192" s="30">
        <v>8492.17</v>
      </c>
      <c r="J1192" s="33" t="str">
        <f t="shared" si="55"/>
        <v>OK</v>
      </c>
      <c r="K1192" s="30">
        <v>6347.11</v>
      </c>
      <c r="L1192" t="s">
        <v>16</v>
      </c>
      <c r="M1192" s="31" t="str">
        <f t="shared" si="56"/>
        <v>OK</v>
      </c>
    </row>
    <row r="1193" spans="1:13">
      <c r="A1193" t="s">
        <v>1469</v>
      </c>
      <c r="B1193" s="1">
        <v>46011</v>
      </c>
      <c r="C1193" t="s">
        <v>119</v>
      </c>
      <c r="D1193" t="s">
        <v>57</v>
      </c>
      <c r="E1193" t="s">
        <v>82</v>
      </c>
      <c r="F1193" t="s">
        <v>97</v>
      </c>
      <c r="G1193">
        <v>2</v>
      </c>
      <c r="H1193" s="32" t="str">
        <f t="shared" si="54"/>
        <v>OK</v>
      </c>
      <c r="I1193" s="30">
        <v>3154.49</v>
      </c>
      <c r="J1193" s="33" t="str">
        <f t="shared" si="55"/>
        <v>OK</v>
      </c>
      <c r="K1193" s="30">
        <v>2688.54</v>
      </c>
      <c r="L1193" t="s">
        <v>16</v>
      </c>
      <c r="M1193" s="31" t="str">
        <f t="shared" si="56"/>
        <v>OK</v>
      </c>
    </row>
    <row r="1194" spans="1:13">
      <c r="A1194" t="s">
        <v>216</v>
      </c>
      <c r="B1194" s="1">
        <v>46012</v>
      </c>
      <c r="C1194" t="s">
        <v>24</v>
      </c>
      <c r="D1194" t="s">
        <v>31</v>
      </c>
      <c r="E1194" t="s">
        <v>32</v>
      </c>
      <c r="F1194" t="s">
        <v>180</v>
      </c>
      <c r="G1194">
        <v>6</v>
      </c>
      <c r="H1194" s="32" t="str">
        <f t="shared" si="54"/>
        <v>OK</v>
      </c>
      <c r="I1194" s="30">
        <v>2205.46</v>
      </c>
      <c r="J1194" s="33" t="str">
        <f t="shared" si="55"/>
        <v>OK</v>
      </c>
      <c r="K1194" s="30">
        <v>1891.15</v>
      </c>
      <c r="L1194" t="s">
        <v>38</v>
      </c>
      <c r="M1194" s="31" t="str">
        <f t="shared" si="56"/>
        <v>OK</v>
      </c>
    </row>
    <row r="1195" spans="1:13">
      <c r="A1195" t="s">
        <v>813</v>
      </c>
      <c r="B1195" s="1">
        <v>46012</v>
      </c>
      <c r="C1195" t="s">
        <v>175</v>
      </c>
      <c r="D1195" t="s">
        <v>57</v>
      </c>
      <c r="E1195" t="s">
        <v>32</v>
      </c>
      <c r="F1195" t="s">
        <v>101</v>
      </c>
      <c r="G1195">
        <v>2</v>
      </c>
      <c r="H1195" s="32" t="str">
        <f t="shared" si="54"/>
        <v>OK</v>
      </c>
      <c r="I1195" s="30">
        <v>2083.62</v>
      </c>
      <c r="J1195" s="33" t="str">
        <f t="shared" si="55"/>
        <v>OK</v>
      </c>
      <c r="K1195" s="30">
        <v>1693.08</v>
      </c>
      <c r="L1195" t="s">
        <v>28</v>
      </c>
      <c r="M1195" s="31" t="str">
        <f t="shared" si="56"/>
        <v>OK</v>
      </c>
    </row>
    <row r="1196" spans="1:13">
      <c r="A1196" t="s">
        <v>640</v>
      </c>
      <c r="B1196" s="1">
        <v>46012</v>
      </c>
      <c r="C1196" t="s">
        <v>67</v>
      </c>
      <c r="D1196" t="s">
        <v>19</v>
      </c>
      <c r="E1196" t="s">
        <v>20</v>
      </c>
      <c r="F1196" t="s">
        <v>191</v>
      </c>
      <c r="G1196">
        <v>4</v>
      </c>
      <c r="H1196" s="32" t="str">
        <f t="shared" si="54"/>
        <v>OK</v>
      </c>
      <c r="I1196" s="30">
        <v>2184.13</v>
      </c>
      <c r="J1196" s="33" t="str">
        <f t="shared" si="55"/>
        <v>OK</v>
      </c>
      <c r="K1196" s="30">
        <v>1620.44</v>
      </c>
      <c r="L1196" t="s">
        <v>28</v>
      </c>
      <c r="M1196" s="31" t="str">
        <f t="shared" si="56"/>
        <v>OK</v>
      </c>
    </row>
    <row r="1197" spans="1:13">
      <c r="A1197" t="s">
        <v>776</v>
      </c>
      <c r="B1197" s="1">
        <v>46012</v>
      </c>
      <c r="C1197" t="s">
        <v>35</v>
      </c>
      <c r="D1197" t="s">
        <v>63</v>
      </c>
      <c r="E1197" t="s">
        <v>26</v>
      </c>
      <c r="F1197" t="s">
        <v>106</v>
      </c>
      <c r="G1197">
        <v>6</v>
      </c>
      <c r="H1197" s="32" t="str">
        <f t="shared" si="54"/>
        <v>OK</v>
      </c>
      <c r="I1197" s="30">
        <v>1086.3399999999999</v>
      </c>
      <c r="J1197" s="33" t="str">
        <f t="shared" si="55"/>
        <v>OK</v>
      </c>
      <c r="K1197" s="30">
        <v>877.37</v>
      </c>
      <c r="L1197" t="s">
        <v>22</v>
      </c>
      <c r="M1197" s="31" t="str">
        <f t="shared" si="56"/>
        <v>OK</v>
      </c>
    </row>
    <row r="1198" spans="1:13">
      <c r="A1198" t="s">
        <v>1005</v>
      </c>
      <c r="B1198" s="1">
        <v>46012</v>
      </c>
      <c r="C1198" t="s">
        <v>162</v>
      </c>
      <c r="D1198" t="s">
        <v>19</v>
      </c>
      <c r="E1198" t="s">
        <v>26</v>
      </c>
      <c r="F1198" t="s">
        <v>79</v>
      </c>
      <c r="G1198">
        <v>7</v>
      </c>
      <c r="H1198" s="32" t="str">
        <f t="shared" si="54"/>
        <v>OK</v>
      </c>
      <c r="I1198" s="30">
        <v>2361.9699999999998</v>
      </c>
      <c r="J1198" s="33" t="str">
        <f t="shared" si="55"/>
        <v>OK</v>
      </c>
      <c r="K1198" s="30">
        <v>1962.99</v>
      </c>
      <c r="L1198" t="s">
        <v>38</v>
      </c>
      <c r="M1198" s="31" t="str">
        <f t="shared" si="56"/>
        <v>OK</v>
      </c>
    </row>
    <row r="1199" spans="1:13">
      <c r="A1199" t="s">
        <v>324</v>
      </c>
      <c r="B1199" s="1">
        <v>46013</v>
      </c>
      <c r="C1199" t="s">
        <v>48</v>
      </c>
      <c r="D1199" t="s">
        <v>19</v>
      </c>
      <c r="E1199" t="s">
        <v>26</v>
      </c>
      <c r="F1199" t="s">
        <v>79</v>
      </c>
      <c r="G1199">
        <v>4</v>
      </c>
      <c r="H1199" s="32" t="str">
        <f t="shared" si="54"/>
        <v>OK</v>
      </c>
      <c r="I1199" s="30">
        <v>1806.78</v>
      </c>
      <c r="J1199" s="33" t="str">
        <f t="shared" si="55"/>
        <v>OK</v>
      </c>
      <c r="K1199" s="30">
        <v>1099.6400000000001</v>
      </c>
      <c r="L1199" t="s">
        <v>28</v>
      </c>
      <c r="M1199" s="31" t="str">
        <f t="shared" si="56"/>
        <v>OK</v>
      </c>
    </row>
    <row r="1200" spans="1:13">
      <c r="A1200" t="s">
        <v>328</v>
      </c>
      <c r="B1200" s="1">
        <v>46013</v>
      </c>
      <c r="C1200" t="s">
        <v>115</v>
      </c>
      <c r="D1200" t="s">
        <v>57</v>
      </c>
      <c r="E1200" t="s">
        <v>32</v>
      </c>
      <c r="F1200" t="s">
        <v>33</v>
      </c>
      <c r="G1200">
        <v>2</v>
      </c>
      <c r="H1200" s="32" t="str">
        <f t="shared" si="54"/>
        <v>OK</v>
      </c>
      <c r="I1200" s="30">
        <v>1905.29</v>
      </c>
      <c r="J1200" s="33" t="str">
        <f t="shared" si="55"/>
        <v>OK</v>
      </c>
      <c r="K1200" s="30">
        <v>1609.02</v>
      </c>
      <c r="L1200" t="s">
        <v>71</v>
      </c>
      <c r="M1200" s="31" t="str">
        <f t="shared" si="56"/>
        <v>OK</v>
      </c>
    </row>
    <row r="1201" spans="1:13">
      <c r="A1201" t="s">
        <v>1266</v>
      </c>
      <c r="B1201" s="1">
        <v>46013</v>
      </c>
      <c r="C1201" t="s">
        <v>162</v>
      </c>
      <c r="D1201" t="s">
        <v>12</v>
      </c>
      <c r="E1201" t="s">
        <v>20</v>
      </c>
      <c r="F1201" t="s">
        <v>86</v>
      </c>
      <c r="G1201">
        <v>1</v>
      </c>
      <c r="H1201" s="32" t="str">
        <f t="shared" si="54"/>
        <v>OK</v>
      </c>
      <c r="I1201" s="30">
        <v>2156.14</v>
      </c>
      <c r="J1201" s="33" t="str">
        <f t="shared" si="55"/>
        <v>OK</v>
      </c>
      <c r="K1201" s="30">
        <v>1656.67</v>
      </c>
      <c r="L1201" t="s">
        <v>38</v>
      </c>
      <c r="M1201" s="31" t="str">
        <f t="shared" si="56"/>
        <v>OK</v>
      </c>
    </row>
    <row r="1202" spans="1:13">
      <c r="A1202" t="s">
        <v>1273</v>
      </c>
      <c r="B1202" s="1">
        <v>46013</v>
      </c>
      <c r="C1202" t="s">
        <v>121</v>
      </c>
      <c r="D1202" t="s">
        <v>12</v>
      </c>
      <c r="E1202" t="s">
        <v>82</v>
      </c>
      <c r="F1202" t="s">
        <v>150</v>
      </c>
      <c r="G1202">
        <v>4</v>
      </c>
      <c r="H1202" s="32" t="str">
        <f t="shared" si="54"/>
        <v>OK</v>
      </c>
      <c r="I1202" s="30">
        <v>5288.72</v>
      </c>
      <c r="J1202" s="33" t="str">
        <f t="shared" si="55"/>
        <v>OK</v>
      </c>
      <c r="K1202" s="30">
        <v>3602.53</v>
      </c>
      <c r="L1202" t="s">
        <v>38</v>
      </c>
      <c r="M1202" s="31" t="str">
        <f t="shared" si="56"/>
        <v>OK</v>
      </c>
    </row>
    <row r="1203" spans="1:13">
      <c r="A1203" t="s">
        <v>142</v>
      </c>
      <c r="B1203" s="1">
        <v>46014</v>
      </c>
      <c r="C1203" t="s">
        <v>59</v>
      </c>
      <c r="D1203" t="s">
        <v>12</v>
      </c>
      <c r="E1203" t="s">
        <v>26</v>
      </c>
      <c r="F1203" t="s">
        <v>131</v>
      </c>
      <c r="G1203">
        <v>1</v>
      </c>
      <c r="H1203" s="32" t="str">
        <f t="shared" si="54"/>
        <v>OK</v>
      </c>
      <c r="I1203" s="30">
        <v>948.82</v>
      </c>
      <c r="J1203" s="33" t="str">
        <f t="shared" si="55"/>
        <v>OK</v>
      </c>
      <c r="K1203" s="30">
        <v>790.05</v>
      </c>
      <c r="L1203" t="s">
        <v>71</v>
      </c>
      <c r="M1203" s="31" t="str">
        <f t="shared" si="56"/>
        <v>OK</v>
      </c>
    </row>
    <row r="1204" spans="1:13">
      <c r="A1204" t="s">
        <v>253</v>
      </c>
      <c r="B1204" s="1">
        <v>46014</v>
      </c>
      <c r="C1204" t="s">
        <v>56</v>
      </c>
      <c r="D1204" t="s">
        <v>12</v>
      </c>
      <c r="E1204" t="s">
        <v>20</v>
      </c>
      <c r="F1204" t="s">
        <v>14</v>
      </c>
      <c r="G1204">
        <v>5</v>
      </c>
      <c r="H1204" s="32" t="str">
        <f t="shared" si="54"/>
        <v>OK</v>
      </c>
      <c r="I1204" s="30">
        <v>5176.6099999999997</v>
      </c>
      <c r="J1204" s="33" t="str">
        <f t="shared" si="55"/>
        <v>OK</v>
      </c>
      <c r="K1204" s="30">
        <v>3872.81</v>
      </c>
      <c r="L1204" t="s">
        <v>16</v>
      </c>
      <c r="M1204" s="31" t="str">
        <f t="shared" si="56"/>
        <v>OK</v>
      </c>
    </row>
    <row r="1205" spans="1:13">
      <c r="A1205" t="s">
        <v>587</v>
      </c>
      <c r="B1205" s="1">
        <v>46014</v>
      </c>
      <c r="C1205" t="s">
        <v>135</v>
      </c>
      <c r="D1205" t="s">
        <v>63</v>
      </c>
      <c r="E1205" t="s">
        <v>36</v>
      </c>
      <c r="F1205" t="s">
        <v>37</v>
      </c>
      <c r="G1205">
        <v>6</v>
      </c>
      <c r="H1205" s="32" t="str">
        <f t="shared" si="54"/>
        <v>OK</v>
      </c>
      <c r="I1205" s="30">
        <v>14872.56</v>
      </c>
      <c r="J1205" s="33" t="str">
        <f t="shared" si="55"/>
        <v>OK</v>
      </c>
      <c r="K1205" s="30">
        <v>13029.72</v>
      </c>
      <c r="L1205" t="s">
        <v>28</v>
      </c>
      <c r="M1205" s="31" t="str">
        <f t="shared" si="56"/>
        <v>OK</v>
      </c>
    </row>
    <row r="1206" spans="1:13">
      <c r="A1206" t="s">
        <v>1018</v>
      </c>
      <c r="B1206" s="1">
        <v>46014</v>
      </c>
      <c r="C1206" t="s">
        <v>129</v>
      </c>
      <c r="D1206" t="s">
        <v>63</v>
      </c>
      <c r="E1206" t="s">
        <v>82</v>
      </c>
      <c r="F1206" t="s">
        <v>109</v>
      </c>
      <c r="G1206">
        <v>4</v>
      </c>
      <c r="H1206" s="32" t="str">
        <f t="shared" si="54"/>
        <v>OK</v>
      </c>
      <c r="I1206" s="30">
        <v>4439.55</v>
      </c>
      <c r="J1206" s="33" t="str">
        <f t="shared" si="55"/>
        <v>OK</v>
      </c>
      <c r="K1206" s="30">
        <v>2601.89</v>
      </c>
      <c r="L1206" t="s">
        <v>38</v>
      </c>
      <c r="M1206" s="31" t="str">
        <f t="shared" si="56"/>
        <v>OK</v>
      </c>
    </row>
    <row r="1207" spans="1:13">
      <c r="A1207" t="s">
        <v>1052</v>
      </c>
      <c r="B1207" s="1">
        <v>46014</v>
      </c>
      <c r="C1207" t="s">
        <v>124</v>
      </c>
      <c r="D1207" t="s">
        <v>63</v>
      </c>
      <c r="E1207" t="s">
        <v>36</v>
      </c>
      <c r="F1207" t="s">
        <v>93</v>
      </c>
      <c r="G1207">
        <v>8</v>
      </c>
      <c r="H1207" s="32" t="str">
        <f t="shared" si="54"/>
        <v>OK</v>
      </c>
      <c r="I1207" s="30">
        <v>6353.35</v>
      </c>
      <c r="J1207" s="33" t="str">
        <f t="shared" si="55"/>
        <v>OK</v>
      </c>
      <c r="K1207" s="30">
        <v>4123.88</v>
      </c>
      <c r="L1207" t="s">
        <v>16</v>
      </c>
      <c r="M1207" s="31" t="str">
        <f t="shared" si="56"/>
        <v>OK</v>
      </c>
    </row>
    <row r="1208" spans="1:13">
      <c r="A1208" t="s">
        <v>1122</v>
      </c>
      <c r="B1208" s="1">
        <v>46014</v>
      </c>
      <c r="C1208" t="s">
        <v>133</v>
      </c>
      <c r="D1208" t="s">
        <v>12</v>
      </c>
      <c r="E1208" t="s">
        <v>20</v>
      </c>
      <c r="F1208" t="s">
        <v>21</v>
      </c>
      <c r="G1208">
        <v>7</v>
      </c>
      <c r="H1208" s="32" t="str">
        <f t="shared" si="54"/>
        <v>OK</v>
      </c>
      <c r="I1208" s="30">
        <v>5430.53</v>
      </c>
      <c r="J1208" s="33" t="str">
        <f t="shared" si="55"/>
        <v>OK</v>
      </c>
      <c r="K1208" s="30">
        <v>4116.8999999999996</v>
      </c>
      <c r="L1208" t="s">
        <v>22</v>
      </c>
      <c r="M1208" s="31" t="str">
        <f t="shared" si="56"/>
        <v>OK</v>
      </c>
    </row>
    <row r="1209" spans="1:13">
      <c r="A1209" t="s">
        <v>1398</v>
      </c>
      <c r="B1209" s="1">
        <v>46015</v>
      </c>
      <c r="C1209" t="s">
        <v>51</v>
      </c>
      <c r="D1209" t="s">
        <v>19</v>
      </c>
      <c r="E1209" t="s">
        <v>36</v>
      </c>
      <c r="F1209" t="s">
        <v>113</v>
      </c>
      <c r="G1209">
        <v>7</v>
      </c>
      <c r="H1209" s="32" t="str">
        <f t="shared" si="54"/>
        <v>OK</v>
      </c>
      <c r="I1209" s="30">
        <v>14685.47</v>
      </c>
      <c r="J1209" s="33" t="str">
        <f t="shared" si="55"/>
        <v>OK</v>
      </c>
      <c r="K1209" s="30">
        <v>12485.96</v>
      </c>
      <c r="L1209" t="s">
        <v>16</v>
      </c>
      <c r="M1209" s="31" t="str">
        <f t="shared" si="56"/>
        <v>OK</v>
      </c>
    </row>
    <row r="1210" spans="1:13">
      <c r="A1210" t="s">
        <v>1511</v>
      </c>
      <c r="B1210" s="1">
        <v>46015</v>
      </c>
      <c r="C1210" t="s">
        <v>67</v>
      </c>
      <c r="D1210" t="s">
        <v>19</v>
      </c>
      <c r="E1210" t="s">
        <v>36</v>
      </c>
      <c r="F1210" t="s">
        <v>93</v>
      </c>
      <c r="G1210">
        <v>2</v>
      </c>
      <c r="H1210" s="32" t="str">
        <f t="shared" si="54"/>
        <v>OK</v>
      </c>
      <c r="I1210" s="30">
        <v>15101.52</v>
      </c>
      <c r="J1210" s="33" t="str">
        <f t="shared" si="55"/>
        <v>OK</v>
      </c>
      <c r="K1210" s="30">
        <v>11919.24</v>
      </c>
      <c r="L1210" t="s">
        <v>22</v>
      </c>
      <c r="M1210" s="31" t="str">
        <f t="shared" si="56"/>
        <v>OK</v>
      </c>
    </row>
    <row r="1211" spans="1:13">
      <c r="A1211" t="s">
        <v>1387</v>
      </c>
      <c r="B1211" s="1">
        <v>46016</v>
      </c>
      <c r="C1211" t="s">
        <v>24</v>
      </c>
      <c r="D1211" t="s">
        <v>31</v>
      </c>
      <c r="E1211" t="s">
        <v>36</v>
      </c>
      <c r="F1211" t="s">
        <v>42</v>
      </c>
      <c r="G1211">
        <v>6</v>
      </c>
      <c r="H1211" s="32" t="str">
        <f t="shared" si="54"/>
        <v>OK</v>
      </c>
      <c r="I1211" s="30">
        <v>17103.25</v>
      </c>
      <c r="J1211" s="33" t="str">
        <f t="shared" si="55"/>
        <v>OK</v>
      </c>
      <c r="K1211" s="30">
        <v>12587.82</v>
      </c>
      <c r="L1211" t="s">
        <v>38</v>
      </c>
      <c r="M1211" s="31" t="str">
        <f t="shared" si="56"/>
        <v>OK</v>
      </c>
    </row>
    <row r="1212" spans="1:13">
      <c r="A1212" t="s">
        <v>1473</v>
      </c>
      <c r="B1212" s="1">
        <v>46017</v>
      </c>
      <c r="C1212" t="s">
        <v>59</v>
      </c>
      <c r="D1212" t="s">
        <v>63</v>
      </c>
      <c r="E1212" t="s">
        <v>32</v>
      </c>
      <c r="F1212" t="s">
        <v>1616</v>
      </c>
      <c r="G1212">
        <v>7</v>
      </c>
      <c r="H1212" s="32" t="str">
        <f t="shared" si="54"/>
        <v>OK</v>
      </c>
      <c r="I1212" s="30">
        <v>886.24</v>
      </c>
      <c r="J1212" s="33" t="str">
        <f t="shared" si="55"/>
        <v>OK</v>
      </c>
      <c r="K1212" s="30">
        <v>524.05999999999995</v>
      </c>
      <c r="L1212" t="s">
        <v>22</v>
      </c>
      <c r="M1212" s="31" t="str">
        <f t="shared" si="56"/>
        <v>OK</v>
      </c>
    </row>
    <row r="1213" spans="1:13">
      <c r="A1213" t="s">
        <v>160</v>
      </c>
      <c r="B1213" s="1">
        <v>46018</v>
      </c>
      <c r="C1213" t="s">
        <v>117</v>
      </c>
      <c r="D1213" t="s">
        <v>12</v>
      </c>
      <c r="E1213" t="s">
        <v>26</v>
      </c>
      <c r="F1213" t="s">
        <v>27</v>
      </c>
      <c r="G1213">
        <v>5</v>
      </c>
      <c r="H1213" s="32" t="str">
        <f t="shared" si="54"/>
        <v>OK</v>
      </c>
      <c r="I1213" s="30">
        <v>2963.33</v>
      </c>
      <c r="J1213" s="33" t="str">
        <f t="shared" si="55"/>
        <v>OK</v>
      </c>
      <c r="K1213" s="30">
        <v>1887.33</v>
      </c>
      <c r="L1213" t="s">
        <v>38</v>
      </c>
      <c r="M1213" s="31" t="str">
        <f t="shared" si="56"/>
        <v>OK</v>
      </c>
    </row>
    <row r="1214" spans="1:13">
      <c r="A1214" t="s">
        <v>551</v>
      </c>
      <c r="B1214" s="1">
        <v>46018</v>
      </c>
      <c r="C1214" t="s">
        <v>59</v>
      </c>
      <c r="D1214" t="s">
        <v>57</v>
      </c>
      <c r="E1214" t="s">
        <v>26</v>
      </c>
      <c r="F1214" t="s">
        <v>103</v>
      </c>
      <c r="G1214">
        <v>3</v>
      </c>
      <c r="H1214" s="32" t="str">
        <f t="shared" si="54"/>
        <v>OK</v>
      </c>
      <c r="I1214" s="30">
        <v>893.57</v>
      </c>
      <c r="J1214" s="33" t="str">
        <f t="shared" si="55"/>
        <v>OK</v>
      </c>
      <c r="K1214" s="30">
        <v>545.13</v>
      </c>
      <c r="L1214" t="s">
        <v>16</v>
      </c>
      <c r="M1214" s="31" t="str">
        <f t="shared" si="56"/>
        <v>OK</v>
      </c>
    </row>
    <row r="1215" spans="1:13">
      <c r="A1215" t="s">
        <v>869</v>
      </c>
      <c r="B1215" s="1">
        <v>46018</v>
      </c>
      <c r="C1215" t="s">
        <v>220</v>
      </c>
      <c r="D1215" t="s">
        <v>19</v>
      </c>
      <c r="E1215" t="s">
        <v>20</v>
      </c>
      <c r="F1215" t="s">
        <v>91</v>
      </c>
      <c r="G1215">
        <v>8</v>
      </c>
      <c r="H1215" s="32" t="str">
        <f t="shared" si="54"/>
        <v>OK</v>
      </c>
      <c r="I1215" s="30">
        <v>2243.7199999999998</v>
      </c>
      <c r="J1215" s="33" t="str">
        <f t="shared" si="55"/>
        <v>OK</v>
      </c>
      <c r="K1215" s="30">
        <v>1492.31</v>
      </c>
      <c r="L1215" t="s">
        <v>22</v>
      </c>
      <c r="M1215" s="31" t="str">
        <f t="shared" si="56"/>
        <v>OK</v>
      </c>
    </row>
    <row r="1216" spans="1:13">
      <c r="A1216" t="s">
        <v>894</v>
      </c>
      <c r="B1216" s="1">
        <v>46018</v>
      </c>
      <c r="C1216" t="s">
        <v>105</v>
      </c>
      <c r="D1216" t="s">
        <v>57</v>
      </c>
      <c r="E1216" t="s">
        <v>36</v>
      </c>
      <c r="F1216" t="s">
        <v>42</v>
      </c>
      <c r="G1216">
        <v>3</v>
      </c>
      <c r="H1216" s="32" t="str">
        <f t="shared" si="54"/>
        <v>OK</v>
      </c>
      <c r="I1216" s="30">
        <v>7354.58</v>
      </c>
      <c r="J1216" s="33" t="str">
        <f t="shared" si="55"/>
        <v>OK</v>
      </c>
      <c r="K1216" s="30">
        <v>4108.96</v>
      </c>
      <c r="L1216" t="s">
        <v>28</v>
      </c>
      <c r="M1216" s="31" t="str">
        <f t="shared" si="56"/>
        <v>OK</v>
      </c>
    </row>
    <row r="1217" spans="1:13">
      <c r="A1217" t="s">
        <v>955</v>
      </c>
      <c r="B1217" s="1">
        <v>46018</v>
      </c>
      <c r="C1217" t="s">
        <v>124</v>
      </c>
      <c r="D1217" t="s">
        <v>31</v>
      </c>
      <c r="E1217" t="s">
        <v>36</v>
      </c>
      <c r="F1217" t="s">
        <v>37</v>
      </c>
      <c r="G1217">
        <v>6</v>
      </c>
      <c r="H1217" s="32" t="str">
        <f t="shared" si="54"/>
        <v>OK</v>
      </c>
      <c r="I1217" s="30">
        <v>2775.84</v>
      </c>
      <c r="J1217" s="33" t="str">
        <f t="shared" si="55"/>
        <v>OK</v>
      </c>
      <c r="K1217" s="30">
        <v>1785.22</v>
      </c>
      <c r="L1217" t="s">
        <v>16</v>
      </c>
      <c r="M1217" s="31" t="str">
        <f t="shared" si="56"/>
        <v>OK</v>
      </c>
    </row>
    <row r="1218" spans="1:13">
      <c r="A1218" t="s">
        <v>1524</v>
      </c>
      <c r="B1218" s="1">
        <v>46019</v>
      </c>
      <c r="C1218" t="s">
        <v>59</v>
      </c>
      <c r="D1218" t="s">
        <v>12</v>
      </c>
      <c r="E1218" t="s">
        <v>32</v>
      </c>
      <c r="F1218" t="s">
        <v>1615</v>
      </c>
      <c r="G1218">
        <v>7</v>
      </c>
      <c r="H1218" s="32" t="str">
        <f t="shared" ref="H1218:H1251" si="57">IF(G1218="","Blank",IF(G1218&lt;0,"Negative Quantity",IF(G1218=0,"Zero Quantity",IF(G1218&gt;0,"OK",""))))</f>
        <v>OK</v>
      </c>
      <c r="I1218" s="30">
        <v>1490.09</v>
      </c>
      <c r="J1218" s="33" t="str">
        <f t="shared" ref="J1218:J1251" si="58">IF(I1218="","Missing Sales",IF(I1218&lt;0,"Negative Sales","OK"))</f>
        <v>OK</v>
      </c>
      <c r="K1218" s="30">
        <v>874.56</v>
      </c>
      <c r="L1218" t="s">
        <v>71</v>
      </c>
      <c r="M1218" s="31" t="str">
        <f t="shared" ref="M1218:M1251" si="59">IF(OR(I1218="",K1218=""),"Missing Data",IF(I1218&lt;K1218,"Sales &lt; Cost","OK"))</f>
        <v>OK</v>
      </c>
    </row>
    <row r="1219" spans="1:13">
      <c r="A1219" t="s">
        <v>679</v>
      </c>
      <c r="B1219" s="1">
        <v>46020</v>
      </c>
      <c r="C1219" t="s">
        <v>85</v>
      </c>
      <c r="D1219" t="s">
        <v>57</v>
      </c>
      <c r="E1219" t="s">
        <v>82</v>
      </c>
      <c r="F1219" t="s">
        <v>109</v>
      </c>
      <c r="G1219">
        <v>5</v>
      </c>
      <c r="H1219" s="32" t="str">
        <f t="shared" si="57"/>
        <v>OK</v>
      </c>
      <c r="I1219" s="30">
        <v>6863.1</v>
      </c>
      <c r="J1219" s="33" t="str">
        <f t="shared" si="58"/>
        <v>OK</v>
      </c>
      <c r="K1219" s="30">
        <v>3778.29</v>
      </c>
      <c r="L1219" t="s">
        <v>16</v>
      </c>
      <c r="M1219" s="31" t="str">
        <f t="shared" si="59"/>
        <v>OK</v>
      </c>
    </row>
    <row r="1220" spans="1:13">
      <c r="A1220" t="s">
        <v>267</v>
      </c>
      <c r="B1220" s="1">
        <v>46021</v>
      </c>
      <c r="C1220" t="s">
        <v>115</v>
      </c>
      <c r="D1220" t="s">
        <v>12</v>
      </c>
      <c r="E1220" t="s">
        <v>82</v>
      </c>
      <c r="F1220" t="s">
        <v>109</v>
      </c>
      <c r="G1220">
        <v>3</v>
      </c>
      <c r="H1220" s="32" t="str">
        <f t="shared" si="57"/>
        <v>OK</v>
      </c>
      <c r="I1220" s="30">
        <v>2450.9499999999998</v>
      </c>
      <c r="J1220" s="33" t="str">
        <f t="shared" si="58"/>
        <v>OK</v>
      </c>
      <c r="K1220" s="30">
        <v>1359.08</v>
      </c>
      <c r="L1220" t="s">
        <v>28</v>
      </c>
      <c r="M1220" s="31" t="str">
        <f t="shared" si="59"/>
        <v>OK</v>
      </c>
    </row>
    <row r="1221" spans="1:13">
      <c r="A1221" t="s">
        <v>306</v>
      </c>
      <c r="B1221" s="1">
        <v>46021</v>
      </c>
      <c r="C1221" t="s">
        <v>48</v>
      </c>
      <c r="D1221" t="s">
        <v>57</v>
      </c>
      <c r="E1221" t="s">
        <v>26</v>
      </c>
      <c r="F1221" t="s">
        <v>106</v>
      </c>
      <c r="G1221">
        <v>8</v>
      </c>
      <c r="H1221" s="32" t="str">
        <f t="shared" si="57"/>
        <v>OK</v>
      </c>
      <c r="I1221" s="30">
        <v>766.04</v>
      </c>
      <c r="J1221" s="33" t="str">
        <f t="shared" si="58"/>
        <v>OK</v>
      </c>
      <c r="K1221" s="30">
        <v>566.70000000000005</v>
      </c>
      <c r="L1221" t="s">
        <v>22</v>
      </c>
      <c r="M1221" s="31" t="str">
        <f t="shared" si="59"/>
        <v>OK</v>
      </c>
    </row>
    <row r="1222" spans="1:13">
      <c r="A1222" t="s">
        <v>1295</v>
      </c>
      <c r="B1222" s="1">
        <v>46021</v>
      </c>
      <c r="C1222" t="s">
        <v>35</v>
      </c>
      <c r="D1222" t="s">
        <v>31</v>
      </c>
      <c r="E1222" t="s">
        <v>36</v>
      </c>
      <c r="F1222" t="s">
        <v>113</v>
      </c>
      <c r="G1222">
        <v>4</v>
      </c>
      <c r="H1222" s="32" t="str">
        <f t="shared" si="57"/>
        <v>OK</v>
      </c>
      <c r="I1222" s="30">
        <v>3266.74</v>
      </c>
      <c r="J1222" s="33" t="str">
        <f t="shared" si="58"/>
        <v>OK</v>
      </c>
      <c r="K1222" s="30">
        <v>2157.77</v>
      </c>
      <c r="L1222" t="s">
        <v>38</v>
      </c>
      <c r="M1222" s="31" t="str">
        <f t="shared" si="59"/>
        <v>OK</v>
      </c>
    </row>
    <row r="1223" spans="1:13">
      <c r="A1223" t="s">
        <v>690</v>
      </c>
      <c r="B1223" s="1">
        <v>46022</v>
      </c>
      <c r="C1223" t="s">
        <v>40</v>
      </c>
      <c r="D1223" t="s">
        <v>12</v>
      </c>
      <c r="E1223" t="s">
        <v>36</v>
      </c>
      <c r="F1223" t="s">
        <v>42</v>
      </c>
      <c r="G1223">
        <v>7</v>
      </c>
      <c r="H1223" s="32" t="str">
        <f t="shared" si="57"/>
        <v>OK</v>
      </c>
      <c r="I1223" s="30">
        <v>7700.1</v>
      </c>
      <c r="J1223" s="33" t="str">
        <f t="shared" si="58"/>
        <v>OK</v>
      </c>
      <c r="K1223" s="30">
        <v>5724.51</v>
      </c>
      <c r="L1223" t="s">
        <v>16</v>
      </c>
      <c r="M1223" s="31" t="str">
        <f t="shared" si="59"/>
        <v>OK</v>
      </c>
    </row>
    <row r="1224" spans="1:13">
      <c r="A1224" t="s">
        <v>874</v>
      </c>
      <c r="B1224" s="1">
        <v>46022</v>
      </c>
      <c r="C1224" t="s">
        <v>1617</v>
      </c>
      <c r="D1224" t="s">
        <v>19</v>
      </c>
      <c r="E1224" t="s">
        <v>26</v>
      </c>
      <c r="F1224" t="s">
        <v>103</v>
      </c>
      <c r="G1224">
        <v>3</v>
      </c>
      <c r="H1224" s="32" t="str">
        <f t="shared" si="57"/>
        <v>OK</v>
      </c>
      <c r="I1224" s="30">
        <v>2829.51</v>
      </c>
      <c r="J1224" s="33" t="str">
        <f t="shared" si="58"/>
        <v>OK</v>
      </c>
      <c r="K1224" s="30">
        <v>2031.28</v>
      </c>
      <c r="L1224" t="s">
        <v>16</v>
      </c>
      <c r="M1224" s="31" t="str">
        <f t="shared" si="59"/>
        <v>OK</v>
      </c>
    </row>
    <row r="1225" spans="1:13">
      <c r="A1225" t="s">
        <v>1313</v>
      </c>
      <c r="B1225" s="1">
        <v>46022</v>
      </c>
      <c r="C1225" t="s">
        <v>259</v>
      </c>
      <c r="D1225" t="s">
        <v>12</v>
      </c>
      <c r="E1225" t="s">
        <v>36</v>
      </c>
      <c r="F1225" t="s">
        <v>93</v>
      </c>
      <c r="G1225">
        <v>8</v>
      </c>
      <c r="H1225" s="32" t="str">
        <f t="shared" si="57"/>
        <v>OK</v>
      </c>
      <c r="I1225" s="30">
        <v>2156.69</v>
      </c>
      <c r="J1225" s="33" t="str">
        <f t="shared" si="58"/>
        <v>OK</v>
      </c>
      <c r="K1225" s="30">
        <v>1243.68</v>
      </c>
      <c r="L1225" t="s">
        <v>38</v>
      </c>
      <c r="M1225" s="31" t="str">
        <f t="shared" si="59"/>
        <v>OK</v>
      </c>
    </row>
    <row r="1226" spans="1:13">
      <c r="A1226" t="s">
        <v>1494</v>
      </c>
      <c r="B1226" s="1">
        <v>45672</v>
      </c>
      <c r="C1226" t="s">
        <v>30</v>
      </c>
      <c r="D1226" t="s">
        <v>12</v>
      </c>
      <c r="E1226" t="s">
        <v>20</v>
      </c>
      <c r="F1226" t="s">
        <v>86</v>
      </c>
      <c r="H1226" s="32" t="str">
        <f t="shared" si="57"/>
        <v>Blank</v>
      </c>
      <c r="I1226" s="30">
        <v>4883.75</v>
      </c>
      <c r="J1226" s="33" t="str">
        <f t="shared" si="58"/>
        <v>OK</v>
      </c>
      <c r="K1226" s="30">
        <v>3186.54</v>
      </c>
      <c r="L1226" t="s">
        <v>28</v>
      </c>
      <c r="M1226" s="31" t="str">
        <f t="shared" si="59"/>
        <v>OK</v>
      </c>
    </row>
    <row r="1227" spans="1:13">
      <c r="A1227" t="s">
        <v>522</v>
      </c>
      <c r="B1227" s="1">
        <v>45679</v>
      </c>
      <c r="C1227" t="s">
        <v>24</v>
      </c>
      <c r="D1227" t="s">
        <v>19</v>
      </c>
      <c r="E1227" t="s">
        <v>20</v>
      </c>
      <c r="F1227" t="s">
        <v>91</v>
      </c>
      <c r="G1227">
        <v>2</v>
      </c>
      <c r="H1227" s="32" t="str">
        <f t="shared" si="57"/>
        <v>OK</v>
      </c>
      <c r="I1227" s="30">
        <v>1893.22</v>
      </c>
      <c r="J1227" s="33" t="str">
        <f t="shared" si="58"/>
        <v>OK</v>
      </c>
      <c r="K1227" s="30">
        <v>1440.19</v>
      </c>
      <c r="L1227" t="s">
        <v>71</v>
      </c>
      <c r="M1227" s="31" t="str">
        <f t="shared" si="59"/>
        <v>OK</v>
      </c>
    </row>
    <row r="1228" spans="1:13">
      <c r="A1228" t="s">
        <v>1546</v>
      </c>
      <c r="B1228" s="1">
        <v>45685</v>
      </c>
      <c r="C1228" t="s">
        <v>56</v>
      </c>
      <c r="D1228" t="s">
        <v>31</v>
      </c>
      <c r="E1228" t="s">
        <v>32</v>
      </c>
      <c r="F1228" t="s">
        <v>52</v>
      </c>
      <c r="G1228">
        <v>6</v>
      </c>
      <c r="H1228" s="32" t="str">
        <f t="shared" si="57"/>
        <v>OK</v>
      </c>
      <c r="I1228" s="30">
        <v>208.78</v>
      </c>
      <c r="J1228" s="33" t="str">
        <f t="shared" si="58"/>
        <v>OK</v>
      </c>
      <c r="K1228" s="30">
        <v>120.87</v>
      </c>
      <c r="L1228" t="s">
        <v>38</v>
      </c>
      <c r="M1228" s="31" t="str">
        <f t="shared" si="59"/>
        <v>OK</v>
      </c>
    </row>
    <row r="1229" spans="1:13">
      <c r="A1229" t="s">
        <v>801</v>
      </c>
      <c r="B1229" s="1">
        <v>45702</v>
      </c>
      <c r="C1229" t="s">
        <v>175</v>
      </c>
      <c r="D1229" t="s">
        <v>12</v>
      </c>
      <c r="E1229" t="s">
        <v>32</v>
      </c>
      <c r="F1229" t="s">
        <v>101</v>
      </c>
      <c r="G1229">
        <v>3</v>
      </c>
      <c r="H1229" s="32" t="str">
        <f t="shared" si="57"/>
        <v>OK</v>
      </c>
      <c r="I1229" s="30">
        <v>510.76</v>
      </c>
      <c r="J1229" s="33" t="str">
        <f t="shared" si="58"/>
        <v>OK</v>
      </c>
      <c r="K1229" s="30">
        <v>313.08</v>
      </c>
      <c r="L1229" t="s">
        <v>16</v>
      </c>
      <c r="M1229" s="31" t="str">
        <f t="shared" si="59"/>
        <v>OK</v>
      </c>
    </row>
    <row r="1230" spans="1:13">
      <c r="A1230" t="s">
        <v>543</v>
      </c>
      <c r="B1230" s="1">
        <v>45708</v>
      </c>
      <c r="C1230" t="s">
        <v>108</v>
      </c>
      <c r="D1230" t="s">
        <v>12</v>
      </c>
      <c r="E1230" t="s">
        <v>32</v>
      </c>
      <c r="F1230" t="s">
        <v>1615</v>
      </c>
      <c r="G1230">
        <v>1</v>
      </c>
      <c r="H1230" s="32" t="str">
        <f t="shared" si="57"/>
        <v>OK</v>
      </c>
      <c r="I1230" s="30">
        <v>1699.93</v>
      </c>
      <c r="J1230" s="33" t="str">
        <f t="shared" si="58"/>
        <v>OK</v>
      </c>
      <c r="K1230" s="30">
        <v>1238.22</v>
      </c>
      <c r="L1230" t="s">
        <v>16</v>
      </c>
      <c r="M1230" s="31" t="str">
        <f t="shared" si="59"/>
        <v>OK</v>
      </c>
    </row>
    <row r="1231" spans="1:13">
      <c r="A1231" t="s">
        <v>1098</v>
      </c>
      <c r="B1231" s="1">
        <v>45732</v>
      </c>
      <c r="C1231" t="s">
        <v>56</v>
      </c>
      <c r="D1231" t="s">
        <v>12</v>
      </c>
      <c r="E1231" t="s">
        <v>20</v>
      </c>
      <c r="F1231" t="s">
        <v>86</v>
      </c>
      <c r="H1231" s="32" t="str">
        <f t="shared" si="57"/>
        <v>Blank</v>
      </c>
      <c r="I1231" s="30">
        <v>4730.3599999999997</v>
      </c>
      <c r="J1231" s="33" t="str">
        <f t="shared" si="58"/>
        <v>OK</v>
      </c>
      <c r="K1231" s="30">
        <v>2681.79</v>
      </c>
      <c r="L1231" t="s">
        <v>22</v>
      </c>
      <c r="M1231" s="31" t="str">
        <f t="shared" si="59"/>
        <v>OK</v>
      </c>
    </row>
    <row r="1232" spans="1:13">
      <c r="A1232" t="s">
        <v>836</v>
      </c>
      <c r="B1232" s="1">
        <v>45734</v>
      </c>
      <c r="C1232" t="s">
        <v>11</v>
      </c>
      <c r="D1232" t="s">
        <v>12</v>
      </c>
      <c r="E1232" t="s">
        <v>26</v>
      </c>
      <c r="F1232" t="s">
        <v>103</v>
      </c>
      <c r="G1232">
        <v>4</v>
      </c>
      <c r="H1232" s="32" t="str">
        <f t="shared" si="57"/>
        <v>OK</v>
      </c>
      <c r="I1232" s="30">
        <v>3173.98</v>
      </c>
      <c r="J1232" s="33" t="str">
        <f t="shared" si="58"/>
        <v>OK</v>
      </c>
      <c r="K1232" s="30">
        <v>2589.31</v>
      </c>
      <c r="L1232" t="s">
        <v>38</v>
      </c>
      <c r="M1232" s="31" t="str">
        <f t="shared" si="59"/>
        <v>OK</v>
      </c>
    </row>
    <row r="1233" spans="1:13">
      <c r="A1233" t="s">
        <v>1046</v>
      </c>
      <c r="B1233" s="1">
        <v>45736</v>
      </c>
      <c r="C1233" t="s">
        <v>24</v>
      </c>
      <c r="D1233" t="s">
        <v>12</v>
      </c>
      <c r="E1233" t="s">
        <v>36</v>
      </c>
      <c r="F1233" t="s">
        <v>113</v>
      </c>
      <c r="G1233">
        <v>5</v>
      </c>
      <c r="H1233" s="32" t="str">
        <f t="shared" si="57"/>
        <v>OK</v>
      </c>
      <c r="I1233" s="30">
        <v>3715.64</v>
      </c>
      <c r="J1233" s="33" t="str">
        <f t="shared" si="58"/>
        <v>OK</v>
      </c>
      <c r="K1233" s="30">
        <v>2439.2399999999998</v>
      </c>
      <c r="L1233" t="s">
        <v>71</v>
      </c>
      <c r="M1233" s="31" t="str">
        <f t="shared" si="59"/>
        <v>OK</v>
      </c>
    </row>
    <row r="1234" spans="1:13">
      <c r="A1234" t="s">
        <v>580</v>
      </c>
      <c r="B1234" s="1">
        <v>45743</v>
      </c>
      <c r="C1234" t="s">
        <v>54</v>
      </c>
      <c r="D1234" t="s">
        <v>12</v>
      </c>
      <c r="E1234" t="s">
        <v>82</v>
      </c>
      <c r="F1234" t="s">
        <v>137</v>
      </c>
      <c r="G1234">
        <v>6</v>
      </c>
      <c r="H1234" s="32" t="str">
        <f t="shared" si="57"/>
        <v>OK</v>
      </c>
      <c r="I1234" s="30">
        <v>6487.52</v>
      </c>
      <c r="J1234" s="33" t="str">
        <f t="shared" si="58"/>
        <v>OK</v>
      </c>
      <c r="K1234" s="30">
        <v>4845.24</v>
      </c>
      <c r="L1234" t="s">
        <v>16</v>
      </c>
      <c r="M1234" s="31" t="str">
        <f t="shared" si="59"/>
        <v>OK</v>
      </c>
    </row>
    <row r="1235" spans="1:13">
      <c r="A1235" t="s">
        <v>1310</v>
      </c>
      <c r="B1235" s="1">
        <v>45760</v>
      </c>
      <c r="C1235" t="s">
        <v>70</v>
      </c>
      <c r="D1235" t="s">
        <v>31</v>
      </c>
      <c r="E1235" t="s">
        <v>20</v>
      </c>
      <c r="F1235" t="s">
        <v>86</v>
      </c>
      <c r="G1235">
        <v>1</v>
      </c>
      <c r="H1235" s="32" t="str">
        <f t="shared" si="57"/>
        <v>OK</v>
      </c>
      <c r="I1235" s="30">
        <v>4624.54</v>
      </c>
      <c r="J1235" s="33" t="str">
        <f t="shared" si="58"/>
        <v>OK</v>
      </c>
      <c r="K1235" s="30">
        <v>3778.38</v>
      </c>
      <c r="L1235" t="s">
        <v>71</v>
      </c>
      <c r="M1235" s="31" t="str">
        <f t="shared" si="59"/>
        <v>OK</v>
      </c>
    </row>
    <row r="1236" spans="1:13">
      <c r="A1236" t="s">
        <v>725</v>
      </c>
      <c r="B1236" s="1">
        <v>45763</v>
      </c>
      <c r="C1236" t="s">
        <v>108</v>
      </c>
      <c r="D1236" t="s">
        <v>12</v>
      </c>
      <c r="E1236" t="s">
        <v>32</v>
      </c>
      <c r="F1236" t="s">
        <v>180</v>
      </c>
      <c r="G1236">
        <v>7</v>
      </c>
      <c r="H1236" s="32" t="str">
        <f t="shared" si="57"/>
        <v>OK</v>
      </c>
      <c r="I1236" s="30">
        <v>1687.09</v>
      </c>
      <c r="J1236" s="33" t="str">
        <f t="shared" si="58"/>
        <v>OK</v>
      </c>
      <c r="K1236" s="30">
        <v>1451.1</v>
      </c>
      <c r="L1236" t="s">
        <v>71</v>
      </c>
      <c r="M1236" s="31" t="str">
        <f t="shared" si="59"/>
        <v>OK</v>
      </c>
    </row>
    <row r="1237" spans="1:13">
      <c r="A1237" t="s">
        <v>1281</v>
      </c>
      <c r="B1237" s="1">
        <v>45791</v>
      </c>
      <c r="C1237" t="s">
        <v>135</v>
      </c>
      <c r="D1237" t="s">
        <v>63</v>
      </c>
      <c r="E1237" t="s">
        <v>26</v>
      </c>
      <c r="F1237" t="s">
        <v>103</v>
      </c>
      <c r="G1237">
        <v>4</v>
      </c>
      <c r="H1237" s="32" t="str">
        <f t="shared" si="57"/>
        <v>OK</v>
      </c>
      <c r="I1237" s="30">
        <v>1825.99</v>
      </c>
      <c r="J1237" s="33" t="str">
        <f t="shared" si="58"/>
        <v>OK</v>
      </c>
      <c r="K1237" s="30">
        <v>1485.98</v>
      </c>
      <c r="L1237" t="s">
        <v>16</v>
      </c>
      <c r="M1237" s="31" t="str">
        <f t="shared" si="59"/>
        <v>OK</v>
      </c>
    </row>
    <row r="1238" spans="1:13">
      <c r="A1238" t="s">
        <v>169</v>
      </c>
      <c r="B1238" s="1">
        <v>45804</v>
      </c>
      <c r="C1238" t="s">
        <v>11</v>
      </c>
      <c r="D1238" t="s">
        <v>63</v>
      </c>
      <c r="E1238" t="s">
        <v>36</v>
      </c>
      <c r="F1238" t="s">
        <v>42</v>
      </c>
      <c r="G1238">
        <v>4</v>
      </c>
      <c r="H1238" s="32" t="str">
        <f t="shared" si="57"/>
        <v>OK</v>
      </c>
      <c r="I1238" s="30">
        <v>5546.33</v>
      </c>
      <c r="J1238" s="33" t="str">
        <f t="shared" si="58"/>
        <v>OK</v>
      </c>
      <c r="K1238" s="30">
        <v>3635.64</v>
      </c>
      <c r="L1238" t="s">
        <v>38</v>
      </c>
      <c r="M1238" s="31" t="str">
        <f t="shared" si="59"/>
        <v>OK</v>
      </c>
    </row>
    <row r="1239" spans="1:13">
      <c r="A1239" t="s">
        <v>527</v>
      </c>
      <c r="B1239" s="1">
        <v>45836</v>
      </c>
      <c r="C1239" t="s">
        <v>119</v>
      </c>
      <c r="D1239" t="s">
        <v>57</v>
      </c>
      <c r="E1239" t="s">
        <v>36</v>
      </c>
      <c r="F1239" t="s">
        <v>93</v>
      </c>
      <c r="G1239">
        <v>5</v>
      </c>
      <c r="H1239" s="32" t="str">
        <f t="shared" si="57"/>
        <v>OK</v>
      </c>
      <c r="I1239" s="30">
        <v>12716.97</v>
      </c>
      <c r="J1239" s="33" t="str">
        <f t="shared" si="58"/>
        <v>OK</v>
      </c>
      <c r="K1239" s="30">
        <v>7577.72</v>
      </c>
      <c r="L1239" t="s">
        <v>28</v>
      </c>
      <c r="M1239" s="31" t="str">
        <f t="shared" si="59"/>
        <v>OK</v>
      </c>
    </row>
    <row r="1240" spans="1:13">
      <c r="A1240" t="s">
        <v>463</v>
      </c>
      <c r="B1240" s="1">
        <v>45854</v>
      </c>
      <c r="C1240" t="s">
        <v>30</v>
      </c>
      <c r="D1240" t="s">
        <v>31</v>
      </c>
      <c r="E1240" t="s">
        <v>20</v>
      </c>
      <c r="F1240" t="s">
        <v>191</v>
      </c>
      <c r="G1240">
        <v>2</v>
      </c>
      <c r="H1240" s="32" t="str">
        <f t="shared" si="57"/>
        <v>OK</v>
      </c>
      <c r="I1240" s="30">
        <v>2373.9299999999998</v>
      </c>
      <c r="J1240" s="33" t="str">
        <f t="shared" si="58"/>
        <v>OK</v>
      </c>
      <c r="K1240" s="30">
        <v>1943.28</v>
      </c>
      <c r="L1240" t="s">
        <v>38</v>
      </c>
      <c r="M1240" s="31" t="str">
        <f t="shared" si="59"/>
        <v>OK</v>
      </c>
    </row>
    <row r="1241" spans="1:13">
      <c r="A1241" t="s">
        <v>1478</v>
      </c>
      <c r="B1241" s="1">
        <v>45855</v>
      </c>
      <c r="C1241" t="s">
        <v>40</v>
      </c>
      <c r="D1241" t="s">
        <v>57</v>
      </c>
      <c r="E1241" t="s">
        <v>20</v>
      </c>
      <c r="F1241" t="s">
        <v>14</v>
      </c>
      <c r="G1241">
        <v>5</v>
      </c>
      <c r="H1241" s="32" t="str">
        <f t="shared" si="57"/>
        <v>OK</v>
      </c>
      <c r="I1241" s="30">
        <v>1632.41</v>
      </c>
      <c r="J1241" s="33" t="str">
        <f t="shared" si="58"/>
        <v>OK</v>
      </c>
      <c r="K1241" s="30">
        <v>1054.6400000000001</v>
      </c>
      <c r="L1241" t="s">
        <v>38</v>
      </c>
      <c r="M1241" s="31" t="str">
        <f t="shared" si="59"/>
        <v>OK</v>
      </c>
    </row>
    <row r="1242" spans="1:13">
      <c r="A1242" t="s">
        <v>426</v>
      </c>
      <c r="B1242" s="1">
        <v>45869</v>
      </c>
      <c r="C1242" t="s">
        <v>18</v>
      </c>
      <c r="D1242" t="s">
        <v>12</v>
      </c>
      <c r="E1242" t="s">
        <v>26</v>
      </c>
      <c r="F1242" t="s">
        <v>103</v>
      </c>
      <c r="G1242">
        <v>3</v>
      </c>
      <c r="H1242" s="32" t="str">
        <f t="shared" si="57"/>
        <v>OK</v>
      </c>
      <c r="I1242" s="30">
        <v>773.1</v>
      </c>
      <c r="J1242" s="33" t="str">
        <f t="shared" si="58"/>
        <v>OK</v>
      </c>
      <c r="K1242" s="30">
        <v>481.53</v>
      </c>
      <c r="L1242" t="s">
        <v>22</v>
      </c>
      <c r="M1242" s="31" t="str">
        <f t="shared" si="59"/>
        <v>OK</v>
      </c>
    </row>
    <row r="1243" spans="1:13">
      <c r="A1243" t="s">
        <v>192</v>
      </c>
      <c r="B1243" s="1">
        <v>45924</v>
      </c>
      <c r="C1243" t="s">
        <v>30</v>
      </c>
      <c r="D1243" t="s">
        <v>19</v>
      </c>
      <c r="E1243" t="s">
        <v>36</v>
      </c>
      <c r="F1243" t="s">
        <v>1614</v>
      </c>
      <c r="G1243">
        <v>4</v>
      </c>
      <c r="H1243" s="32" t="str">
        <f t="shared" si="57"/>
        <v>OK</v>
      </c>
      <c r="I1243" s="30">
        <v>17034.66</v>
      </c>
      <c r="J1243" s="33" t="str">
        <f t="shared" si="58"/>
        <v>OK</v>
      </c>
      <c r="K1243" s="30">
        <v>13729.89</v>
      </c>
      <c r="L1243" t="s">
        <v>38</v>
      </c>
      <c r="M1243" s="31" t="str">
        <f t="shared" si="59"/>
        <v>OK</v>
      </c>
    </row>
    <row r="1244" spans="1:13">
      <c r="A1244" t="s">
        <v>944</v>
      </c>
      <c r="B1244" s="1">
        <v>45951</v>
      </c>
      <c r="C1244" t="s">
        <v>56</v>
      </c>
      <c r="D1244" t="s">
        <v>12</v>
      </c>
      <c r="E1244" t="s">
        <v>82</v>
      </c>
      <c r="F1244" t="s">
        <v>97</v>
      </c>
      <c r="G1244">
        <v>7</v>
      </c>
      <c r="H1244" s="32" t="str">
        <f t="shared" si="57"/>
        <v>OK</v>
      </c>
      <c r="I1244" s="30">
        <v>6869.14</v>
      </c>
      <c r="J1244" s="33" t="str">
        <f t="shared" si="58"/>
        <v>OK</v>
      </c>
      <c r="K1244" s="30">
        <v>4240.92</v>
      </c>
      <c r="L1244" t="s">
        <v>28</v>
      </c>
      <c r="M1244" s="31" t="str">
        <f t="shared" si="59"/>
        <v>OK</v>
      </c>
    </row>
    <row r="1245" spans="1:13">
      <c r="A1245" t="s">
        <v>823</v>
      </c>
      <c r="B1245" s="1">
        <v>45954</v>
      </c>
      <c r="C1245" t="s">
        <v>40</v>
      </c>
      <c r="D1245" t="s">
        <v>19</v>
      </c>
      <c r="E1245" t="s">
        <v>82</v>
      </c>
      <c r="F1245" t="s">
        <v>97</v>
      </c>
      <c r="G1245">
        <v>7</v>
      </c>
      <c r="H1245" s="32" t="str">
        <f t="shared" si="57"/>
        <v>OK</v>
      </c>
      <c r="I1245" s="30">
        <v>2348.27</v>
      </c>
      <c r="J1245" s="33" t="str">
        <f t="shared" si="58"/>
        <v>OK</v>
      </c>
      <c r="K1245" s="30">
        <v>1443.58</v>
      </c>
      <c r="L1245" t="s">
        <v>71</v>
      </c>
      <c r="M1245" s="31" t="str">
        <f t="shared" si="59"/>
        <v>OK</v>
      </c>
    </row>
    <row r="1246" spans="1:13">
      <c r="A1246" t="s">
        <v>909</v>
      </c>
      <c r="B1246" s="1">
        <v>45958</v>
      </c>
      <c r="C1246" t="s">
        <v>24</v>
      </c>
      <c r="D1246" t="s">
        <v>12</v>
      </c>
      <c r="E1246" t="s">
        <v>26</v>
      </c>
      <c r="F1246" t="s">
        <v>79</v>
      </c>
      <c r="G1246">
        <v>2</v>
      </c>
      <c r="H1246" s="32" t="str">
        <f t="shared" si="57"/>
        <v>OK</v>
      </c>
      <c r="I1246" s="30">
        <v>1050.53</v>
      </c>
      <c r="J1246" s="33" t="str">
        <f t="shared" si="58"/>
        <v>OK</v>
      </c>
      <c r="K1246" s="30">
        <v>770.09</v>
      </c>
      <c r="L1246" t="s">
        <v>71</v>
      </c>
      <c r="M1246" s="31" t="str">
        <f t="shared" si="59"/>
        <v>OK</v>
      </c>
    </row>
    <row r="1247" spans="1:13">
      <c r="A1247" t="s">
        <v>1566</v>
      </c>
      <c r="B1247" s="1">
        <v>45974</v>
      </c>
      <c r="C1247" t="s">
        <v>162</v>
      </c>
      <c r="D1247" t="s">
        <v>12</v>
      </c>
      <c r="E1247" t="s">
        <v>36</v>
      </c>
      <c r="F1247" t="s">
        <v>93</v>
      </c>
      <c r="G1247">
        <v>1</v>
      </c>
      <c r="H1247" s="32" t="str">
        <f t="shared" si="57"/>
        <v>OK</v>
      </c>
      <c r="I1247" s="30">
        <v>5049.87</v>
      </c>
      <c r="J1247" s="33" t="str">
        <f t="shared" si="58"/>
        <v>OK</v>
      </c>
      <c r="K1247" s="30">
        <v>3858.6</v>
      </c>
      <c r="L1247" t="s">
        <v>16</v>
      </c>
      <c r="M1247" s="31" t="str">
        <f t="shared" si="59"/>
        <v>OK</v>
      </c>
    </row>
    <row r="1248" spans="1:13">
      <c r="A1248" t="s">
        <v>1454</v>
      </c>
      <c r="B1248" s="1">
        <v>45978</v>
      </c>
      <c r="C1248" t="s">
        <v>30</v>
      </c>
      <c r="D1248" t="s">
        <v>63</v>
      </c>
      <c r="E1248" t="s">
        <v>82</v>
      </c>
      <c r="F1248" t="s">
        <v>83</v>
      </c>
      <c r="G1248">
        <v>6</v>
      </c>
      <c r="H1248" s="32" t="str">
        <f t="shared" si="57"/>
        <v>OK</v>
      </c>
      <c r="I1248" s="30">
        <v>5097.71</v>
      </c>
      <c r="J1248" s="33" t="str">
        <f t="shared" si="58"/>
        <v>OK</v>
      </c>
      <c r="K1248" s="30">
        <v>3486.79</v>
      </c>
      <c r="L1248" t="s">
        <v>28</v>
      </c>
      <c r="M1248" s="31" t="str">
        <f t="shared" si="59"/>
        <v>OK</v>
      </c>
    </row>
    <row r="1249" spans="1:13">
      <c r="A1249" t="s">
        <v>610</v>
      </c>
      <c r="B1249" s="1">
        <v>45988</v>
      </c>
      <c r="C1249" t="s">
        <v>119</v>
      </c>
      <c r="D1249" t="s">
        <v>57</v>
      </c>
      <c r="E1249" t="s">
        <v>82</v>
      </c>
      <c r="F1249" t="s">
        <v>150</v>
      </c>
      <c r="G1249">
        <v>7</v>
      </c>
      <c r="H1249" s="32" t="str">
        <f t="shared" si="57"/>
        <v>OK</v>
      </c>
      <c r="I1249" s="30">
        <v>3756.02</v>
      </c>
      <c r="J1249" s="33" t="str">
        <f t="shared" si="58"/>
        <v>OK</v>
      </c>
      <c r="K1249" s="30">
        <v>2088.41</v>
      </c>
      <c r="L1249" t="s">
        <v>22</v>
      </c>
      <c r="M1249" s="31" t="str">
        <f t="shared" si="59"/>
        <v>OK</v>
      </c>
    </row>
    <row r="1250" spans="1:13">
      <c r="A1250" t="s">
        <v>994</v>
      </c>
      <c r="B1250" s="1">
        <v>46008</v>
      </c>
      <c r="C1250" t="s">
        <v>162</v>
      </c>
      <c r="D1250" t="s">
        <v>19</v>
      </c>
      <c r="E1250" t="s">
        <v>36</v>
      </c>
      <c r="F1250" t="s">
        <v>37</v>
      </c>
      <c r="G1250">
        <v>5</v>
      </c>
      <c r="H1250" s="32" t="str">
        <f t="shared" si="57"/>
        <v>OK</v>
      </c>
      <c r="I1250" s="30">
        <v>16278.23</v>
      </c>
      <c r="J1250" s="33" t="str">
        <f t="shared" si="58"/>
        <v>OK</v>
      </c>
      <c r="K1250" s="30">
        <v>11980.1</v>
      </c>
      <c r="L1250" t="s">
        <v>16</v>
      </c>
      <c r="M1250" s="31" t="str">
        <f t="shared" si="59"/>
        <v>OK</v>
      </c>
    </row>
    <row r="1251" spans="1:13">
      <c r="A1251" t="s">
        <v>359</v>
      </c>
      <c r="B1251" s="1">
        <v>46022</v>
      </c>
      <c r="C1251" t="s">
        <v>121</v>
      </c>
      <c r="D1251" t="s">
        <v>12</v>
      </c>
      <c r="E1251" t="s">
        <v>82</v>
      </c>
      <c r="F1251" t="s">
        <v>137</v>
      </c>
      <c r="G1251">
        <v>4</v>
      </c>
      <c r="H1251" s="32" t="str">
        <f t="shared" si="57"/>
        <v>OK</v>
      </c>
      <c r="I1251" s="30">
        <v>1725.87</v>
      </c>
      <c r="J1251" s="33" t="str">
        <f t="shared" si="58"/>
        <v>OK</v>
      </c>
      <c r="K1251" s="30">
        <v>1304.72</v>
      </c>
      <c r="L1251" t="s">
        <v>22</v>
      </c>
      <c r="M1251" s="31" t="str">
        <f t="shared" si="59"/>
        <v>OK</v>
      </c>
    </row>
    <row r="1252" spans="1:13">
      <c r="J1252" s="32"/>
    </row>
    <row r="1253" spans="1:13">
      <c r="J1253" s="32"/>
    </row>
    <row r="1254" spans="1:13">
      <c r="J1254" s="32"/>
    </row>
    <row r="1255" spans="1:13">
      <c r="J1255" s="32"/>
    </row>
    <row r="1256" spans="1:13">
      <c r="J1256" s="32"/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67CD-B858-4F1E-A9BB-C0E9B1EAA735}">
  <dimension ref="B1:D14"/>
  <sheetViews>
    <sheetView workbookViewId="0">
      <selection activeCell="C7" sqref="C7"/>
    </sheetView>
  </sheetViews>
  <sheetFormatPr defaultRowHeight="14.4"/>
  <cols>
    <col min="2" max="2" width="21.77734375" bestFit="1" customWidth="1"/>
    <col min="3" max="3" width="20.88671875" bestFit="1" customWidth="1"/>
    <col min="4" max="4" width="10.5546875" bestFit="1" customWidth="1"/>
    <col min="5" max="5" width="11.5546875" bestFit="1" customWidth="1"/>
    <col min="6" max="6" width="12.77734375" bestFit="1" customWidth="1"/>
    <col min="7" max="7" width="15.77734375" bestFit="1" customWidth="1"/>
    <col min="8" max="8" width="12.109375" bestFit="1" customWidth="1"/>
    <col min="9" max="9" width="12.88671875" bestFit="1" customWidth="1"/>
    <col min="10" max="10" width="21.77734375" bestFit="1" customWidth="1"/>
    <col min="11" max="11" width="11.109375" bestFit="1" customWidth="1"/>
    <col min="12" max="12" width="12.33203125" bestFit="1" customWidth="1"/>
    <col min="13" max="13" width="21.109375" bestFit="1" customWidth="1"/>
    <col min="14" max="14" width="13.5546875" bestFit="1" customWidth="1"/>
  </cols>
  <sheetData>
    <row r="1" spans="2:4" ht="15" thickBot="1"/>
    <row r="2" spans="2:4" ht="21.6" thickBot="1">
      <c r="B2" s="39" t="s">
        <v>1681</v>
      </c>
      <c r="C2" s="40"/>
      <c r="D2" s="41"/>
    </row>
    <row r="3" spans="2:4">
      <c r="B3" s="37" t="s">
        <v>1630</v>
      </c>
      <c r="C3" s="38" t="s">
        <v>1631</v>
      </c>
      <c r="D3" s="38" t="s">
        <v>1649</v>
      </c>
    </row>
    <row r="4" spans="2:4">
      <c r="B4" s="4" t="s">
        <v>1619</v>
      </c>
      <c r="C4" s="5">
        <v>1250</v>
      </c>
      <c r="D4" s="6">
        <f>C4/C4</f>
        <v>1</v>
      </c>
    </row>
    <row r="5" spans="2:4">
      <c r="B5" s="8" t="s">
        <v>1620</v>
      </c>
      <c r="C5" s="5">
        <v>18</v>
      </c>
      <c r="D5" s="6">
        <f>C5/C4</f>
        <v>1.44E-2</v>
      </c>
    </row>
    <row r="6" spans="2:4">
      <c r="B6" s="4" t="s">
        <v>1621</v>
      </c>
      <c r="C6" s="5">
        <v>15</v>
      </c>
      <c r="D6" s="6">
        <f>C6/C4</f>
        <v>1.2E-2</v>
      </c>
    </row>
    <row r="7" spans="2:4">
      <c r="B7" s="4" t="s">
        <v>1622</v>
      </c>
      <c r="C7" s="5">
        <v>10</v>
      </c>
      <c r="D7" s="6">
        <f>C7/C4</f>
        <v>8.0000000000000002E-3</v>
      </c>
    </row>
    <row r="8" spans="2:4">
      <c r="B8" s="4" t="s">
        <v>1623</v>
      </c>
      <c r="C8" s="5">
        <v>6</v>
      </c>
      <c r="D8" s="6">
        <f>C8/C4</f>
        <v>4.7999999999999996E-3</v>
      </c>
    </row>
    <row r="9" spans="2:4">
      <c r="B9" s="4" t="s">
        <v>1624</v>
      </c>
      <c r="C9" s="5">
        <v>5</v>
      </c>
      <c r="D9" s="6">
        <f>C9/C4</f>
        <v>4.0000000000000001E-3</v>
      </c>
    </row>
    <row r="10" spans="2:4">
      <c r="B10" s="4" t="s">
        <v>1625</v>
      </c>
      <c r="C10" s="5">
        <v>8</v>
      </c>
      <c r="D10" s="6">
        <f>C10/C4</f>
        <v>6.4000000000000003E-3</v>
      </c>
    </row>
    <row r="11" spans="2:4">
      <c r="B11" s="4" t="s">
        <v>1626</v>
      </c>
      <c r="C11" s="5">
        <v>12</v>
      </c>
      <c r="D11" s="6">
        <f>C11/C4</f>
        <v>9.5999999999999992E-3</v>
      </c>
    </row>
    <row r="12" spans="2:4">
      <c r="B12" s="5" t="s">
        <v>1627</v>
      </c>
      <c r="C12" s="5">
        <v>16</v>
      </c>
      <c r="D12" s="6">
        <f>C12/C4</f>
        <v>1.2800000000000001E-2</v>
      </c>
    </row>
    <row r="13" spans="2:4">
      <c r="B13" s="5" t="s">
        <v>1628</v>
      </c>
      <c r="C13" s="5">
        <v>0</v>
      </c>
      <c r="D13" s="6">
        <f>C13/C4</f>
        <v>0</v>
      </c>
    </row>
    <row r="14" spans="2:4">
      <c r="B14" s="5" t="s">
        <v>1629</v>
      </c>
      <c r="C14" s="5">
        <v>0</v>
      </c>
      <c r="D14" s="6">
        <f>C14/C4</f>
        <v>0</v>
      </c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B884-1218-460C-B9DE-527E66C71FA2}">
  <dimension ref="A1:B9"/>
  <sheetViews>
    <sheetView workbookViewId="0">
      <selection activeCell="D10" sqref="D10"/>
    </sheetView>
  </sheetViews>
  <sheetFormatPr defaultRowHeight="14.4"/>
  <cols>
    <col min="1" max="1" width="23.109375" bestFit="1" customWidth="1"/>
    <col min="2" max="2" width="13.5546875" bestFit="1" customWidth="1"/>
  </cols>
  <sheetData>
    <row r="1" spans="1:2" ht="15" thickBot="1">
      <c r="A1" s="28"/>
      <c r="B1" s="29"/>
    </row>
    <row r="2" spans="1:2" ht="15" thickBot="1">
      <c r="A2" s="27" t="s">
        <v>1650</v>
      </c>
      <c r="B2" s="34" t="s">
        <v>1651</v>
      </c>
    </row>
    <row r="3" spans="1:2">
      <c r="A3" s="25" t="s">
        <v>1632</v>
      </c>
      <c r="B3" s="26">
        <f>SUM(Table2[Sales])</f>
        <v>4959963.7799999993</v>
      </c>
    </row>
    <row r="4" spans="1:2">
      <c r="A4" s="8" t="s">
        <v>1633</v>
      </c>
      <c r="B4" s="21">
        <f>SUM(Table2[Cost])</f>
        <v>3621121.170000005</v>
      </c>
    </row>
    <row r="5" spans="1:2">
      <c r="A5" s="8" t="s">
        <v>1634</v>
      </c>
      <c r="B5" s="20">
        <f>B3-B4</f>
        <v>1338842.6099999943</v>
      </c>
    </row>
    <row r="6" spans="1:2">
      <c r="A6" s="8" t="s">
        <v>1652</v>
      </c>
      <c r="B6" s="22">
        <f>B5/B3</f>
        <v>0.26992991670596322</v>
      </c>
    </row>
    <row r="7" spans="1:2">
      <c r="A7" s="8" t="s">
        <v>1635</v>
      </c>
      <c r="B7" s="23">
        <f>SUM(Table2[Quantity])</f>
        <v>5524</v>
      </c>
    </row>
    <row r="8" spans="1:2">
      <c r="A8" s="8" t="s">
        <v>1619</v>
      </c>
      <c r="B8" s="23">
        <f>COUNTA(Table2[Transaction_ID])</f>
        <v>1250</v>
      </c>
    </row>
    <row r="9" spans="1:2">
      <c r="A9" s="8" t="s">
        <v>1638</v>
      </c>
      <c r="B9" s="24">
        <f>B3/B8</f>
        <v>3967.9710239999995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2B10-6400-40E6-BF54-829E0A6C9D23}">
  <dimension ref="A3:D9"/>
  <sheetViews>
    <sheetView workbookViewId="0">
      <selection activeCell="A3" sqref="A3:D9"/>
    </sheetView>
  </sheetViews>
  <sheetFormatPr defaultRowHeight="14.4"/>
  <cols>
    <col min="1" max="1" width="14.21875" bestFit="1" customWidth="1"/>
    <col min="2" max="2" width="11.6640625" bestFit="1" customWidth="1"/>
    <col min="3" max="3" width="14.88671875" bestFit="1" customWidth="1"/>
    <col min="4" max="5" width="12.109375" bestFit="1" customWidth="1"/>
  </cols>
  <sheetData>
    <row r="3" spans="1:4">
      <c r="A3" s="9" t="s">
        <v>1647</v>
      </c>
      <c r="B3" t="s">
        <v>1641</v>
      </c>
      <c r="C3" t="s">
        <v>1643</v>
      </c>
      <c r="D3" t="s">
        <v>1644</v>
      </c>
    </row>
    <row r="4" spans="1:4">
      <c r="A4" s="10" t="s">
        <v>36</v>
      </c>
      <c r="B4">
        <v>2447357.19</v>
      </c>
      <c r="C4">
        <v>1130</v>
      </c>
      <c r="D4">
        <v>644641.61999999918</v>
      </c>
    </row>
    <row r="5" spans="1:4">
      <c r="A5" s="10" t="s">
        <v>82</v>
      </c>
      <c r="B5">
        <v>915594.71999999974</v>
      </c>
      <c r="C5">
        <v>1062</v>
      </c>
      <c r="D5">
        <v>255796.87999999931</v>
      </c>
    </row>
    <row r="6" spans="1:4">
      <c r="A6" s="10" t="s">
        <v>20</v>
      </c>
      <c r="B6">
        <v>781285.25000000058</v>
      </c>
      <c r="C6">
        <v>1112</v>
      </c>
      <c r="D6">
        <v>216917.20000000007</v>
      </c>
    </row>
    <row r="7" spans="1:4">
      <c r="A7" s="10" t="s">
        <v>26</v>
      </c>
      <c r="B7">
        <v>477220.67</v>
      </c>
      <c r="C7">
        <v>1142</v>
      </c>
      <c r="D7">
        <v>129148.15999999997</v>
      </c>
    </row>
    <row r="8" spans="1:4">
      <c r="A8" s="10" t="s">
        <v>32</v>
      </c>
      <c r="B8">
        <v>338505.94999999995</v>
      </c>
      <c r="C8">
        <v>1078</v>
      </c>
      <c r="D8">
        <v>92338.750000000175</v>
      </c>
    </row>
    <row r="9" spans="1:4">
      <c r="A9" s="10" t="s">
        <v>1640</v>
      </c>
      <c r="B9">
        <v>4959963.78</v>
      </c>
      <c r="C9">
        <v>5524</v>
      </c>
      <c r="D9">
        <v>1338842.6099999966</v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75D0-6ABD-4767-8BA1-F4D392D830DB}">
  <dimension ref="A3:D14"/>
  <sheetViews>
    <sheetView workbookViewId="0">
      <selection activeCell="F15" sqref="F15"/>
    </sheetView>
  </sheetViews>
  <sheetFormatPr defaultRowHeight="14.4"/>
  <cols>
    <col min="1" max="1" width="16.88671875" bestFit="1" customWidth="1"/>
    <col min="2" max="2" width="11.6640625" bestFit="1" customWidth="1"/>
    <col min="3" max="3" width="14.88671875" bestFit="1" customWidth="1"/>
    <col min="4" max="4" width="12.109375" bestFit="1" customWidth="1"/>
    <col min="5" max="6" width="20.6640625" bestFit="1" customWidth="1"/>
  </cols>
  <sheetData>
    <row r="3" spans="1:4">
      <c r="A3" s="9" t="s">
        <v>1645</v>
      </c>
      <c r="B3" t="s">
        <v>1641</v>
      </c>
      <c r="C3" t="s">
        <v>1643</v>
      </c>
      <c r="D3" t="s">
        <v>1644</v>
      </c>
    </row>
    <row r="4" spans="1:4">
      <c r="A4" s="10" t="s">
        <v>37</v>
      </c>
      <c r="B4">
        <v>493383.40999999986</v>
      </c>
      <c r="C4">
        <v>199</v>
      </c>
      <c r="D4">
        <v>119700.08999999991</v>
      </c>
    </row>
    <row r="5" spans="1:4">
      <c r="A5" s="10" t="s">
        <v>42</v>
      </c>
      <c r="B5">
        <v>455804.35000000015</v>
      </c>
      <c r="C5">
        <v>234</v>
      </c>
      <c r="D5">
        <v>130172.08000000019</v>
      </c>
    </row>
    <row r="6" spans="1:4">
      <c r="A6" s="10" t="s">
        <v>113</v>
      </c>
      <c r="B6">
        <v>454482.02000000008</v>
      </c>
      <c r="C6">
        <v>192</v>
      </c>
      <c r="D6">
        <v>124428.93999999989</v>
      </c>
    </row>
    <row r="7" spans="1:4">
      <c r="A7" s="10" t="s">
        <v>46</v>
      </c>
      <c r="B7">
        <v>357164.55</v>
      </c>
      <c r="C7">
        <v>149</v>
      </c>
      <c r="D7">
        <v>91287.909999999916</v>
      </c>
    </row>
    <row r="8" spans="1:4">
      <c r="A8" s="10" t="s">
        <v>93</v>
      </c>
      <c r="B8">
        <v>343635.41999999993</v>
      </c>
      <c r="C8">
        <v>164</v>
      </c>
      <c r="D8">
        <v>88890.919999999925</v>
      </c>
    </row>
    <row r="9" spans="1:4">
      <c r="A9" s="10" t="s">
        <v>1614</v>
      </c>
      <c r="B9">
        <v>342887.43999999994</v>
      </c>
      <c r="C9">
        <v>192</v>
      </c>
      <c r="D9">
        <v>90161.68</v>
      </c>
    </row>
    <row r="10" spans="1:4">
      <c r="A10" s="10" t="s">
        <v>109</v>
      </c>
      <c r="B10">
        <v>189327.87</v>
      </c>
      <c r="C10">
        <v>184</v>
      </c>
      <c r="D10">
        <v>58476.249999999985</v>
      </c>
    </row>
    <row r="11" spans="1:4">
      <c r="A11" s="10" t="s">
        <v>97</v>
      </c>
      <c r="B11">
        <v>172791.19</v>
      </c>
      <c r="C11">
        <v>244</v>
      </c>
      <c r="D11">
        <v>36819.070000000036</v>
      </c>
    </row>
    <row r="12" spans="1:4">
      <c r="A12" s="10" t="s">
        <v>83</v>
      </c>
      <c r="B12">
        <v>152497.1</v>
      </c>
      <c r="C12">
        <v>163</v>
      </c>
      <c r="D12">
        <v>44170.040000000008</v>
      </c>
    </row>
    <row r="13" spans="1:4">
      <c r="A13" s="10" t="s">
        <v>150</v>
      </c>
      <c r="B13">
        <v>152486.26000000004</v>
      </c>
      <c r="C13">
        <v>164</v>
      </c>
      <c r="D13">
        <v>47013.520000000062</v>
      </c>
    </row>
    <row r="14" spans="1:4">
      <c r="A14" s="10" t="s">
        <v>1640</v>
      </c>
      <c r="B14">
        <v>3114459.61</v>
      </c>
      <c r="C14">
        <v>1885</v>
      </c>
      <c r="D14">
        <v>831120.50000000233</v>
      </c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AD08-17E7-48D0-8B77-540DED6B478F}">
  <dimension ref="A3:E35"/>
  <sheetViews>
    <sheetView workbookViewId="0">
      <selection activeCell="C4" sqref="C4"/>
    </sheetView>
  </sheetViews>
  <sheetFormatPr defaultRowHeight="14.4"/>
  <cols>
    <col min="1" max="1" width="12.6640625" bestFit="1" customWidth="1"/>
    <col min="2" max="2" width="11.6640625" bestFit="1" customWidth="1"/>
    <col min="3" max="3" width="12.109375" bestFit="1" customWidth="1"/>
    <col min="4" max="4" width="14.88671875" bestFit="1" customWidth="1"/>
    <col min="5" max="5" width="21.6640625" bestFit="1" customWidth="1"/>
  </cols>
  <sheetData>
    <row r="3" spans="1:5">
      <c r="A3" s="9" t="s">
        <v>1647</v>
      </c>
      <c r="B3" t="s">
        <v>1641</v>
      </c>
      <c r="C3" t="s">
        <v>1644</v>
      </c>
      <c r="D3" t="s">
        <v>1643</v>
      </c>
      <c r="E3" t="s">
        <v>1646</v>
      </c>
    </row>
    <row r="4" spans="1:5">
      <c r="A4" s="10" t="s">
        <v>115</v>
      </c>
      <c r="B4">
        <v>258689.37999999989</v>
      </c>
      <c r="C4">
        <v>74211.689999999944</v>
      </c>
      <c r="D4">
        <v>224</v>
      </c>
      <c r="E4">
        <v>50</v>
      </c>
    </row>
    <row r="5" spans="1:5">
      <c r="A5" s="10" t="s">
        <v>121</v>
      </c>
      <c r="B5">
        <v>207775.63999999993</v>
      </c>
      <c r="C5">
        <v>61891.019999999902</v>
      </c>
      <c r="D5">
        <v>160</v>
      </c>
      <c r="E5">
        <v>43</v>
      </c>
    </row>
    <row r="6" spans="1:5">
      <c r="A6" s="10" t="s">
        <v>74</v>
      </c>
      <c r="B6">
        <v>207033.18000000002</v>
      </c>
      <c r="C6">
        <v>53530.890000000014</v>
      </c>
      <c r="D6">
        <v>216</v>
      </c>
      <c r="E6">
        <v>46</v>
      </c>
    </row>
    <row r="7" spans="1:5">
      <c r="A7" s="10" t="s">
        <v>135</v>
      </c>
      <c r="B7">
        <v>200606.68999999997</v>
      </c>
      <c r="C7">
        <v>50337.159999999974</v>
      </c>
      <c r="D7">
        <v>173</v>
      </c>
      <c r="E7">
        <v>47</v>
      </c>
    </row>
    <row r="8" spans="1:5">
      <c r="A8" s="10" t="s">
        <v>67</v>
      </c>
      <c r="B8">
        <v>200526.69999999992</v>
      </c>
      <c r="C8">
        <v>44744.019999999931</v>
      </c>
      <c r="D8">
        <v>250</v>
      </c>
      <c r="E8">
        <v>52</v>
      </c>
    </row>
    <row r="9" spans="1:5">
      <c r="A9" s="10" t="s">
        <v>35</v>
      </c>
      <c r="B9">
        <v>200307.56000000006</v>
      </c>
      <c r="C9">
        <v>50596.650000000111</v>
      </c>
      <c r="D9">
        <v>186</v>
      </c>
      <c r="E9">
        <v>44</v>
      </c>
    </row>
    <row r="10" spans="1:5">
      <c r="A10" s="10" t="s">
        <v>30</v>
      </c>
      <c r="B10">
        <v>197573.70000000007</v>
      </c>
      <c r="C10">
        <v>52923.090000000084</v>
      </c>
      <c r="D10">
        <v>178</v>
      </c>
      <c r="E10">
        <v>48</v>
      </c>
    </row>
    <row r="11" spans="1:5">
      <c r="A11" s="10" t="s">
        <v>59</v>
      </c>
      <c r="B11">
        <v>195644.97000000003</v>
      </c>
      <c r="C11">
        <v>50370.060000000085</v>
      </c>
      <c r="D11">
        <v>242</v>
      </c>
      <c r="E11">
        <v>49</v>
      </c>
    </row>
    <row r="12" spans="1:5">
      <c r="A12" s="10" t="s">
        <v>48</v>
      </c>
      <c r="B12">
        <v>191100.21999999997</v>
      </c>
      <c r="C12">
        <v>54723.399999999965</v>
      </c>
      <c r="D12">
        <v>224</v>
      </c>
      <c r="E12">
        <v>51</v>
      </c>
    </row>
    <row r="13" spans="1:5">
      <c r="A13" s="10" t="s">
        <v>162</v>
      </c>
      <c r="B13">
        <v>177200.52000000005</v>
      </c>
      <c r="C13">
        <v>39847.390000000043</v>
      </c>
      <c r="D13">
        <v>179</v>
      </c>
      <c r="E13">
        <v>41</v>
      </c>
    </row>
    <row r="14" spans="1:5">
      <c r="A14" s="10" t="s">
        <v>51</v>
      </c>
      <c r="B14">
        <v>171807.89</v>
      </c>
      <c r="C14">
        <v>44453.360000000015</v>
      </c>
      <c r="D14">
        <v>174</v>
      </c>
      <c r="E14">
        <v>39</v>
      </c>
    </row>
    <row r="15" spans="1:5">
      <c r="A15" s="10" t="s">
        <v>18</v>
      </c>
      <c r="B15">
        <v>170989.36000000002</v>
      </c>
      <c r="C15">
        <v>44502.670000000013</v>
      </c>
      <c r="D15">
        <v>166</v>
      </c>
      <c r="E15">
        <v>40</v>
      </c>
    </row>
    <row r="16" spans="1:5">
      <c r="A16" s="10" t="s">
        <v>11</v>
      </c>
      <c r="B16">
        <v>163949.59999999998</v>
      </c>
      <c r="C16">
        <v>48343.739999999947</v>
      </c>
      <c r="D16">
        <v>217</v>
      </c>
      <c r="E16">
        <v>45</v>
      </c>
    </row>
    <row r="17" spans="1:5">
      <c r="A17" s="10" t="s">
        <v>119</v>
      </c>
      <c r="B17">
        <v>160405.19</v>
      </c>
      <c r="C17">
        <v>47274.540000000008</v>
      </c>
      <c r="D17">
        <v>145</v>
      </c>
      <c r="E17">
        <v>34</v>
      </c>
    </row>
    <row r="18" spans="1:5">
      <c r="A18" s="10" t="s">
        <v>108</v>
      </c>
      <c r="B18">
        <v>151357.56000000003</v>
      </c>
      <c r="C18">
        <v>43306.700000000026</v>
      </c>
      <c r="D18">
        <v>203</v>
      </c>
      <c r="E18">
        <v>40</v>
      </c>
    </row>
    <row r="19" spans="1:5">
      <c r="A19" s="10" t="s">
        <v>124</v>
      </c>
      <c r="B19">
        <v>150030.48000000001</v>
      </c>
      <c r="C19">
        <v>40786.469999999972</v>
      </c>
      <c r="D19">
        <v>172</v>
      </c>
      <c r="E19">
        <v>38</v>
      </c>
    </row>
    <row r="20" spans="1:5">
      <c r="A20" s="10" t="s">
        <v>54</v>
      </c>
      <c r="B20">
        <v>147764.68</v>
      </c>
      <c r="C20">
        <v>45860.109999999971</v>
      </c>
      <c r="D20">
        <v>170</v>
      </c>
      <c r="E20">
        <v>37</v>
      </c>
    </row>
    <row r="21" spans="1:5">
      <c r="A21" s="10" t="s">
        <v>105</v>
      </c>
      <c r="B21">
        <v>147166.61999999997</v>
      </c>
      <c r="C21">
        <v>39222.13999999997</v>
      </c>
      <c r="D21">
        <v>163</v>
      </c>
      <c r="E21">
        <v>43</v>
      </c>
    </row>
    <row r="22" spans="1:5">
      <c r="A22" s="10" t="s">
        <v>175</v>
      </c>
      <c r="B22">
        <v>142160.91</v>
      </c>
      <c r="C22">
        <v>44206.589999999982</v>
      </c>
      <c r="D22">
        <v>150</v>
      </c>
      <c r="E22">
        <v>34</v>
      </c>
    </row>
    <row r="23" spans="1:5">
      <c r="A23" s="10" t="s">
        <v>133</v>
      </c>
      <c r="B23">
        <v>140991.42000000001</v>
      </c>
      <c r="C23">
        <v>31179.170000000027</v>
      </c>
      <c r="D23">
        <v>156</v>
      </c>
      <c r="E23">
        <v>38</v>
      </c>
    </row>
    <row r="24" spans="1:5">
      <c r="A24" s="10" t="s">
        <v>24</v>
      </c>
      <c r="B24">
        <v>140585.59000000003</v>
      </c>
      <c r="C24">
        <v>39487.050000000003</v>
      </c>
      <c r="D24">
        <v>221</v>
      </c>
      <c r="E24">
        <v>48</v>
      </c>
    </row>
    <row r="25" spans="1:5">
      <c r="A25" s="10" t="s">
        <v>231</v>
      </c>
      <c r="B25">
        <v>137767.53</v>
      </c>
      <c r="C25">
        <v>34351.570000000022</v>
      </c>
      <c r="D25">
        <v>135</v>
      </c>
      <c r="E25">
        <v>30</v>
      </c>
    </row>
    <row r="26" spans="1:5">
      <c r="A26" s="10" t="s">
        <v>56</v>
      </c>
      <c r="B26">
        <v>136785.06000000003</v>
      </c>
      <c r="C26">
        <v>38281.780000000086</v>
      </c>
      <c r="D26">
        <v>194</v>
      </c>
      <c r="E26">
        <v>41</v>
      </c>
    </row>
    <row r="27" spans="1:5">
      <c r="A27" s="10" t="s">
        <v>40</v>
      </c>
      <c r="B27">
        <v>136320.63999999998</v>
      </c>
      <c r="C27">
        <v>34400.590000000011</v>
      </c>
      <c r="D27">
        <v>187</v>
      </c>
      <c r="E27">
        <v>38</v>
      </c>
    </row>
    <row r="28" spans="1:5">
      <c r="A28" s="10" t="s">
        <v>129</v>
      </c>
      <c r="B28">
        <v>134098.06999999998</v>
      </c>
      <c r="C28">
        <v>31949.759999999995</v>
      </c>
      <c r="D28">
        <v>181</v>
      </c>
      <c r="E28">
        <v>39</v>
      </c>
    </row>
    <row r="29" spans="1:5">
      <c r="A29" s="10" t="s">
        <v>70</v>
      </c>
      <c r="B29">
        <v>132481.84999999998</v>
      </c>
      <c r="C29">
        <v>29954.059999999954</v>
      </c>
      <c r="D29">
        <v>170</v>
      </c>
      <c r="E29">
        <v>40</v>
      </c>
    </row>
    <row r="30" spans="1:5">
      <c r="A30" s="10" t="s">
        <v>259</v>
      </c>
      <c r="B30">
        <v>130883.05</v>
      </c>
      <c r="C30">
        <v>35445.199999999983</v>
      </c>
      <c r="D30">
        <v>126</v>
      </c>
      <c r="E30">
        <v>29</v>
      </c>
    </row>
    <row r="31" spans="1:5">
      <c r="A31" s="10" t="s">
        <v>85</v>
      </c>
      <c r="B31">
        <v>123597.44000000002</v>
      </c>
      <c r="C31">
        <v>36180.600000000006</v>
      </c>
      <c r="D31">
        <v>171</v>
      </c>
      <c r="E31">
        <v>36</v>
      </c>
    </row>
    <row r="32" spans="1:5">
      <c r="A32" s="10" t="s">
        <v>117</v>
      </c>
      <c r="B32">
        <v>122089.47</v>
      </c>
      <c r="C32">
        <v>40334.389999999985</v>
      </c>
      <c r="D32">
        <v>158</v>
      </c>
      <c r="E32">
        <v>33</v>
      </c>
    </row>
    <row r="33" spans="1:5">
      <c r="A33" s="10" t="s">
        <v>220</v>
      </c>
      <c r="B33">
        <v>116142.01</v>
      </c>
      <c r="C33">
        <v>34845.37000000001</v>
      </c>
      <c r="D33">
        <v>166</v>
      </c>
      <c r="E33">
        <v>39</v>
      </c>
    </row>
    <row r="34" spans="1:5">
      <c r="A34" s="10" t="s">
        <v>1617</v>
      </c>
      <c r="B34">
        <v>66130.8</v>
      </c>
      <c r="C34">
        <v>21301.379999999997</v>
      </c>
      <c r="D34">
        <v>67</v>
      </c>
      <c r="E34">
        <v>18</v>
      </c>
    </row>
    <row r="35" spans="1:5">
      <c r="A35" s="10" t="s">
        <v>1640</v>
      </c>
      <c r="B35">
        <v>4959963.7800000058</v>
      </c>
      <c r="C35">
        <v>1338842.6100000083</v>
      </c>
      <c r="D35">
        <v>5524</v>
      </c>
      <c r="E35">
        <v>1250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B14FE-8DD3-4F3F-B9CF-B7298AFE41B7}">
  <dimension ref="A3:E10"/>
  <sheetViews>
    <sheetView workbookViewId="0">
      <selection activeCell="E3" sqref="E3"/>
    </sheetView>
  </sheetViews>
  <sheetFormatPr defaultRowHeight="14.4"/>
  <cols>
    <col min="1" max="1" width="10.77734375" bestFit="1" customWidth="1"/>
    <col min="2" max="2" width="12.109375" bestFit="1" customWidth="1"/>
    <col min="3" max="3" width="14.88671875" bestFit="1" customWidth="1"/>
    <col min="4" max="4" width="21.6640625" bestFit="1" customWidth="1"/>
    <col min="5" max="5" width="24" bestFit="1" customWidth="1"/>
    <col min="6" max="6" width="25.5546875" bestFit="1" customWidth="1"/>
  </cols>
  <sheetData>
    <row r="3" spans="1:5">
      <c r="A3" s="9" t="s">
        <v>3</v>
      </c>
      <c r="B3" t="s">
        <v>1644</v>
      </c>
      <c r="C3" t="s">
        <v>1643</v>
      </c>
      <c r="D3" t="s">
        <v>1646</v>
      </c>
      <c r="E3" t="s">
        <v>1679</v>
      </c>
    </row>
    <row r="4" spans="1:5">
      <c r="A4" s="10" t="s">
        <v>12</v>
      </c>
      <c r="B4">
        <v>470364.57000000053</v>
      </c>
      <c r="C4">
        <v>1808</v>
      </c>
      <c r="D4">
        <v>420</v>
      </c>
      <c r="E4" s="12">
        <v>0.33558656954547372</v>
      </c>
    </row>
    <row r="5" spans="1:5">
      <c r="A5" s="10" t="s">
        <v>19</v>
      </c>
      <c r="B5">
        <v>235888.90000000061</v>
      </c>
      <c r="C5">
        <v>874</v>
      </c>
      <c r="D5">
        <v>208</v>
      </c>
      <c r="E5" s="12">
        <v>0.17949017563188746</v>
      </c>
    </row>
    <row r="6" spans="1:5">
      <c r="A6" s="10" t="s">
        <v>63</v>
      </c>
      <c r="B6">
        <v>208624.51999999979</v>
      </c>
      <c r="C6">
        <v>983</v>
      </c>
      <c r="D6">
        <v>211</v>
      </c>
      <c r="E6" s="12">
        <v>0.16049569821657039</v>
      </c>
    </row>
    <row r="7" spans="1:5">
      <c r="A7" s="10" t="s">
        <v>57</v>
      </c>
      <c r="B7">
        <v>207451.91999999958</v>
      </c>
      <c r="C7">
        <v>899</v>
      </c>
      <c r="D7">
        <v>191</v>
      </c>
      <c r="E7" s="12">
        <v>0.15263432427726309</v>
      </c>
    </row>
    <row r="8" spans="1:5">
      <c r="A8" s="10" t="s">
        <v>31</v>
      </c>
      <c r="B8">
        <v>205209.8400000009</v>
      </c>
      <c r="C8">
        <v>888</v>
      </c>
      <c r="D8">
        <v>205</v>
      </c>
      <c r="E8" s="12">
        <v>0.16169005572859252</v>
      </c>
    </row>
    <row r="9" spans="1:5">
      <c r="A9" s="10" t="s">
        <v>1617</v>
      </c>
      <c r="B9">
        <v>11302.859999999979</v>
      </c>
      <c r="C9">
        <v>72</v>
      </c>
      <c r="D9">
        <v>15</v>
      </c>
      <c r="E9" s="12">
        <v>1.0103176600212994E-2</v>
      </c>
    </row>
    <row r="10" spans="1:5">
      <c r="A10" s="10" t="s">
        <v>1640</v>
      </c>
      <c r="B10">
        <v>1338842.6099999975</v>
      </c>
      <c r="C10">
        <v>5524</v>
      </c>
      <c r="D10">
        <v>1250</v>
      </c>
      <c r="E10" s="12">
        <v>0.99999999999999978</v>
      </c>
    </row>
  </sheetData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B003-2D31-4611-9312-12EB75FF6A58}">
  <dimension ref="A3:E10"/>
  <sheetViews>
    <sheetView workbookViewId="0">
      <selection activeCell="A3" sqref="A3:E10"/>
    </sheetView>
  </sheetViews>
  <sheetFormatPr defaultRowHeight="14.4"/>
  <cols>
    <col min="1" max="1" width="12.5546875" bestFit="1" customWidth="1"/>
    <col min="2" max="2" width="11.6640625" bestFit="1" customWidth="1"/>
    <col min="3" max="3" width="12.109375" bestFit="1" customWidth="1"/>
    <col min="4" max="4" width="14.88671875" bestFit="1" customWidth="1"/>
    <col min="5" max="5" width="21.6640625" bestFit="1" customWidth="1"/>
  </cols>
  <sheetData>
    <row r="3" spans="1:5">
      <c r="A3" s="9" t="s">
        <v>1647</v>
      </c>
      <c r="B3" t="s">
        <v>1641</v>
      </c>
      <c r="C3" t="s">
        <v>1644</v>
      </c>
      <c r="D3" t="s">
        <v>1643</v>
      </c>
      <c r="E3" t="s">
        <v>1646</v>
      </c>
    </row>
    <row r="4" spans="1:5">
      <c r="A4" s="10" t="s">
        <v>28</v>
      </c>
      <c r="B4">
        <v>1060309.1299999997</v>
      </c>
      <c r="C4">
        <v>290130.60999999975</v>
      </c>
      <c r="D4">
        <v>1160</v>
      </c>
      <c r="E4">
        <v>271</v>
      </c>
    </row>
    <row r="5" spans="1:5">
      <c r="A5" s="10" t="s">
        <v>16</v>
      </c>
      <c r="B5">
        <v>1054374.8899999997</v>
      </c>
      <c r="C5">
        <v>283761.61000000022</v>
      </c>
      <c r="D5">
        <v>1073</v>
      </c>
      <c r="E5">
        <v>235</v>
      </c>
    </row>
    <row r="6" spans="1:5">
      <c r="A6" s="10" t="s">
        <v>22</v>
      </c>
      <c r="B6">
        <v>976246.48999999976</v>
      </c>
      <c r="C6">
        <v>269663.63999999943</v>
      </c>
      <c r="D6">
        <v>1083</v>
      </c>
      <c r="E6">
        <v>247</v>
      </c>
    </row>
    <row r="7" spans="1:5">
      <c r="A7" s="10" t="s">
        <v>38</v>
      </c>
      <c r="B7">
        <v>925453.9</v>
      </c>
      <c r="C7">
        <v>248027.68999999994</v>
      </c>
      <c r="D7">
        <v>1064</v>
      </c>
      <c r="E7">
        <v>239</v>
      </c>
    </row>
    <row r="8" spans="1:5">
      <c r="A8" s="10" t="s">
        <v>71</v>
      </c>
      <c r="B8">
        <v>894567.57</v>
      </c>
      <c r="C8">
        <v>231200.89999999979</v>
      </c>
      <c r="D8">
        <v>1060</v>
      </c>
      <c r="E8">
        <v>242</v>
      </c>
    </row>
    <row r="9" spans="1:5">
      <c r="A9" s="10" t="s">
        <v>1617</v>
      </c>
      <c r="B9">
        <v>49011.799999999996</v>
      </c>
      <c r="C9">
        <v>16058.160000000003</v>
      </c>
      <c r="D9">
        <v>84</v>
      </c>
      <c r="E9">
        <v>16</v>
      </c>
    </row>
    <row r="10" spans="1:5">
      <c r="A10" s="10" t="s">
        <v>1640</v>
      </c>
      <c r="B10">
        <v>4959963.7799999993</v>
      </c>
      <c r="C10">
        <v>1338842.6099999915</v>
      </c>
      <c r="D10">
        <v>5524</v>
      </c>
      <c r="E10">
        <v>1250</v>
      </c>
    </row>
  </sheetData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E5665-38E9-4F27-8D71-9E60D5B07EB1}">
  <dimension ref="A1:I23"/>
  <sheetViews>
    <sheetView workbookViewId="0">
      <selection activeCell="F17" sqref="F17"/>
    </sheetView>
  </sheetViews>
  <sheetFormatPr defaultRowHeight="14.4"/>
  <cols>
    <col min="1" max="1" width="14.21875" bestFit="1" customWidth="1"/>
    <col min="2" max="3" width="13.21875" bestFit="1" customWidth="1"/>
    <col min="4" max="4" width="14.88671875" bestFit="1" customWidth="1"/>
    <col min="5" max="5" width="13.21875" bestFit="1" customWidth="1"/>
    <col min="6" max="6" width="25.5546875" bestFit="1" customWidth="1"/>
    <col min="7" max="7" width="24.21875" bestFit="1" customWidth="1"/>
    <col min="8" max="8" width="13.6640625" bestFit="1" customWidth="1"/>
  </cols>
  <sheetData>
    <row r="1" spans="1:2" ht="15" thickBot="1"/>
    <row r="2" spans="1:2" ht="15" thickBot="1">
      <c r="A2" s="27" t="s">
        <v>1636</v>
      </c>
      <c r="B2" s="34" t="s">
        <v>1651</v>
      </c>
    </row>
    <row r="3" spans="1:2">
      <c r="A3" s="7" t="s">
        <v>1632</v>
      </c>
      <c r="B3" s="35">
        <f>SUM(Table2[Sales])</f>
        <v>4959963.7799999993</v>
      </c>
    </row>
    <row r="4" spans="1:2">
      <c r="A4" s="4" t="s">
        <v>1633</v>
      </c>
      <c r="B4" s="15">
        <f>SUM(Table2[Cost])</f>
        <v>3621121.170000005</v>
      </c>
    </row>
    <row r="5" spans="1:2">
      <c r="A5" s="4" t="s">
        <v>1634</v>
      </c>
      <c r="B5" s="15">
        <f>B3-B4</f>
        <v>1338842.6099999943</v>
      </c>
    </row>
    <row r="6" spans="1:2">
      <c r="A6" s="4" t="s">
        <v>1635</v>
      </c>
      <c r="B6" s="14">
        <f>SUM(Table2[Quantity])</f>
        <v>5524</v>
      </c>
    </row>
    <row r="7" spans="1:2" ht="28.8">
      <c r="A7" s="4" t="s">
        <v>1619</v>
      </c>
      <c r="B7" s="14">
        <f>COUNTA(Table2[Transaction_ID])</f>
        <v>1250</v>
      </c>
    </row>
    <row r="8" spans="1:2">
      <c r="A8" s="5" t="s">
        <v>1637</v>
      </c>
      <c r="B8" s="6">
        <f>B5/B3</f>
        <v>0.26992991670596322</v>
      </c>
    </row>
    <row r="9" spans="1:2">
      <c r="A9" s="5" t="s">
        <v>1638</v>
      </c>
      <c r="B9" s="13">
        <f>B3/B7</f>
        <v>3967.9710239999995</v>
      </c>
    </row>
    <row r="10" spans="1:2">
      <c r="A10" s="5" t="s">
        <v>1639</v>
      </c>
      <c r="B10" s="13">
        <f>B6/B7</f>
        <v>4.4192</v>
      </c>
    </row>
    <row r="17" spans="1:9">
      <c r="A17" s="9" t="s">
        <v>4</v>
      </c>
      <c r="B17" t="s">
        <v>1641</v>
      </c>
      <c r="C17" s="30" t="s">
        <v>1642</v>
      </c>
      <c r="D17" t="s">
        <v>1643</v>
      </c>
      <c r="E17" s="30" t="s">
        <v>1644</v>
      </c>
      <c r="F17" t="s">
        <v>1680</v>
      </c>
    </row>
    <row r="18" spans="1:9">
      <c r="A18" s="10" t="s">
        <v>26</v>
      </c>
      <c r="B18" s="30">
        <v>477220.67</v>
      </c>
      <c r="C18" s="30">
        <v>348072.51</v>
      </c>
      <c r="D18">
        <v>1142</v>
      </c>
      <c r="E18" s="30">
        <v>129148.15999999997</v>
      </c>
      <c r="F18" s="12">
        <v>9.6214547357037342E-2</v>
      </c>
      <c r="H18" s="11"/>
      <c r="I18" s="11"/>
    </row>
    <row r="19" spans="1:9">
      <c r="A19" s="10" t="s">
        <v>32</v>
      </c>
      <c r="B19" s="30">
        <v>338505.94999999995</v>
      </c>
      <c r="C19" s="30">
        <v>246167.19999999978</v>
      </c>
      <c r="D19">
        <v>1078</v>
      </c>
      <c r="E19" s="30">
        <v>92338.750000000175</v>
      </c>
      <c r="F19" s="12">
        <v>6.8247665711784686E-2</v>
      </c>
    </row>
    <row r="20" spans="1:9">
      <c r="A20" s="10" t="s">
        <v>20</v>
      </c>
      <c r="B20" s="30">
        <v>781285.25000000058</v>
      </c>
      <c r="C20" s="30">
        <v>564368.05000000051</v>
      </c>
      <c r="D20">
        <v>1112</v>
      </c>
      <c r="E20" s="30">
        <v>216917.20000000007</v>
      </c>
      <c r="F20" s="12">
        <v>0.15751833776495855</v>
      </c>
    </row>
    <row r="21" spans="1:9">
      <c r="A21" s="10" t="s">
        <v>36</v>
      </c>
      <c r="B21" s="30">
        <v>2447357.19</v>
      </c>
      <c r="C21" s="30">
        <v>1802715.5700000008</v>
      </c>
      <c r="D21">
        <v>1130</v>
      </c>
      <c r="E21" s="30">
        <v>644641.61999999918</v>
      </c>
      <c r="F21" s="12">
        <v>0.49342239148367328</v>
      </c>
    </row>
    <row r="22" spans="1:9">
      <c r="A22" s="10" t="s">
        <v>82</v>
      </c>
      <c r="B22" s="30">
        <v>915594.71999999974</v>
      </c>
      <c r="C22" s="30">
        <v>659797.84000000043</v>
      </c>
      <c r="D22">
        <v>1062</v>
      </c>
      <c r="E22" s="30">
        <v>255796.87999999931</v>
      </c>
      <c r="F22" s="12">
        <v>0.18459705768254617</v>
      </c>
    </row>
    <row r="23" spans="1:9">
      <c r="A23" s="10" t="s">
        <v>1640</v>
      </c>
      <c r="B23" s="30">
        <v>4959963.78</v>
      </c>
      <c r="C23" s="30">
        <v>3621121.1700000013</v>
      </c>
      <c r="D23">
        <v>5524</v>
      </c>
      <c r="E23" s="30">
        <v>1338842.6099999966</v>
      </c>
      <c r="F23" s="12">
        <v>0.99999999999999978</v>
      </c>
    </row>
  </sheetData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46E69-3E25-4969-95B2-B393FD52EE5B}">
  <sheetPr>
    <tabColor theme="3" tint="0.39997558519241921"/>
  </sheetPr>
  <dimension ref="A2:C9"/>
  <sheetViews>
    <sheetView workbookViewId="0">
      <selection activeCell="A4" sqref="A4"/>
    </sheetView>
  </sheetViews>
  <sheetFormatPr defaultRowHeight="14.4"/>
  <cols>
    <col min="1" max="1" width="20.109375" bestFit="1" customWidth="1"/>
    <col min="2" max="2" width="47.77734375" customWidth="1"/>
    <col min="3" max="3" width="25.88671875" customWidth="1"/>
  </cols>
  <sheetData>
    <row r="2" spans="1:3">
      <c r="A2" s="16" t="s">
        <v>1653</v>
      </c>
      <c r="B2" s="16" t="s">
        <v>1654</v>
      </c>
      <c r="C2" s="16" t="s">
        <v>1655</v>
      </c>
    </row>
    <row r="3" spans="1:3" ht="64.2" customHeight="1">
      <c r="A3" s="3" t="s">
        <v>1656</v>
      </c>
      <c r="B3" s="2" t="s">
        <v>1663</v>
      </c>
      <c r="C3" s="36" t="s">
        <v>1664</v>
      </c>
    </row>
    <row r="4" spans="1:3" ht="106.8" customHeight="1">
      <c r="A4" s="3" t="s">
        <v>1657</v>
      </c>
      <c r="B4" s="2" t="s">
        <v>1665</v>
      </c>
      <c r="C4" s="18" t="s">
        <v>1666</v>
      </c>
    </row>
    <row r="5" spans="1:3" ht="68.400000000000006" customHeight="1">
      <c r="A5" s="3" t="s">
        <v>1658</v>
      </c>
      <c r="B5" s="2" t="s">
        <v>1667</v>
      </c>
      <c r="C5" s="17" t="s">
        <v>1668</v>
      </c>
    </row>
    <row r="6" spans="1:3" ht="69" customHeight="1">
      <c r="A6" s="3" t="s">
        <v>1659</v>
      </c>
      <c r="B6" s="2" t="s">
        <v>1669</v>
      </c>
      <c r="C6" s="18" t="s">
        <v>1670</v>
      </c>
    </row>
    <row r="7" spans="1:3" ht="70.8" customHeight="1">
      <c r="A7" s="3" t="s">
        <v>1660</v>
      </c>
      <c r="B7" s="19" t="s">
        <v>1671</v>
      </c>
      <c r="C7" s="18" t="s">
        <v>1672</v>
      </c>
    </row>
    <row r="8" spans="1:3" ht="80.400000000000006" customHeight="1">
      <c r="A8" s="3" t="s">
        <v>1661</v>
      </c>
      <c r="B8" s="19" t="s">
        <v>1673</v>
      </c>
      <c r="C8" s="18" t="s">
        <v>1674</v>
      </c>
    </row>
    <row r="9" spans="1:3" ht="72">
      <c r="A9" s="3" t="s">
        <v>1662</v>
      </c>
      <c r="B9" s="19" t="s">
        <v>1675</v>
      </c>
      <c r="C9" s="19" t="s">
        <v>1676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Retail_Data (Raw Data)</vt:lpstr>
      <vt:lpstr>Retail_Data_(Clean Data)</vt:lpstr>
      <vt:lpstr>Data Quality Summary</vt:lpstr>
      <vt:lpstr>KPI</vt:lpstr>
      <vt:lpstr>Category Analysis</vt:lpstr>
      <vt:lpstr>Top 10 Products</vt:lpstr>
      <vt:lpstr>Customer Analysis</vt:lpstr>
      <vt:lpstr>City Analysis</vt:lpstr>
      <vt:lpstr>Payment Method Analysis</vt:lpstr>
      <vt:lpstr>Sales Analysis</vt:lpstr>
      <vt:lpstr>Business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</dc:creator>
  <cp:lastModifiedBy>MOHD JAMAL</cp:lastModifiedBy>
  <dcterms:created xsi:type="dcterms:W3CDTF">2026-09-20T10:06:03Z</dcterms:created>
  <dcterms:modified xsi:type="dcterms:W3CDTF">2026-09-22T14:16:58Z</dcterms:modified>
</cp:coreProperties>
</file>